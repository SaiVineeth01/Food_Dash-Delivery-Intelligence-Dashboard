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h\Downloads\"/>
    </mc:Choice>
  </mc:AlternateContent>
  <xr:revisionPtr revIDLastSave="0" documentId="13_ncr:1_{9B4A374F-F5D3-4A10-A542-D5AD9A21FB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odDash_Data" sheetId="1" r:id="rId1"/>
    <sheet name="Restaurant_Master" sheetId="4" r:id="rId2"/>
  </sheets>
  <definedNames>
    <definedName name="_xlnm._FilterDatabase" localSheetId="0" hidden="1">FoodDash_Data!$D$1:$D$4001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1" l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9" i="1"/>
  <c r="M10" i="1"/>
  <c r="M11" i="1"/>
  <c r="M12" i="1"/>
  <c r="M3" i="1"/>
  <c r="M4" i="1"/>
  <c r="M5" i="1"/>
  <c r="M6" i="1"/>
  <c r="M7" i="1"/>
  <c r="M8" i="1"/>
  <c r="M2" i="1"/>
</calcChain>
</file>

<file path=xl/sharedStrings.xml><?xml version="1.0" encoding="utf-8"?>
<sst xmlns="http://schemas.openxmlformats.org/spreadsheetml/2006/main" count="28029" uniqueCount="4038">
  <si>
    <t>Order_ID</t>
  </si>
  <si>
    <t>Order_Date</t>
  </si>
  <si>
    <t>City</t>
  </si>
  <si>
    <t>Restaurant</t>
  </si>
  <si>
    <t>Customer_Age</t>
  </si>
  <si>
    <t>Customer_Gender</t>
  </si>
  <si>
    <t>Order_Amount</t>
  </si>
  <si>
    <t>Delivery_Time_Minutes</t>
  </si>
  <si>
    <t>Delivery_Status</t>
  </si>
  <si>
    <t>Customer_Rating</t>
  </si>
  <si>
    <t>Payment_Method</t>
  </si>
  <si>
    <t>Order_Type</t>
  </si>
  <si>
    <t>FD00001</t>
  </si>
  <si>
    <t>Hyderabad</t>
  </si>
  <si>
    <t>Spice Villa</t>
  </si>
  <si>
    <t>Female</t>
  </si>
  <si>
    <t>Late</t>
  </si>
  <si>
    <t>Cash</t>
  </si>
  <si>
    <t>Non-Veg</t>
  </si>
  <si>
    <t>FD00002</t>
  </si>
  <si>
    <t>Delhi</t>
  </si>
  <si>
    <t>Burger Town</t>
  </si>
  <si>
    <t>On-Time</t>
  </si>
  <si>
    <t>Veg</t>
  </si>
  <si>
    <t>FD00003</t>
  </si>
  <si>
    <t>Pizza Hub</t>
  </si>
  <si>
    <t>Credit Card</t>
  </si>
  <si>
    <t>FD00004</t>
  </si>
  <si>
    <t>Male</t>
  </si>
  <si>
    <t>Debit Card</t>
  </si>
  <si>
    <t>FD00005</t>
  </si>
  <si>
    <t>FD00006</t>
  </si>
  <si>
    <t>Biryani House</t>
  </si>
  <si>
    <t>FD00007</t>
  </si>
  <si>
    <t>Mumbai</t>
  </si>
  <si>
    <t>FD00008</t>
  </si>
  <si>
    <t>Bangalore</t>
  </si>
  <si>
    <t>FD00009</t>
  </si>
  <si>
    <t>Sushi World</t>
  </si>
  <si>
    <t>FD00010</t>
  </si>
  <si>
    <t>FD00011</t>
  </si>
  <si>
    <t>UPI</t>
  </si>
  <si>
    <t>FD00012</t>
  </si>
  <si>
    <t>Chennai</t>
  </si>
  <si>
    <t>FD00013</t>
  </si>
  <si>
    <t>FD00014</t>
  </si>
  <si>
    <t>FD00015</t>
  </si>
  <si>
    <t>FD00016</t>
  </si>
  <si>
    <t>FD00017</t>
  </si>
  <si>
    <t>FD00018</t>
  </si>
  <si>
    <t>FD00019</t>
  </si>
  <si>
    <t>FD00020</t>
  </si>
  <si>
    <t>FD00021</t>
  </si>
  <si>
    <t>FD00022</t>
  </si>
  <si>
    <t>FD00023</t>
  </si>
  <si>
    <t>FD00024</t>
  </si>
  <si>
    <t>FD00025</t>
  </si>
  <si>
    <t>FD00026</t>
  </si>
  <si>
    <t>FD00027</t>
  </si>
  <si>
    <t>FD00028</t>
  </si>
  <si>
    <t>FD00029</t>
  </si>
  <si>
    <t>FD00030</t>
  </si>
  <si>
    <t>FD00031</t>
  </si>
  <si>
    <t>FD00032</t>
  </si>
  <si>
    <t>FD00033</t>
  </si>
  <si>
    <t>FD00034</t>
  </si>
  <si>
    <t>FD00035</t>
  </si>
  <si>
    <t>FD00036</t>
  </si>
  <si>
    <t>FD00037</t>
  </si>
  <si>
    <t>FD00038</t>
  </si>
  <si>
    <t>FD00039</t>
  </si>
  <si>
    <t>FD00040</t>
  </si>
  <si>
    <t>FD00041</t>
  </si>
  <si>
    <t>FD00042</t>
  </si>
  <si>
    <t>FD00043</t>
  </si>
  <si>
    <t>FD00044</t>
  </si>
  <si>
    <t>FD00045</t>
  </si>
  <si>
    <t>FD00046</t>
  </si>
  <si>
    <t>FD00047</t>
  </si>
  <si>
    <t>FD00048</t>
  </si>
  <si>
    <t>FD00049</t>
  </si>
  <si>
    <t>FD00050</t>
  </si>
  <si>
    <t>FD00051</t>
  </si>
  <si>
    <t>FD00052</t>
  </si>
  <si>
    <t>FD00053</t>
  </si>
  <si>
    <t>FD00054</t>
  </si>
  <si>
    <t>FD00055</t>
  </si>
  <si>
    <t>FD00056</t>
  </si>
  <si>
    <t>FD00057</t>
  </si>
  <si>
    <t>FD00058</t>
  </si>
  <si>
    <t>FD00059</t>
  </si>
  <si>
    <t>FD00060</t>
  </si>
  <si>
    <t>FD00061</t>
  </si>
  <si>
    <t>FD00062</t>
  </si>
  <si>
    <t>FD00063</t>
  </si>
  <si>
    <t>FD00064</t>
  </si>
  <si>
    <t>FD00065</t>
  </si>
  <si>
    <t>FD00066</t>
  </si>
  <si>
    <t>FD00067</t>
  </si>
  <si>
    <t>FD00068</t>
  </si>
  <si>
    <t>FD00069</t>
  </si>
  <si>
    <t>FD00070</t>
  </si>
  <si>
    <t>FD00071</t>
  </si>
  <si>
    <t>FD00072</t>
  </si>
  <si>
    <t>FD00073</t>
  </si>
  <si>
    <t>FD00074</t>
  </si>
  <si>
    <t>FD00075</t>
  </si>
  <si>
    <t>FD00076</t>
  </si>
  <si>
    <t>FD00077</t>
  </si>
  <si>
    <t>FD00078</t>
  </si>
  <si>
    <t>FD00079</t>
  </si>
  <si>
    <t>FD00080</t>
  </si>
  <si>
    <t>FD00081</t>
  </si>
  <si>
    <t>FD00082</t>
  </si>
  <si>
    <t>FD00083</t>
  </si>
  <si>
    <t>FD00084</t>
  </si>
  <si>
    <t>FD00085</t>
  </si>
  <si>
    <t>FD00086</t>
  </si>
  <si>
    <t>FD00087</t>
  </si>
  <si>
    <t>FD00088</t>
  </si>
  <si>
    <t>FD00089</t>
  </si>
  <si>
    <t>FD00090</t>
  </si>
  <si>
    <t>FD00091</t>
  </si>
  <si>
    <t>FD00092</t>
  </si>
  <si>
    <t>FD00093</t>
  </si>
  <si>
    <t>FD00094</t>
  </si>
  <si>
    <t>FD00095</t>
  </si>
  <si>
    <t>FD00096</t>
  </si>
  <si>
    <t>FD00097</t>
  </si>
  <si>
    <t>FD00098</t>
  </si>
  <si>
    <t>FD00099</t>
  </si>
  <si>
    <t>FD00100</t>
  </si>
  <si>
    <t>FD00101</t>
  </si>
  <si>
    <t>FD00102</t>
  </si>
  <si>
    <t>FD00103</t>
  </si>
  <si>
    <t>FD00104</t>
  </si>
  <si>
    <t>FD00105</t>
  </si>
  <si>
    <t>FD00106</t>
  </si>
  <si>
    <t>FD00107</t>
  </si>
  <si>
    <t>FD00108</t>
  </si>
  <si>
    <t>FD00109</t>
  </si>
  <si>
    <t>FD00110</t>
  </si>
  <si>
    <t>FD00111</t>
  </si>
  <si>
    <t>FD00112</t>
  </si>
  <si>
    <t>FD00113</t>
  </si>
  <si>
    <t>FD00114</t>
  </si>
  <si>
    <t>FD00115</t>
  </si>
  <si>
    <t>FD00116</t>
  </si>
  <si>
    <t>FD00117</t>
  </si>
  <si>
    <t>FD00118</t>
  </si>
  <si>
    <t>FD00119</t>
  </si>
  <si>
    <t>FD00120</t>
  </si>
  <si>
    <t>FD00121</t>
  </si>
  <si>
    <t>FD00122</t>
  </si>
  <si>
    <t>FD00123</t>
  </si>
  <si>
    <t>FD00124</t>
  </si>
  <si>
    <t>FD00125</t>
  </si>
  <si>
    <t>FD00126</t>
  </si>
  <si>
    <t>FD00127</t>
  </si>
  <si>
    <t>FD00128</t>
  </si>
  <si>
    <t>FD00129</t>
  </si>
  <si>
    <t>FD00130</t>
  </si>
  <si>
    <t>FD00131</t>
  </si>
  <si>
    <t>FD00132</t>
  </si>
  <si>
    <t>FD00133</t>
  </si>
  <si>
    <t>FD00134</t>
  </si>
  <si>
    <t>FD00135</t>
  </si>
  <si>
    <t>FD00136</t>
  </si>
  <si>
    <t>FD00137</t>
  </si>
  <si>
    <t>FD00138</t>
  </si>
  <si>
    <t>FD00139</t>
  </si>
  <si>
    <t>FD00140</t>
  </si>
  <si>
    <t>FD00141</t>
  </si>
  <si>
    <t>FD00142</t>
  </si>
  <si>
    <t>FD00143</t>
  </si>
  <si>
    <t>FD00144</t>
  </si>
  <si>
    <t>FD00145</t>
  </si>
  <si>
    <t>FD00146</t>
  </si>
  <si>
    <t>FD00147</t>
  </si>
  <si>
    <t>FD00148</t>
  </si>
  <si>
    <t>FD00149</t>
  </si>
  <si>
    <t>FD00150</t>
  </si>
  <si>
    <t>FD00151</t>
  </si>
  <si>
    <t>FD00152</t>
  </si>
  <si>
    <t>FD00153</t>
  </si>
  <si>
    <t>FD00154</t>
  </si>
  <si>
    <t>FD00155</t>
  </si>
  <si>
    <t>FD00156</t>
  </si>
  <si>
    <t>FD00157</t>
  </si>
  <si>
    <t>FD00158</t>
  </si>
  <si>
    <t>FD00159</t>
  </si>
  <si>
    <t>FD00160</t>
  </si>
  <si>
    <t>FD00161</t>
  </si>
  <si>
    <t>FD00162</t>
  </si>
  <si>
    <t>FD00163</t>
  </si>
  <si>
    <t>FD00164</t>
  </si>
  <si>
    <t>FD00165</t>
  </si>
  <si>
    <t>FD00166</t>
  </si>
  <si>
    <t>FD00167</t>
  </si>
  <si>
    <t>FD00168</t>
  </si>
  <si>
    <t>FD00169</t>
  </si>
  <si>
    <t>FD00170</t>
  </si>
  <si>
    <t>FD00171</t>
  </si>
  <si>
    <t>FD00172</t>
  </si>
  <si>
    <t>FD00173</t>
  </si>
  <si>
    <t>FD00174</t>
  </si>
  <si>
    <t>FD00175</t>
  </si>
  <si>
    <t>FD00176</t>
  </si>
  <si>
    <t>FD00177</t>
  </si>
  <si>
    <t>FD00178</t>
  </si>
  <si>
    <t>FD00179</t>
  </si>
  <si>
    <t>FD00180</t>
  </si>
  <si>
    <t>FD00181</t>
  </si>
  <si>
    <t>FD00182</t>
  </si>
  <si>
    <t>FD00183</t>
  </si>
  <si>
    <t>FD00184</t>
  </si>
  <si>
    <t>FD00185</t>
  </si>
  <si>
    <t>FD00186</t>
  </si>
  <si>
    <t>FD00187</t>
  </si>
  <si>
    <t>FD00188</t>
  </si>
  <si>
    <t>FD00189</t>
  </si>
  <si>
    <t>FD00190</t>
  </si>
  <si>
    <t>FD00191</t>
  </si>
  <si>
    <t>FD00192</t>
  </si>
  <si>
    <t>FD00193</t>
  </si>
  <si>
    <t>FD00194</t>
  </si>
  <si>
    <t>FD00195</t>
  </si>
  <si>
    <t>FD00196</t>
  </si>
  <si>
    <t>FD00197</t>
  </si>
  <si>
    <t>FD00198</t>
  </si>
  <si>
    <t>FD00199</t>
  </si>
  <si>
    <t>FD00200</t>
  </si>
  <si>
    <t>FD00201</t>
  </si>
  <si>
    <t>FD00202</t>
  </si>
  <si>
    <t>FD00203</t>
  </si>
  <si>
    <t>FD00204</t>
  </si>
  <si>
    <t>FD00205</t>
  </si>
  <si>
    <t>FD00206</t>
  </si>
  <si>
    <t>FD00207</t>
  </si>
  <si>
    <t>FD00208</t>
  </si>
  <si>
    <t>FD00209</t>
  </si>
  <si>
    <t>FD00210</t>
  </si>
  <si>
    <t>FD00211</t>
  </si>
  <si>
    <t>FD00212</t>
  </si>
  <si>
    <t>FD00213</t>
  </si>
  <si>
    <t>FD00214</t>
  </si>
  <si>
    <t>FD00215</t>
  </si>
  <si>
    <t>FD00216</t>
  </si>
  <si>
    <t>FD00217</t>
  </si>
  <si>
    <t>FD00218</t>
  </si>
  <si>
    <t>FD00219</t>
  </si>
  <si>
    <t>FD00220</t>
  </si>
  <si>
    <t>FD00221</t>
  </si>
  <si>
    <t>FD00222</t>
  </si>
  <si>
    <t>FD00223</t>
  </si>
  <si>
    <t>FD00224</t>
  </si>
  <si>
    <t>FD00225</t>
  </si>
  <si>
    <t>FD00226</t>
  </si>
  <si>
    <t>FD00227</t>
  </si>
  <si>
    <t>FD00228</t>
  </si>
  <si>
    <t>FD00229</t>
  </si>
  <si>
    <t>FD00230</t>
  </si>
  <si>
    <t>FD00231</t>
  </si>
  <si>
    <t>FD00232</t>
  </si>
  <si>
    <t>FD00233</t>
  </si>
  <si>
    <t>FD00234</t>
  </si>
  <si>
    <t>FD00235</t>
  </si>
  <si>
    <t>FD00236</t>
  </si>
  <si>
    <t>FD00237</t>
  </si>
  <si>
    <t>FD00238</t>
  </si>
  <si>
    <t>FD00239</t>
  </si>
  <si>
    <t>FD00240</t>
  </si>
  <si>
    <t>FD00241</t>
  </si>
  <si>
    <t>FD00242</t>
  </si>
  <si>
    <t>FD00243</t>
  </si>
  <si>
    <t>FD00244</t>
  </si>
  <si>
    <t>FD00245</t>
  </si>
  <si>
    <t>FD00246</t>
  </si>
  <si>
    <t>FD00247</t>
  </si>
  <si>
    <t>FD00248</t>
  </si>
  <si>
    <t>FD00249</t>
  </si>
  <si>
    <t>FD00250</t>
  </si>
  <si>
    <t>FD00251</t>
  </si>
  <si>
    <t>FD00252</t>
  </si>
  <si>
    <t>FD00253</t>
  </si>
  <si>
    <t>FD00254</t>
  </si>
  <si>
    <t>FD00255</t>
  </si>
  <si>
    <t>FD00256</t>
  </si>
  <si>
    <t>FD00257</t>
  </si>
  <si>
    <t>FD00258</t>
  </si>
  <si>
    <t>FD00259</t>
  </si>
  <si>
    <t>FD00260</t>
  </si>
  <si>
    <t>FD00261</t>
  </si>
  <si>
    <t>FD00262</t>
  </si>
  <si>
    <t>FD00263</t>
  </si>
  <si>
    <t>FD00264</t>
  </si>
  <si>
    <t>FD00265</t>
  </si>
  <si>
    <t>FD00266</t>
  </si>
  <si>
    <t>FD00267</t>
  </si>
  <si>
    <t>FD00268</t>
  </si>
  <si>
    <t>FD00269</t>
  </si>
  <si>
    <t>FD00270</t>
  </si>
  <si>
    <t>FD00271</t>
  </si>
  <si>
    <t>FD00272</t>
  </si>
  <si>
    <t>FD00273</t>
  </si>
  <si>
    <t>FD00274</t>
  </si>
  <si>
    <t>FD00275</t>
  </si>
  <si>
    <t>FD00276</t>
  </si>
  <si>
    <t>FD00277</t>
  </si>
  <si>
    <t>FD00278</t>
  </si>
  <si>
    <t>FD00279</t>
  </si>
  <si>
    <t>FD00280</t>
  </si>
  <si>
    <t>FD00281</t>
  </si>
  <si>
    <t>FD00282</t>
  </si>
  <si>
    <t>FD00283</t>
  </si>
  <si>
    <t>FD00284</t>
  </si>
  <si>
    <t>FD00285</t>
  </si>
  <si>
    <t>FD00286</t>
  </si>
  <si>
    <t>FD00287</t>
  </si>
  <si>
    <t>FD00288</t>
  </si>
  <si>
    <t>FD00289</t>
  </si>
  <si>
    <t>FD00290</t>
  </si>
  <si>
    <t>FD00291</t>
  </si>
  <si>
    <t>FD00292</t>
  </si>
  <si>
    <t>FD00293</t>
  </si>
  <si>
    <t>FD00294</t>
  </si>
  <si>
    <t>FD00295</t>
  </si>
  <si>
    <t>FD00296</t>
  </si>
  <si>
    <t>FD00297</t>
  </si>
  <si>
    <t>FD00298</t>
  </si>
  <si>
    <t>FD00299</t>
  </si>
  <si>
    <t>FD00300</t>
  </si>
  <si>
    <t>FD00301</t>
  </si>
  <si>
    <t>FD00302</t>
  </si>
  <si>
    <t>FD00303</t>
  </si>
  <si>
    <t>FD00304</t>
  </si>
  <si>
    <t>FD00305</t>
  </si>
  <si>
    <t>FD00306</t>
  </si>
  <si>
    <t>FD00307</t>
  </si>
  <si>
    <t>FD00308</t>
  </si>
  <si>
    <t>FD00309</t>
  </si>
  <si>
    <t>FD00310</t>
  </si>
  <si>
    <t>FD00311</t>
  </si>
  <si>
    <t>FD00312</t>
  </si>
  <si>
    <t>FD00313</t>
  </si>
  <si>
    <t>FD00314</t>
  </si>
  <si>
    <t>FD00315</t>
  </si>
  <si>
    <t>FD00316</t>
  </si>
  <si>
    <t>FD00317</t>
  </si>
  <si>
    <t>FD00318</t>
  </si>
  <si>
    <t>FD00319</t>
  </si>
  <si>
    <t>FD00320</t>
  </si>
  <si>
    <t>FD00321</t>
  </si>
  <si>
    <t>FD00322</t>
  </si>
  <si>
    <t>FD00323</t>
  </si>
  <si>
    <t>FD00324</t>
  </si>
  <si>
    <t>FD00325</t>
  </si>
  <si>
    <t>FD00326</t>
  </si>
  <si>
    <t>FD00327</t>
  </si>
  <si>
    <t>FD00328</t>
  </si>
  <si>
    <t>FD00329</t>
  </si>
  <si>
    <t>FD00330</t>
  </si>
  <si>
    <t>FD00331</t>
  </si>
  <si>
    <t>FD00332</t>
  </si>
  <si>
    <t>FD00333</t>
  </si>
  <si>
    <t>FD00334</t>
  </si>
  <si>
    <t>FD00335</t>
  </si>
  <si>
    <t>FD00336</t>
  </si>
  <si>
    <t>FD00337</t>
  </si>
  <si>
    <t>FD00338</t>
  </si>
  <si>
    <t>FD00339</t>
  </si>
  <si>
    <t>FD00340</t>
  </si>
  <si>
    <t>FD00341</t>
  </si>
  <si>
    <t>FD00342</t>
  </si>
  <si>
    <t>FD00343</t>
  </si>
  <si>
    <t>FD00344</t>
  </si>
  <si>
    <t>FD00345</t>
  </si>
  <si>
    <t>FD00346</t>
  </si>
  <si>
    <t>FD00347</t>
  </si>
  <si>
    <t>FD00348</t>
  </si>
  <si>
    <t>FD00349</t>
  </si>
  <si>
    <t>FD00350</t>
  </si>
  <si>
    <t>FD00351</t>
  </si>
  <si>
    <t>FD00352</t>
  </si>
  <si>
    <t>FD00353</t>
  </si>
  <si>
    <t>FD00354</t>
  </si>
  <si>
    <t>FD00355</t>
  </si>
  <si>
    <t>FD00356</t>
  </si>
  <si>
    <t>FD00357</t>
  </si>
  <si>
    <t>FD00358</t>
  </si>
  <si>
    <t>FD00359</t>
  </si>
  <si>
    <t>FD00360</t>
  </si>
  <si>
    <t>FD00361</t>
  </si>
  <si>
    <t>FD00362</t>
  </si>
  <si>
    <t>FD00363</t>
  </si>
  <si>
    <t>FD00364</t>
  </si>
  <si>
    <t>FD00365</t>
  </si>
  <si>
    <t>FD00366</t>
  </si>
  <si>
    <t>FD00367</t>
  </si>
  <si>
    <t>FD00368</t>
  </si>
  <si>
    <t>FD00369</t>
  </si>
  <si>
    <t>FD00370</t>
  </si>
  <si>
    <t>FD00371</t>
  </si>
  <si>
    <t>FD00372</t>
  </si>
  <si>
    <t>FD00373</t>
  </si>
  <si>
    <t>FD00374</t>
  </si>
  <si>
    <t>FD00375</t>
  </si>
  <si>
    <t>FD00376</t>
  </si>
  <si>
    <t>FD00377</t>
  </si>
  <si>
    <t>FD00378</t>
  </si>
  <si>
    <t>FD00379</t>
  </si>
  <si>
    <t>FD00380</t>
  </si>
  <si>
    <t>FD00381</t>
  </si>
  <si>
    <t>FD00382</t>
  </si>
  <si>
    <t>FD00383</t>
  </si>
  <si>
    <t>FD00384</t>
  </si>
  <si>
    <t>FD00385</t>
  </si>
  <si>
    <t>FD00386</t>
  </si>
  <si>
    <t>FD00387</t>
  </si>
  <si>
    <t>FD00388</t>
  </si>
  <si>
    <t>FD00389</t>
  </si>
  <si>
    <t>FD00390</t>
  </si>
  <si>
    <t>FD00391</t>
  </si>
  <si>
    <t>FD00392</t>
  </si>
  <si>
    <t>FD00393</t>
  </si>
  <si>
    <t>FD00394</t>
  </si>
  <si>
    <t>FD00395</t>
  </si>
  <si>
    <t>FD00396</t>
  </si>
  <si>
    <t>FD00397</t>
  </si>
  <si>
    <t>FD00398</t>
  </si>
  <si>
    <t>FD00399</t>
  </si>
  <si>
    <t>FD00400</t>
  </si>
  <si>
    <t>FD00401</t>
  </si>
  <si>
    <t>FD00402</t>
  </si>
  <si>
    <t>FD00403</t>
  </si>
  <si>
    <t>FD00404</t>
  </si>
  <si>
    <t>FD00405</t>
  </si>
  <si>
    <t>FD00406</t>
  </si>
  <si>
    <t>FD00407</t>
  </si>
  <si>
    <t>FD00408</t>
  </si>
  <si>
    <t>FD00409</t>
  </si>
  <si>
    <t>FD00410</t>
  </si>
  <si>
    <t>FD00411</t>
  </si>
  <si>
    <t>FD00412</t>
  </si>
  <si>
    <t>FD00413</t>
  </si>
  <si>
    <t>FD00414</t>
  </si>
  <si>
    <t>FD00415</t>
  </si>
  <si>
    <t>FD00416</t>
  </si>
  <si>
    <t>FD00417</t>
  </si>
  <si>
    <t>FD00418</t>
  </si>
  <si>
    <t>FD00419</t>
  </si>
  <si>
    <t>FD00420</t>
  </si>
  <si>
    <t>FD00421</t>
  </si>
  <si>
    <t>FD00422</t>
  </si>
  <si>
    <t>FD00423</t>
  </si>
  <si>
    <t>FD00424</t>
  </si>
  <si>
    <t>FD00425</t>
  </si>
  <si>
    <t>FD00426</t>
  </si>
  <si>
    <t>FD00427</t>
  </si>
  <si>
    <t>FD00428</t>
  </si>
  <si>
    <t>FD00429</t>
  </si>
  <si>
    <t>FD00430</t>
  </si>
  <si>
    <t>FD00431</t>
  </si>
  <si>
    <t>FD00432</t>
  </si>
  <si>
    <t>FD00433</t>
  </si>
  <si>
    <t>FD00434</t>
  </si>
  <si>
    <t>FD00435</t>
  </si>
  <si>
    <t>FD00436</t>
  </si>
  <si>
    <t>FD00437</t>
  </si>
  <si>
    <t>FD00438</t>
  </si>
  <si>
    <t>FD00439</t>
  </si>
  <si>
    <t>FD00440</t>
  </si>
  <si>
    <t>FD00441</t>
  </si>
  <si>
    <t>FD00442</t>
  </si>
  <si>
    <t>FD00443</t>
  </si>
  <si>
    <t>FD00444</t>
  </si>
  <si>
    <t>FD00445</t>
  </si>
  <si>
    <t>FD00446</t>
  </si>
  <si>
    <t>FD00447</t>
  </si>
  <si>
    <t>FD00448</t>
  </si>
  <si>
    <t>FD00449</t>
  </si>
  <si>
    <t>FD00450</t>
  </si>
  <si>
    <t>FD00451</t>
  </si>
  <si>
    <t>FD00452</t>
  </si>
  <si>
    <t>FD00453</t>
  </si>
  <si>
    <t>FD00454</t>
  </si>
  <si>
    <t>FD00455</t>
  </si>
  <si>
    <t>FD00456</t>
  </si>
  <si>
    <t>FD00457</t>
  </si>
  <si>
    <t>FD00458</t>
  </si>
  <si>
    <t>FD00459</t>
  </si>
  <si>
    <t>FD00460</t>
  </si>
  <si>
    <t>FD00461</t>
  </si>
  <si>
    <t>FD00462</t>
  </si>
  <si>
    <t>FD00463</t>
  </si>
  <si>
    <t>FD00464</t>
  </si>
  <si>
    <t>FD00465</t>
  </si>
  <si>
    <t>FD00466</t>
  </si>
  <si>
    <t>FD00467</t>
  </si>
  <si>
    <t>FD00468</t>
  </si>
  <si>
    <t>FD00469</t>
  </si>
  <si>
    <t>FD00470</t>
  </si>
  <si>
    <t>FD00471</t>
  </si>
  <si>
    <t>FD00472</t>
  </si>
  <si>
    <t>FD00473</t>
  </si>
  <si>
    <t>FD00474</t>
  </si>
  <si>
    <t>FD00475</t>
  </si>
  <si>
    <t>FD00476</t>
  </si>
  <si>
    <t>FD00477</t>
  </si>
  <si>
    <t>FD00478</t>
  </si>
  <si>
    <t>FD00479</t>
  </si>
  <si>
    <t>FD00480</t>
  </si>
  <si>
    <t>FD00481</t>
  </si>
  <si>
    <t>FD00482</t>
  </si>
  <si>
    <t>FD00483</t>
  </si>
  <si>
    <t>FD00484</t>
  </si>
  <si>
    <t>FD00485</t>
  </si>
  <si>
    <t>FD00486</t>
  </si>
  <si>
    <t>FD00487</t>
  </si>
  <si>
    <t>FD00488</t>
  </si>
  <si>
    <t>FD00489</t>
  </si>
  <si>
    <t>FD00490</t>
  </si>
  <si>
    <t>FD00491</t>
  </si>
  <si>
    <t>FD00492</t>
  </si>
  <si>
    <t>FD00493</t>
  </si>
  <si>
    <t>FD00494</t>
  </si>
  <si>
    <t>FD00495</t>
  </si>
  <si>
    <t>FD00496</t>
  </si>
  <si>
    <t>FD00497</t>
  </si>
  <si>
    <t>FD00498</t>
  </si>
  <si>
    <t>FD00499</t>
  </si>
  <si>
    <t>FD00500</t>
  </si>
  <si>
    <t>FD00501</t>
  </si>
  <si>
    <t>FD00502</t>
  </si>
  <si>
    <t>FD00503</t>
  </si>
  <si>
    <t>FD00504</t>
  </si>
  <si>
    <t>FD00505</t>
  </si>
  <si>
    <t>FD00506</t>
  </si>
  <si>
    <t>FD00507</t>
  </si>
  <si>
    <t>FD00508</t>
  </si>
  <si>
    <t>FD00509</t>
  </si>
  <si>
    <t>FD00510</t>
  </si>
  <si>
    <t>FD00511</t>
  </si>
  <si>
    <t>FD00512</t>
  </si>
  <si>
    <t>FD00513</t>
  </si>
  <si>
    <t>FD00514</t>
  </si>
  <si>
    <t>FD00515</t>
  </si>
  <si>
    <t>FD00516</t>
  </si>
  <si>
    <t>FD00517</t>
  </si>
  <si>
    <t>FD00518</t>
  </si>
  <si>
    <t>FD00519</t>
  </si>
  <si>
    <t>FD00520</t>
  </si>
  <si>
    <t>FD00521</t>
  </si>
  <si>
    <t>FD00522</t>
  </si>
  <si>
    <t>FD00523</t>
  </si>
  <si>
    <t>FD00524</t>
  </si>
  <si>
    <t>FD00525</t>
  </si>
  <si>
    <t>FD00526</t>
  </si>
  <si>
    <t>FD00527</t>
  </si>
  <si>
    <t>FD00528</t>
  </si>
  <si>
    <t>FD00529</t>
  </si>
  <si>
    <t>FD00530</t>
  </si>
  <si>
    <t>FD00531</t>
  </si>
  <si>
    <t>FD00532</t>
  </si>
  <si>
    <t>FD00533</t>
  </si>
  <si>
    <t>FD00534</t>
  </si>
  <si>
    <t>FD00535</t>
  </si>
  <si>
    <t>FD00536</t>
  </si>
  <si>
    <t>FD00537</t>
  </si>
  <si>
    <t>FD00538</t>
  </si>
  <si>
    <t>FD00539</t>
  </si>
  <si>
    <t>FD00540</t>
  </si>
  <si>
    <t>FD00541</t>
  </si>
  <si>
    <t>FD00542</t>
  </si>
  <si>
    <t>FD00543</t>
  </si>
  <si>
    <t>FD00544</t>
  </si>
  <si>
    <t>FD00545</t>
  </si>
  <si>
    <t>FD00546</t>
  </si>
  <si>
    <t>FD00547</t>
  </si>
  <si>
    <t>FD00548</t>
  </si>
  <si>
    <t>FD00549</t>
  </si>
  <si>
    <t>FD00550</t>
  </si>
  <si>
    <t>FD00551</t>
  </si>
  <si>
    <t>FD00552</t>
  </si>
  <si>
    <t>FD00553</t>
  </si>
  <si>
    <t>FD00554</t>
  </si>
  <si>
    <t>FD00555</t>
  </si>
  <si>
    <t>FD00556</t>
  </si>
  <si>
    <t>FD00557</t>
  </si>
  <si>
    <t>FD00558</t>
  </si>
  <si>
    <t>FD00559</t>
  </si>
  <si>
    <t>FD00560</t>
  </si>
  <si>
    <t>FD00561</t>
  </si>
  <si>
    <t>FD00562</t>
  </si>
  <si>
    <t>FD00563</t>
  </si>
  <si>
    <t>FD00564</t>
  </si>
  <si>
    <t>FD00565</t>
  </si>
  <si>
    <t>FD00566</t>
  </si>
  <si>
    <t>FD00567</t>
  </si>
  <si>
    <t>FD00568</t>
  </si>
  <si>
    <t>FD00569</t>
  </si>
  <si>
    <t>FD00570</t>
  </si>
  <si>
    <t>FD00571</t>
  </si>
  <si>
    <t>FD00572</t>
  </si>
  <si>
    <t>FD00573</t>
  </si>
  <si>
    <t>FD00574</t>
  </si>
  <si>
    <t>FD00575</t>
  </si>
  <si>
    <t>FD00576</t>
  </si>
  <si>
    <t>FD00577</t>
  </si>
  <si>
    <t>FD00578</t>
  </si>
  <si>
    <t>FD00579</t>
  </si>
  <si>
    <t>FD00580</t>
  </si>
  <si>
    <t>FD00581</t>
  </si>
  <si>
    <t>FD00582</t>
  </si>
  <si>
    <t>FD00583</t>
  </si>
  <si>
    <t>FD00584</t>
  </si>
  <si>
    <t>FD00585</t>
  </si>
  <si>
    <t>FD00586</t>
  </si>
  <si>
    <t>FD00587</t>
  </si>
  <si>
    <t>FD00588</t>
  </si>
  <si>
    <t>FD00589</t>
  </si>
  <si>
    <t>FD00590</t>
  </si>
  <si>
    <t>FD00591</t>
  </si>
  <si>
    <t>FD00592</t>
  </si>
  <si>
    <t>FD00593</t>
  </si>
  <si>
    <t>FD00594</t>
  </si>
  <si>
    <t>FD00595</t>
  </si>
  <si>
    <t>FD00596</t>
  </si>
  <si>
    <t>FD00597</t>
  </si>
  <si>
    <t>FD00598</t>
  </si>
  <si>
    <t>FD00599</t>
  </si>
  <si>
    <t>FD00600</t>
  </si>
  <si>
    <t>FD00601</t>
  </si>
  <si>
    <t>FD00602</t>
  </si>
  <si>
    <t>FD00603</t>
  </si>
  <si>
    <t>FD00604</t>
  </si>
  <si>
    <t>FD00605</t>
  </si>
  <si>
    <t>FD00606</t>
  </si>
  <si>
    <t>FD00607</t>
  </si>
  <si>
    <t>FD00608</t>
  </si>
  <si>
    <t>FD00609</t>
  </si>
  <si>
    <t>FD00610</t>
  </si>
  <si>
    <t>FD00611</t>
  </si>
  <si>
    <t>FD00612</t>
  </si>
  <si>
    <t>FD00613</t>
  </si>
  <si>
    <t>FD00614</t>
  </si>
  <si>
    <t>FD00615</t>
  </si>
  <si>
    <t>FD00616</t>
  </si>
  <si>
    <t>FD00617</t>
  </si>
  <si>
    <t>FD00618</t>
  </si>
  <si>
    <t>FD00619</t>
  </si>
  <si>
    <t>FD00620</t>
  </si>
  <si>
    <t>FD00621</t>
  </si>
  <si>
    <t>FD00622</t>
  </si>
  <si>
    <t>FD00623</t>
  </si>
  <si>
    <t>FD00624</t>
  </si>
  <si>
    <t>FD00625</t>
  </si>
  <si>
    <t>FD00626</t>
  </si>
  <si>
    <t>FD00627</t>
  </si>
  <si>
    <t>FD00628</t>
  </si>
  <si>
    <t>FD00629</t>
  </si>
  <si>
    <t>FD00630</t>
  </si>
  <si>
    <t>FD00631</t>
  </si>
  <si>
    <t>FD00632</t>
  </si>
  <si>
    <t>FD00633</t>
  </si>
  <si>
    <t>FD00634</t>
  </si>
  <si>
    <t>FD00635</t>
  </si>
  <si>
    <t>FD00636</t>
  </si>
  <si>
    <t>FD00637</t>
  </si>
  <si>
    <t>FD00638</t>
  </si>
  <si>
    <t>FD00639</t>
  </si>
  <si>
    <t>FD00640</t>
  </si>
  <si>
    <t>FD00641</t>
  </si>
  <si>
    <t>FD00642</t>
  </si>
  <si>
    <t>FD00643</t>
  </si>
  <si>
    <t>FD00644</t>
  </si>
  <si>
    <t>FD00645</t>
  </si>
  <si>
    <t>FD00646</t>
  </si>
  <si>
    <t>FD00647</t>
  </si>
  <si>
    <t>FD00648</t>
  </si>
  <si>
    <t>FD00649</t>
  </si>
  <si>
    <t>FD00650</t>
  </si>
  <si>
    <t>FD00651</t>
  </si>
  <si>
    <t>FD00652</t>
  </si>
  <si>
    <t>FD00653</t>
  </si>
  <si>
    <t>FD00654</t>
  </si>
  <si>
    <t>FD00655</t>
  </si>
  <si>
    <t>FD00656</t>
  </si>
  <si>
    <t>FD00657</t>
  </si>
  <si>
    <t>FD00658</t>
  </si>
  <si>
    <t>FD00659</t>
  </si>
  <si>
    <t>FD00660</t>
  </si>
  <si>
    <t>FD00661</t>
  </si>
  <si>
    <t>FD00662</t>
  </si>
  <si>
    <t>FD00663</t>
  </si>
  <si>
    <t>FD00664</t>
  </si>
  <si>
    <t>FD00665</t>
  </si>
  <si>
    <t>FD00666</t>
  </si>
  <si>
    <t>FD00667</t>
  </si>
  <si>
    <t>FD00668</t>
  </si>
  <si>
    <t>FD00669</t>
  </si>
  <si>
    <t>FD00670</t>
  </si>
  <si>
    <t>FD00671</t>
  </si>
  <si>
    <t>FD00672</t>
  </si>
  <si>
    <t>FD00673</t>
  </si>
  <si>
    <t>FD00674</t>
  </si>
  <si>
    <t>FD00675</t>
  </si>
  <si>
    <t>FD00676</t>
  </si>
  <si>
    <t>FD00677</t>
  </si>
  <si>
    <t>FD00678</t>
  </si>
  <si>
    <t>FD00679</t>
  </si>
  <si>
    <t>FD00680</t>
  </si>
  <si>
    <t>FD00681</t>
  </si>
  <si>
    <t>FD00682</t>
  </si>
  <si>
    <t>FD00683</t>
  </si>
  <si>
    <t>FD00684</t>
  </si>
  <si>
    <t>FD00685</t>
  </si>
  <si>
    <t>FD00686</t>
  </si>
  <si>
    <t>FD00687</t>
  </si>
  <si>
    <t>FD00688</t>
  </si>
  <si>
    <t>FD00689</t>
  </si>
  <si>
    <t>FD00690</t>
  </si>
  <si>
    <t>FD00691</t>
  </si>
  <si>
    <t>FD00692</t>
  </si>
  <si>
    <t>FD00693</t>
  </si>
  <si>
    <t>FD00694</t>
  </si>
  <si>
    <t>FD00695</t>
  </si>
  <si>
    <t>FD00696</t>
  </si>
  <si>
    <t>FD00697</t>
  </si>
  <si>
    <t>FD00698</t>
  </si>
  <si>
    <t>FD00699</t>
  </si>
  <si>
    <t>FD00700</t>
  </si>
  <si>
    <t>FD00701</t>
  </si>
  <si>
    <t>FD00702</t>
  </si>
  <si>
    <t>FD00703</t>
  </si>
  <si>
    <t>FD00704</t>
  </si>
  <si>
    <t>FD00705</t>
  </si>
  <si>
    <t>FD00706</t>
  </si>
  <si>
    <t>FD00707</t>
  </si>
  <si>
    <t>FD00708</t>
  </si>
  <si>
    <t>FD00709</t>
  </si>
  <si>
    <t>FD00710</t>
  </si>
  <si>
    <t>FD00711</t>
  </si>
  <si>
    <t>FD00712</t>
  </si>
  <si>
    <t>FD00713</t>
  </si>
  <si>
    <t>FD00714</t>
  </si>
  <si>
    <t>FD00715</t>
  </si>
  <si>
    <t>FD00716</t>
  </si>
  <si>
    <t>FD00717</t>
  </si>
  <si>
    <t>FD00718</t>
  </si>
  <si>
    <t>FD00719</t>
  </si>
  <si>
    <t>FD00720</t>
  </si>
  <si>
    <t>FD00721</t>
  </si>
  <si>
    <t>FD00722</t>
  </si>
  <si>
    <t>FD00723</t>
  </si>
  <si>
    <t>FD00724</t>
  </si>
  <si>
    <t>FD00725</t>
  </si>
  <si>
    <t>FD00726</t>
  </si>
  <si>
    <t>FD00727</t>
  </si>
  <si>
    <t>FD00728</t>
  </si>
  <si>
    <t>FD00729</t>
  </si>
  <si>
    <t>FD00730</t>
  </si>
  <si>
    <t>FD00731</t>
  </si>
  <si>
    <t>FD00732</t>
  </si>
  <si>
    <t>FD00733</t>
  </si>
  <si>
    <t>FD00734</t>
  </si>
  <si>
    <t>FD00735</t>
  </si>
  <si>
    <t>FD00736</t>
  </si>
  <si>
    <t>FD00737</t>
  </si>
  <si>
    <t>FD00738</t>
  </si>
  <si>
    <t>FD00739</t>
  </si>
  <si>
    <t>FD00740</t>
  </si>
  <si>
    <t>FD00741</t>
  </si>
  <si>
    <t>FD00742</t>
  </si>
  <si>
    <t>FD00743</t>
  </si>
  <si>
    <t>FD00744</t>
  </si>
  <si>
    <t>FD00745</t>
  </si>
  <si>
    <t>FD00746</t>
  </si>
  <si>
    <t>FD00747</t>
  </si>
  <si>
    <t>FD00748</t>
  </si>
  <si>
    <t>FD00749</t>
  </si>
  <si>
    <t>FD00750</t>
  </si>
  <si>
    <t>FD00751</t>
  </si>
  <si>
    <t>FD00752</t>
  </si>
  <si>
    <t>FD00753</t>
  </si>
  <si>
    <t>FD00754</t>
  </si>
  <si>
    <t>FD00755</t>
  </si>
  <si>
    <t>FD00756</t>
  </si>
  <si>
    <t>FD00757</t>
  </si>
  <si>
    <t>FD00758</t>
  </si>
  <si>
    <t>FD00759</t>
  </si>
  <si>
    <t>FD00760</t>
  </si>
  <si>
    <t>FD00761</t>
  </si>
  <si>
    <t>FD00762</t>
  </si>
  <si>
    <t>FD00763</t>
  </si>
  <si>
    <t>FD00764</t>
  </si>
  <si>
    <t>FD00765</t>
  </si>
  <si>
    <t>FD00766</t>
  </si>
  <si>
    <t>FD00767</t>
  </si>
  <si>
    <t>FD00768</t>
  </si>
  <si>
    <t>FD00769</t>
  </si>
  <si>
    <t>FD00770</t>
  </si>
  <si>
    <t>FD00771</t>
  </si>
  <si>
    <t>FD00772</t>
  </si>
  <si>
    <t>FD00773</t>
  </si>
  <si>
    <t>FD00774</t>
  </si>
  <si>
    <t>FD00775</t>
  </si>
  <si>
    <t>FD00776</t>
  </si>
  <si>
    <t>FD00777</t>
  </si>
  <si>
    <t>FD00778</t>
  </si>
  <si>
    <t>FD00779</t>
  </si>
  <si>
    <t>FD00780</t>
  </si>
  <si>
    <t>FD00781</t>
  </si>
  <si>
    <t>FD00782</t>
  </si>
  <si>
    <t>FD00783</t>
  </si>
  <si>
    <t>FD00784</t>
  </si>
  <si>
    <t>FD00785</t>
  </si>
  <si>
    <t>FD00786</t>
  </si>
  <si>
    <t>FD00787</t>
  </si>
  <si>
    <t>FD00788</t>
  </si>
  <si>
    <t>FD00789</t>
  </si>
  <si>
    <t>FD00790</t>
  </si>
  <si>
    <t>FD00791</t>
  </si>
  <si>
    <t>FD00792</t>
  </si>
  <si>
    <t>FD00793</t>
  </si>
  <si>
    <t>FD00794</t>
  </si>
  <si>
    <t>FD00795</t>
  </si>
  <si>
    <t>FD00796</t>
  </si>
  <si>
    <t>FD00797</t>
  </si>
  <si>
    <t>FD00798</t>
  </si>
  <si>
    <t>FD00799</t>
  </si>
  <si>
    <t>FD00800</t>
  </si>
  <si>
    <t>FD00801</t>
  </si>
  <si>
    <t>FD00802</t>
  </si>
  <si>
    <t>FD00803</t>
  </si>
  <si>
    <t>FD00804</t>
  </si>
  <si>
    <t>FD00805</t>
  </si>
  <si>
    <t>FD00806</t>
  </si>
  <si>
    <t>FD00807</t>
  </si>
  <si>
    <t>FD00808</t>
  </si>
  <si>
    <t>FD00809</t>
  </si>
  <si>
    <t>FD00810</t>
  </si>
  <si>
    <t>FD00811</t>
  </si>
  <si>
    <t>FD00812</t>
  </si>
  <si>
    <t>FD00813</t>
  </si>
  <si>
    <t>FD00814</t>
  </si>
  <si>
    <t>FD00815</t>
  </si>
  <si>
    <t>FD00816</t>
  </si>
  <si>
    <t>FD00817</t>
  </si>
  <si>
    <t>FD00818</t>
  </si>
  <si>
    <t>FD00819</t>
  </si>
  <si>
    <t>FD00820</t>
  </si>
  <si>
    <t>FD00821</t>
  </si>
  <si>
    <t>FD00822</t>
  </si>
  <si>
    <t>FD00823</t>
  </si>
  <si>
    <t>FD00824</t>
  </si>
  <si>
    <t>FD00825</t>
  </si>
  <si>
    <t>FD00826</t>
  </si>
  <si>
    <t>FD00827</t>
  </si>
  <si>
    <t>FD00828</t>
  </si>
  <si>
    <t>FD00829</t>
  </si>
  <si>
    <t>FD00830</t>
  </si>
  <si>
    <t>FD00831</t>
  </si>
  <si>
    <t>FD00832</t>
  </si>
  <si>
    <t>FD00833</t>
  </si>
  <si>
    <t>FD00834</t>
  </si>
  <si>
    <t>FD00835</t>
  </si>
  <si>
    <t>FD00836</t>
  </si>
  <si>
    <t>FD00837</t>
  </si>
  <si>
    <t>FD00838</t>
  </si>
  <si>
    <t>FD00839</t>
  </si>
  <si>
    <t>FD00840</t>
  </si>
  <si>
    <t>FD00841</t>
  </si>
  <si>
    <t>FD00842</t>
  </si>
  <si>
    <t>FD00843</t>
  </si>
  <si>
    <t>FD00844</t>
  </si>
  <si>
    <t>FD00845</t>
  </si>
  <si>
    <t>FD00846</t>
  </si>
  <si>
    <t>FD00847</t>
  </si>
  <si>
    <t>FD00848</t>
  </si>
  <si>
    <t>FD00849</t>
  </si>
  <si>
    <t>FD00850</t>
  </si>
  <si>
    <t>FD00851</t>
  </si>
  <si>
    <t>FD00852</t>
  </si>
  <si>
    <t>FD00853</t>
  </si>
  <si>
    <t>FD00854</t>
  </si>
  <si>
    <t>FD00855</t>
  </si>
  <si>
    <t>FD00856</t>
  </si>
  <si>
    <t>FD00857</t>
  </si>
  <si>
    <t>FD00858</t>
  </si>
  <si>
    <t>FD00859</t>
  </si>
  <si>
    <t>FD00860</t>
  </si>
  <si>
    <t>FD00861</t>
  </si>
  <si>
    <t>FD00862</t>
  </si>
  <si>
    <t>FD00863</t>
  </si>
  <si>
    <t>FD00864</t>
  </si>
  <si>
    <t>FD00865</t>
  </si>
  <si>
    <t>FD00866</t>
  </si>
  <si>
    <t>FD00867</t>
  </si>
  <si>
    <t>FD00868</t>
  </si>
  <si>
    <t>FD00869</t>
  </si>
  <si>
    <t>FD00870</t>
  </si>
  <si>
    <t>FD00871</t>
  </si>
  <si>
    <t>FD00872</t>
  </si>
  <si>
    <t>FD00873</t>
  </si>
  <si>
    <t>FD00874</t>
  </si>
  <si>
    <t>FD00875</t>
  </si>
  <si>
    <t>FD00876</t>
  </si>
  <si>
    <t>FD00877</t>
  </si>
  <si>
    <t>FD00878</t>
  </si>
  <si>
    <t>FD00879</t>
  </si>
  <si>
    <t>FD00880</t>
  </si>
  <si>
    <t>FD00881</t>
  </si>
  <si>
    <t>FD00882</t>
  </si>
  <si>
    <t>FD00883</t>
  </si>
  <si>
    <t>FD00884</t>
  </si>
  <si>
    <t>FD00885</t>
  </si>
  <si>
    <t>FD00886</t>
  </si>
  <si>
    <t>FD00887</t>
  </si>
  <si>
    <t>FD00888</t>
  </si>
  <si>
    <t>FD00889</t>
  </si>
  <si>
    <t>FD00890</t>
  </si>
  <si>
    <t>FD00891</t>
  </si>
  <si>
    <t>FD00892</t>
  </si>
  <si>
    <t>FD00893</t>
  </si>
  <si>
    <t>FD00894</t>
  </si>
  <si>
    <t>FD00895</t>
  </si>
  <si>
    <t>FD00896</t>
  </si>
  <si>
    <t>FD00897</t>
  </si>
  <si>
    <t>FD00898</t>
  </si>
  <si>
    <t>FD00899</t>
  </si>
  <si>
    <t>FD00900</t>
  </si>
  <si>
    <t>FD00901</t>
  </si>
  <si>
    <t>FD00902</t>
  </si>
  <si>
    <t>FD00903</t>
  </si>
  <si>
    <t>FD00904</t>
  </si>
  <si>
    <t>FD00905</t>
  </si>
  <si>
    <t>FD00906</t>
  </si>
  <si>
    <t>FD00907</t>
  </si>
  <si>
    <t>FD00908</t>
  </si>
  <si>
    <t>FD00909</t>
  </si>
  <si>
    <t>FD00910</t>
  </si>
  <si>
    <t>FD00911</t>
  </si>
  <si>
    <t>FD00912</t>
  </si>
  <si>
    <t>FD00913</t>
  </si>
  <si>
    <t>FD00914</t>
  </si>
  <si>
    <t>FD00915</t>
  </si>
  <si>
    <t>FD00916</t>
  </si>
  <si>
    <t>FD00917</t>
  </si>
  <si>
    <t>FD00918</t>
  </si>
  <si>
    <t>FD00919</t>
  </si>
  <si>
    <t>FD00920</t>
  </si>
  <si>
    <t>FD00921</t>
  </si>
  <si>
    <t>FD00922</t>
  </si>
  <si>
    <t>FD00923</t>
  </si>
  <si>
    <t>FD00924</t>
  </si>
  <si>
    <t>FD00925</t>
  </si>
  <si>
    <t>FD00926</t>
  </si>
  <si>
    <t>FD00927</t>
  </si>
  <si>
    <t>FD00928</t>
  </si>
  <si>
    <t>FD00929</t>
  </si>
  <si>
    <t>FD00930</t>
  </si>
  <si>
    <t>FD00931</t>
  </si>
  <si>
    <t>FD00932</t>
  </si>
  <si>
    <t>FD00933</t>
  </si>
  <si>
    <t>FD00934</t>
  </si>
  <si>
    <t>FD00935</t>
  </si>
  <si>
    <t>FD00936</t>
  </si>
  <si>
    <t>FD00937</t>
  </si>
  <si>
    <t>FD00938</t>
  </si>
  <si>
    <t>FD00939</t>
  </si>
  <si>
    <t>FD00940</t>
  </si>
  <si>
    <t>FD00941</t>
  </si>
  <si>
    <t>FD00942</t>
  </si>
  <si>
    <t>FD00943</t>
  </si>
  <si>
    <t>FD00944</t>
  </si>
  <si>
    <t>FD00945</t>
  </si>
  <si>
    <t>FD00946</t>
  </si>
  <si>
    <t>FD00947</t>
  </si>
  <si>
    <t>FD00948</t>
  </si>
  <si>
    <t>FD00949</t>
  </si>
  <si>
    <t>FD00950</t>
  </si>
  <si>
    <t>FD00951</t>
  </si>
  <si>
    <t>FD00952</t>
  </si>
  <si>
    <t>FD00953</t>
  </si>
  <si>
    <t>FD00954</t>
  </si>
  <si>
    <t>FD00955</t>
  </si>
  <si>
    <t>FD00956</t>
  </si>
  <si>
    <t>FD00957</t>
  </si>
  <si>
    <t>FD00958</t>
  </si>
  <si>
    <t>FD00959</t>
  </si>
  <si>
    <t>FD00960</t>
  </si>
  <si>
    <t>FD00961</t>
  </si>
  <si>
    <t>FD00962</t>
  </si>
  <si>
    <t>FD00963</t>
  </si>
  <si>
    <t>FD00964</t>
  </si>
  <si>
    <t>FD00965</t>
  </si>
  <si>
    <t>FD00966</t>
  </si>
  <si>
    <t>FD00967</t>
  </si>
  <si>
    <t>FD00968</t>
  </si>
  <si>
    <t>FD00969</t>
  </si>
  <si>
    <t>FD00970</t>
  </si>
  <si>
    <t>FD00971</t>
  </si>
  <si>
    <t>FD00972</t>
  </si>
  <si>
    <t>FD00973</t>
  </si>
  <si>
    <t>FD00974</t>
  </si>
  <si>
    <t>FD00975</t>
  </si>
  <si>
    <t>FD00976</t>
  </si>
  <si>
    <t>FD00977</t>
  </si>
  <si>
    <t>FD00978</t>
  </si>
  <si>
    <t>FD00979</t>
  </si>
  <si>
    <t>FD00980</t>
  </si>
  <si>
    <t>FD00981</t>
  </si>
  <si>
    <t>FD00982</t>
  </si>
  <si>
    <t>FD00983</t>
  </si>
  <si>
    <t>FD00984</t>
  </si>
  <si>
    <t>FD00985</t>
  </si>
  <si>
    <t>FD00986</t>
  </si>
  <si>
    <t>FD00987</t>
  </si>
  <si>
    <t>FD00988</t>
  </si>
  <si>
    <t>FD00989</t>
  </si>
  <si>
    <t>FD00990</t>
  </si>
  <si>
    <t>FD00991</t>
  </si>
  <si>
    <t>FD00992</t>
  </si>
  <si>
    <t>FD00993</t>
  </si>
  <si>
    <t>FD00994</t>
  </si>
  <si>
    <t>FD00995</t>
  </si>
  <si>
    <t>FD00996</t>
  </si>
  <si>
    <t>FD00997</t>
  </si>
  <si>
    <t>FD00998</t>
  </si>
  <si>
    <t>FD00999</t>
  </si>
  <si>
    <t>FD01000</t>
  </si>
  <si>
    <t>FD01001</t>
  </si>
  <si>
    <t>FD01002</t>
  </si>
  <si>
    <t>FD01003</t>
  </si>
  <si>
    <t>FD01004</t>
  </si>
  <si>
    <t>FD01005</t>
  </si>
  <si>
    <t>FD01006</t>
  </si>
  <si>
    <t>FD01007</t>
  </si>
  <si>
    <t>FD01008</t>
  </si>
  <si>
    <t>FD01009</t>
  </si>
  <si>
    <t>FD01010</t>
  </si>
  <si>
    <t>FD01011</t>
  </si>
  <si>
    <t>FD01012</t>
  </si>
  <si>
    <t>FD01013</t>
  </si>
  <si>
    <t>FD01014</t>
  </si>
  <si>
    <t>FD01015</t>
  </si>
  <si>
    <t>FD01016</t>
  </si>
  <si>
    <t>FD01017</t>
  </si>
  <si>
    <t>FD01018</t>
  </si>
  <si>
    <t>FD01019</t>
  </si>
  <si>
    <t>FD01020</t>
  </si>
  <si>
    <t>FD01021</t>
  </si>
  <si>
    <t>FD01022</t>
  </si>
  <si>
    <t>FD01023</t>
  </si>
  <si>
    <t>FD01024</t>
  </si>
  <si>
    <t>FD01025</t>
  </si>
  <si>
    <t>FD01026</t>
  </si>
  <si>
    <t>FD01027</t>
  </si>
  <si>
    <t>FD01028</t>
  </si>
  <si>
    <t>FD01029</t>
  </si>
  <si>
    <t>FD01030</t>
  </si>
  <si>
    <t>FD01031</t>
  </si>
  <si>
    <t>FD01032</t>
  </si>
  <si>
    <t>FD01033</t>
  </si>
  <si>
    <t>FD01034</t>
  </si>
  <si>
    <t>FD01035</t>
  </si>
  <si>
    <t>FD01036</t>
  </si>
  <si>
    <t>FD01037</t>
  </si>
  <si>
    <t>FD01038</t>
  </si>
  <si>
    <t>FD01039</t>
  </si>
  <si>
    <t>FD01040</t>
  </si>
  <si>
    <t>FD01041</t>
  </si>
  <si>
    <t>FD01042</t>
  </si>
  <si>
    <t>FD01043</t>
  </si>
  <si>
    <t>FD01044</t>
  </si>
  <si>
    <t>FD01045</t>
  </si>
  <si>
    <t>FD01046</t>
  </si>
  <si>
    <t>FD01047</t>
  </si>
  <si>
    <t>FD01048</t>
  </si>
  <si>
    <t>FD01049</t>
  </si>
  <si>
    <t>FD01050</t>
  </si>
  <si>
    <t>FD01051</t>
  </si>
  <si>
    <t>FD01052</t>
  </si>
  <si>
    <t>FD01053</t>
  </si>
  <si>
    <t>FD01054</t>
  </si>
  <si>
    <t>FD01055</t>
  </si>
  <si>
    <t>FD01056</t>
  </si>
  <si>
    <t>FD01057</t>
  </si>
  <si>
    <t>FD01058</t>
  </si>
  <si>
    <t>FD01059</t>
  </si>
  <si>
    <t>FD01060</t>
  </si>
  <si>
    <t>FD01061</t>
  </si>
  <si>
    <t>FD01062</t>
  </si>
  <si>
    <t>FD01063</t>
  </si>
  <si>
    <t>FD01064</t>
  </si>
  <si>
    <t>FD01065</t>
  </si>
  <si>
    <t>FD01066</t>
  </si>
  <si>
    <t>FD01067</t>
  </si>
  <si>
    <t>FD01068</t>
  </si>
  <si>
    <t>FD01069</t>
  </si>
  <si>
    <t>FD01070</t>
  </si>
  <si>
    <t>FD01071</t>
  </si>
  <si>
    <t>FD01072</t>
  </si>
  <si>
    <t>FD01073</t>
  </si>
  <si>
    <t>FD01074</t>
  </si>
  <si>
    <t>FD01075</t>
  </si>
  <si>
    <t>FD01076</t>
  </si>
  <si>
    <t>FD01077</t>
  </si>
  <si>
    <t>FD01078</t>
  </si>
  <si>
    <t>FD01079</t>
  </si>
  <si>
    <t>FD01080</t>
  </si>
  <si>
    <t>FD01081</t>
  </si>
  <si>
    <t>FD01082</t>
  </si>
  <si>
    <t>FD01083</t>
  </si>
  <si>
    <t>FD01084</t>
  </si>
  <si>
    <t>FD01085</t>
  </si>
  <si>
    <t>FD01086</t>
  </si>
  <si>
    <t>FD01087</t>
  </si>
  <si>
    <t>FD01088</t>
  </si>
  <si>
    <t>FD01089</t>
  </si>
  <si>
    <t>FD01090</t>
  </si>
  <si>
    <t>FD01091</t>
  </si>
  <si>
    <t>FD01092</t>
  </si>
  <si>
    <t>FD01093</t>
  </si>
  <si>
    <t>FD01094</t>
  </si>
  <si>
    <t>FD01095</t>
  </si>
  <si>
    <t>FD01096</t>
  </si>
  <si>
    <t>FD01097</t>
  </si>
  <si>
    <t>FD01098</t>
  </si>
  <si>
    <t>FD01099</t>
  </si>
  <si>
    <t>FD01100</t>
  </si>
  <si>
    <t>FD01101</t>
  </si>
  <si>
    <t>FD01102</t>
  </si>
  <si>
    <t>FD01103</t>
  </si>
  <si>
    <t>FD01104</t>
  </si>
  <si>
    <t>FD01105</t>
  </si>
  <si>
    <t>FD01106</t>
  </si>
  <si>
    <t>FD01107</t>
  </si>
  <si>
    <t>FD01108</t>
  </si>
  <si>
    <t>FD01109</t>
  </si>
  <si>
    <t>FD01110</t>
  </si>
  <si>
    <t>FD01111</t>
  </si>
  <si>
    <t>FD01112</t>
  </si>
  <si>
    <t>FD01113</t>
  </si>
  <si>
    <t>FD01114</t>
  </si>
  <si>
    <t>FD01115</t>
  </si>
  <si>
    <t>FD01116</t>
  </si>
  <si>
    <t>FD01117</t>
  </si>
  <si>
    <t>FD01118</t>
  </si>
  <si>
    <t>FD01119</t>
  </si>
  <si>
    <t>FD01120</t>
  </si>
  <si>
    <t>FD01121</t>
  </si>
  <si>
    <t>FD01122</t>
  </si>
  <si>
    <t>FD01123</t>
  </si>
  <si>
    <t>FD01124</t>
  </si>
  <si>
    <t>FD01125</t>
  </si>
  <si>
    <t>FD01126</t>
  </si>
  <si>
    <t>FD01127</t>
  </si>
  <si>
    <t>FD01128</t>
  </si>
  <si>
    <t>FD01129</t>
  </si>
  <si>
    <t>FD01130</t>
  </si>
  <si>
    <t>FD01131</t>
  </si>
  <si>
    <t>FD01132</t>
  </si>
  <si>
    <t>FD01133</t>
  </si>
  <si>
    <t>FD01134</t>
  </si>
  <si>
    <t>FD01135</t>
  </si>
  <si>
    <t>FD01136</t>
  </si>
  <si>
    <t>FD01137</t>
  </si>
  <si>
    <t>FD01138</t>
  </si>
  <si>
    <t>FD01139</t>
  </si>
  <si>
    <t>FD01140</t>
  </si>
  <si>
    <t>FD01141</t>
  </si>
  <si>
    <t>FD01142</t>
  </si>
  <si>
    <t>FD01143</t>
  </si>
  <si>
    <t>FD01144</t>
  </si>
  <si>
    <t>FD01145</t>
  </si>
  <si>
    <t>FD01146</t>
  </si>
  <si>
    <t>FD01147</t>
  </si>
  <si>
    <t>FD01148</t>
  </si>
  <si>
    <t>FD01149</t>
  </si>
  <si>
    <t>FD01150</t>
  </si>
  <si>
    <t>FD01151</t>
  </si>
  <si>
    <t>FD01152</t>
  </si>
  <si>
    <t>FD01153</t>
  </si>
  <si>
    <t>FD01154</t>
  </si>
  <si>
    <t>FD01155</t>
  </si>
  <si>
    <t>FD01156</t>
  </si>
  <si>
    <t>FD01157</t>
  </si>
  <si>
    <t>FD01158</t>
  </si>
  <si>
    <t>FD01159</t>
  </si>
  <si>
    <t>FD01160</t>
  </si>
  <si>
    <t>FD01161</t>
  </si>
  <si>
    <t>FD01162</t>
  </si>
  <si>
    <t>FD01163</t>
  </si>
  <si>
    <t>FD01164</t>
  </si>
  <si>
    <t>FD01165</t>
  </si>
  <si>
    <t>FD01166</t>
  </si>
  <si>
    <t>FD01167</t>
  </si>
  <si>
    <t>FD01168</t>
  </si>
  <si>
    <t>FD01169</t>
  </si>
  <si>
    <t>FD01170</t>
  </si>
  <si>
    <t>FD01171</t>
  </si>
  <si>
    <t>FD01172</t>
  </si>
  <si>
    <t>FD01173</t>
  </si>
  <si>
    <t>FD01174</t>
  </si>
  <si>
    <t>FD01175</t>
  </si>
  <si>
    <t>FD01176</t>
  </si>
  <si>
    <t>FD01177</t>
  </si>
  <si>
    <t>FD01178</t>
  </si>
  <si>
    <t>FD01179</t>
  </si>
  <si>
    <t>FD01180</t>
  </si>
  <si>
    <t>FD01181</t>
  </si>
  <si>
    <t>FD01182</t>
  </si>
  <si>
    <t>FD01183</t>
  </si>
  <si>
    <t>FD01184</t>
  </si>
  <si>
    <t>FD01185</t>
  </si>
  <si>
    <t>FD01186</t>
  </si>
  <si>
    <t>FD01187</t>
  </si>
  <si>
    <t>FD01188</t>
  </si>
  <si>
    <t>FD01189</t>
  </si>
  <si>
    <t>FD01190</t>
  </si>
  <si>
    <t>FD01191</t>
  </si>
  <si>
    <t>FD01192</t>
  </si>
  <si>
    <t>FD01193</t>
  </si>
  <si>
    <t>FD01194</t>
  </si>
  <si>
    <t>FD01195</t>
  </si>
  <si>
    <t>FD01196</t>
  </si>
  <si>
    <t>FD01197</t>
  </si>
  <si>
    <t>FD01198</t>
  </si>
  <si>
    <t>FD01199</t>
  </si>
  <si>
    <t>FD01200</t>
  </si>
  <si>
    <t>FD01201</t>
  </si>
  <si>
    <t>FD01202</t>
  </si>
  <si>
    <t>FD01203</t>
  </si>
  <si>
    <t>FD01204</t>
  </si>
  <si>
    <t>FD01205</t>
  </si>
  <si>
    <t>FD01206</t>
  </si>
  <si>
    <t>FD01207</t>
  </si>
  <si>
    <t>FD01208</t>
  </si>
  <si>
    <t>FD01209</t>
  </si>
  <si>
    <t>FD01210</t>
  </si>
  <si>
    <t>FD01211</t>
  </si>
  <si>
    <t>FD01212</t>
  </si>
  <si>
    <t>FD01213</t>
  </si>
  <si>
    <t>FD01214</t>
  </si>
  <si>
    <t>FD01215</t>
  </si>
  <si>
    <t>FD01216</t>
  </si>
  <si>
    <t>FD01217</t>
  </si>
  <si>
    <t>FD01218</t>
  </si>
  <si>
    <t>FD01219</t>
  </si>
  <si>
    <t>FD01220</t>
  </si>
  <si>
    <t>FD01221</t>
  </si>
  <si>
    <t>FD01222</t>
  </si>
  <si>
    <t>FD01223</t>
  </si>
  <si>
    <t>FD01224</t>
  </si>
  <si>
    <t>FD01225</t>
  </si>
  <si>
    <t>FD01226</t>
  </si>
  <si>
    <t>FD01227</t>
  </si>
  <si>
    <t>FD01228</t>
  </si>
  <si>
    <t>FD01229</t>
  </si>
  <si>
    <t>FD01230</t>
  </si>
  <si>
    <t>FD01231</t>
  </si>
  <si>
    <t>FD01232</t>
  </si>
  <si>
    <t>FD01233</t>
  </si>
  <si>
    <t>FD01234</t>
  </si>
  <si>
    <t>FD01235</t>
  </si>
  <si>
    <t>FD01236</t>
  </si>
  <si>
    <t>FD01237</t>
  </si>
  <si>
    <t>FD01238</t>
  </si>
  <si>
    <t>FD01239</t>
  </si>
  <si>
    <t>FD01240</t>
  </si>
  <si>
    <t>FD01241</t>
  </si>
  <si>
    <t>FD01242</t>
  </si>
  <si>
    <t>FD01243</t>
  </si>
  <si>
    <t>FD01244</t>
  </si>
  <si>
    <t>FD01245</t>
  </si>
  <si>
    <t>FD01246</t>
  </si>
  <si>
    <t>FD01247</t>
  </si>
  <si>
    <t>FD01248</t>
  </si>
  <si>
    <t>FD01249</t>
  </si>
  <si>
    <t>FD01250</t>
  </si>
  <si>
    <t>FD01251</t>
  </si>
  <si>
    <t>FD01252</t>
  </si>
  <si>
    <t>FD01253</t>
  </si>
  <si>
    <t>FD01254</t>
  </si>
  <si>
    <t>FD01255</t>
  </si>
  <si>
    <t>FD01256</t>
  </si>
  <si>
    <t>FD01257</t>
  </si>
  <si>
    <t>FD01258</t>
  </si>
  <si>
    <t>FD01259</t>
  </si>
  <si>
    <t>FD01260</t>
  </si>
  <si>
    <t>FD01261</t>
  </si>
  <si>
    <t>FD01262</t>
  </si>
  <si>
    <t>FD01263</t>
  </si>
  <si>
    <t>FD01264</t>
  </si>
  <si>
    <t>FD01265</t>
  </si>
  <si>
    <t>FD01266</t>
  </si>
  <si>
    <t>FD01267</t>
  </si>
  <si>
    <t>FD01268</t>
  </si>
  <si>
    <t>FD01269</t>
  </si>
  <si>
    <t>FD01270</t>
  </si>
  <si>
    <t>FD01271</t>
  </si>
  <si>
    <t>FD01272</t>
  </si>
  <si>
    <t>FD01273</t>
  </si>
  <si>
    <t>FD01274</t>
  </si>
  <si>
    <t>FD01275</t>
  </si>
  <si>
    <t>FD01276</t>
  </si>
  <si>
    <t>FD01277</t>
  </si>
  <si>
    <t>FD01278</t>
  </si>
  <si>
    <t>FD01279</t>
  </si>
  <si>
    <t>FD01280</t>
  </si>
  <si>
    <t>FD01281</t>
  </si>
  <si>
    <t>FD01282</t>
  </si>
  <si>
    <t>FD01283</t>
  </si>
  <si>
    <t>FD01284</t>
  </si>
  <si>
    <t>FD01285</t>
  </si>
  <si>
    <t>FD01286</t>
  </si>
  <si>
    <t>FD01287</t>
  </si>
  <si>
    <t>FD01288</t>
  </si>
  <si>
    <t>FD01289</t>
  </si>
  <si>
    <t>FD01290</t>
  </si>
  <si>
    <t>FD01291</t>
  </si>
  <si>
    <t>FD01292</t>
  </si>
  <si>
    <t>FD01293</t>
  </si>
  <si>
    <t>FD01294</t>
  </si>
  <si>
    <t>FD01295</t>
  </si>
  <si>
    <t>FD01296</t>
  </si>
  <si>
    <t>FD01297</t>
  </si>
  <si>
    <t>FD01298</t>
  </si>
  <si>
    <t>FD01299</t>
  </si>
  <si>
    <t>FD01300</t>
  </si>
  <si>
    <t>FD01301</t>
  </si>
  <si>
    <t>FD01302</t>
  </si>
  <si>
    <t>FD01303</t>
  </si>
  <si>
    <t>FD01304</t>
  </si>
  <si>
    <t>FD01305</t>
  </si>
  <si>
    <t>FD01306</t>
  </si>
  <si>
    <t>FD01307</t>
  </si>
  <si>
    <t>FD01308</t>
  </si>
  <si>
    <t>FD01309</t>
  </si>
  <si>
    <t>FD01310</t>
  </si>
  <si>
    <t>FD01311</t>
  </si>
  <si>
    <t>FD01312</t>
  </si>
  <si>
    <t>FD01313</t>
  </si>
  <si>
    <t>FD01314</t>
  </si>
  <si>
    <t>FD01315</t>
  </si>
  <si>
    <t>FD01316</t>
  </si>
  <si>
    <t>FD01317</t>
  </si>
  <si>
    <t>FD01318</t>
  </si>
  <si>
    <t>FD01319</t>
  </si>
  <si>
    <t>FD01320</t>
  </si>
  <si>
    <t>FD01321</t>
  </si>
  <si>
    <t>FD01322</t>
  </si>
  <si>
    <t>FD01323</t>
  </si>
  <si>
    <t>FD01324</t>
  </si>
  <si>
    <t>FD01325</t>
  </si>
  <si>
    <t>FD01326</t>
  </si>
  <si>
    <t>FD01327</t>
  </si>
  <si>
    <t>FD01328</t>
  </si>
  <si>
    <t>FD01329</t>
  </si>
  <si>
    <t>FD01330</t>
  </si>
  <si>
    <t>FD01331</t>
  </si>
  <si>
    <t>FD01332</t>
  </si>
  <si>
    <t>FD01333</t>
  </si>
  <si>
    <t>FD01334</t>
  </si>
  <si>
    <t>FD01335</t>
  </si>
  <si>
    <t>FD01336</t>
  </si>
  <si>
    <t>FD01337</t>
  </si>
  <si>
    <t>FD01338</t>
  </si>
  <si>
    <t>FD01339</t>
  </si>
  <si>
    <t>FD01340</t>
  </si>
  <si>
    <t>FD01341</t>
  </si>
  <si>
    <t>FD01342</t>
  </si>
  <si>
    <t>FD01343</t>
  </si>
  <si>
    <t>FD01344</t>
  </si>
  <si>
    <t>FD01345</t>
  </si>
  <si>
    <t>FD01346</t>
  </si>
  <si>
    <t>FD01347</t>
  </si>
  <si>
    <t>FD01348</t>
  </si>
  <si>
    <t>FD01349</t>
  </si>
  <si>
    <t>FD01350</t>
  </si>
  <si>
    <t>FD01351</t>
  </si>
  <si>
    <t>FD01352</t>
  </si>
  <si>
    <t>FD01353</t>
  </si>
  <si>
    <t>FD01354</t>
  </si>
  <si>
    <t>FD01355</t>
  </si>
  <si>
    <t>FD01356</t>
  </si>
  <si>
    <t>FD01357</t>
  </si>
  <si>
    <t>FD01358</t>
  </si>
  <si>
    <t>FD01359</t>
  </si>
  <si>
    <t>FD01360</t>
  </si>
  <si>
    <t>FD01361</t>
  </si>
  <si>
    <t>FD01362</t>
  </si>
  <si>
    <t>FD01363</t>
  </si>
  <si>
    <t>FD01364</t>
  </si>
  <si>
    <t>FD01365</t>
  </si>
  <si>
    <t>FD01366</t>
  </si>
  <si>
    <t>FD01367</t>
  </si>
  <si>
    <t>FD01368</t>
  </si>
  <si>
    <t>FD01369</t>
  </si>
  <si>
    <t>FD01370</t>
  </si>
  <si>
    <t>FD01371</t>
  </si>
  <si>
    <t>FD01372</t>
  </si>
  <si>
    <t>FD01373</t>
  </si>
  <si>
    <t>FD01374</t>
  </si>
  <si>
    <t>FD01375</t>
  </si>
  <si>
    <t>FD01376</t>
  </si>
  <si>
    <t>FD01377</t>
  </si>
  <si>
    <t>FD01378</t>
  </si>
  <si>
    <t>FD01379</t>
  </si>
  <si>
    <t>FD01380</t>
  </si>
  <si>
    <t>FD01381</t>
  </si>
  <si>
    <t>FD01382</t>
  </si>
  <si>
    <t>FD01383</t>
  </si>
  <si>
    <t>FD01384</t>
  </si>
  <si>
    <t>FD01385</t>
  </si>
  <si>
    <t>FD01386</t>
  </si>
  <si>
    <t>FD01387</t>
  </si>
  <si>
    <t>FD01388</t>
  </si>
  <si>
    <t>FD01389</t>
  </si>
  <si>
    <t>FD01390</t>
  </si>
  <si>
    <t>FD01391</t>
  </si>
  <si>
    <t>FD01392</t>
  </si>
  <si>
    <t>FD01393</t>
  </si>
  <si>
    <t>FD01394</t>
  </si>
  <si>
    <t>FD01395</t>
  </si>
  <si>
    <t>FD01396</t>
  </si>
  <si>
    <t>FD01397</t>
  </si>
  <si>
    <t>FD01398</t>
  </si>
  <si>
    <t>FD01399</t>
  </si>
  <si>
    <t>FD01400</t>
  </si>
  <si>
    <t>FD01401</t>
  </si>
  <si>
    <t>FD01402</t>
  </si>
  <si>
    <t>FD01403</t>
  </si>
  <si>
    <t>FD01404</t>
  </si>
  <si>
    <t>FD01405</t>
  </si>
  <si>
    <t>FD01406</t>
  </si>
  <si>
    <t>FD01407</t>
  </si>
  <si>
    <t>FD01408</t>
  </si>
  <si>
    <t>FD01409</t>
  </si>
  <si>
    <t>FD01410</t>
  </si>
  <si>
    <t>FD01411</t>
  </si>
  <si>
    <t>FD01412</t>
  </si>
  <si>
    <t>FD01413</t>
  </si>
  <si>
    <t>FD01414</t>
  </si>
  <si>
    <t>FD01415</t>
  </si>
  <si>
    <t>FD01416</t>
  </si>
  <si>
    <t>FD01417</t>
  </si>
  <si>
    <t>FD01418</t>
  </si>
  <si>
    <t>FD01419</t>
  </si>
  <si>
    <t>FD01420</t>
  </si>
  <si>
    <t>FD01421</t>
  </si>
  <si>
    <t>FD01422</t>
  </si>
  <si>
    <t>FD01423</t>
  </si>
  <si>
    <t>FD01424</t>
  </si>
  <si>
    <t>FD01425</t>
  </si>
  <si>
    <t>FD01426</t>
  </si>
  <si>
    <t>FD01427</t>
  </si>
  <si>
    <t>FD01428</t>
  </si>
  <si>
    <t>FD01429</t>
  </si>
  <si>
    <t>FD01430</t>
  </si>
  <si>
    <t>FD01431</t>
  </si>
  <si>
    <t>FD01432</t>
  </si>
  <si>
    <t>FD01433</t>
  </si>
  <si>
    <t>FD01434</t>
  </si>
  <si>
    <t>FD01435</t>
  </si>
  <si>
    <t>FD01436</t>
  </si>
  <si>
    <t>FD01437</t>
  </si>
  <si>
    <t>FD01438</t>
  </si>
  <si>
    <t>FD01439</t>
  </si>
  <si>
    <t>FD01440</t>
  </si>
  <si>
    <t>FD01441</t>
  </si>
  <si>
    <t>FD01442</t>
  </si>
  <si>
    <t>FD01443</t>
  </si>
  <si>
    <t>FD01444</t>
  </si>
  <si>
    <t>FD01445</t>
  </si>
  <si>
    <t>FD01446</t>
  </si>
  <si>
    <t>FD01447</t>
  </si>
  <si>
    <t>FD01448</t>
  </si>
  <si>
    <t>FD01449</t>
  </si>
  <si>
    <t>FD01450</t>
  </si>
  <si>
    <t>FD01451</t>
  </si>
  <si>
    <t>FD01452</t>
  </si>
  <si>
    <t>FD01453</t>
  </si>
  <si>
    <t>FD01454</t>
  </si>
  <si>
    <t>FD01455</t>
  </si>
  <si>
    <t>FD01456</t>
  </si>
  <si>
    <t>FD01457</t>
  </si>
  <si>
    <t>FD01458</t>
  </si>
  <si>
    <t>FD01459</t>
  </si>
  <si>
    <t>FD01460</t>
  </si>
  <si>
    <t>FD01461</t>
  </si>
  <si>
    <t>FD01462</t>
  </si>
  <si>
    <t>FD01463</t>
  </si>
  <si>
    <t>FD01464</t>
  </si>
  <si>
    <t>FD01465</t>
  </si>
  <si>
    <t>FD01466</t>
  </si>
  <si>
    <t>FD01467</t>
  </si>
  <si>
    <t>FD01468</t>
  </si>
  <si>
    <t>FD01469</t>
  </si>
  <si>
    <t>FD01470</t>
  </si>
  <si>
    <t>FD01471</t>
  </si>
  <si>
    <t>FD01472</t>
  </si>
  <si>
    <t>FD01473</t>
  </si>
  <si>
    <t>FD01474</t>
  </si>
  <si>
    <t>FD01475</t>
  </si>
  <si>
    <t>FD01476</t>
  </si>
  <si>
    <t>FD01477</t>
  </si>
  <si>
    <t>FD01478</t>
  </si>
  <si>
    <t>FD01479</t>
  </si>
  <si>
    <t>FD01480</t>
  </si>
  <si>
    <t>FD01481</t>
  </si>
  <si>
    <t>FD01482</t>
  </si>
  <si>
    <t>FD01483</t>
  </si>
  <si>
    <t>FD01484</t>
  </si>
  <si>
    <t>FD01485</t>
  </si>
  <si>
    <t>FD01486</t>
  </si>
  <si>
    <t>FD01487</t>
  </si>
  <si>
    <t>FD01488</t>
  </si>
  <si>
    <t>FD01489</t>
  </si>
  <si>
    <t>FD01490</t>
  </si>
  <si>
    <t>FD01491</t>
  </si>
  <si>
    <t>FD01492</t>
  </si>
  <si>
    <t>FD01493</t>
  </si>
  <si>
    <t>FD01494</t>
  </si>
  <si>
    <t>FD01495</t>
  </si>
  <si>
    <t>FD01496</t>
  </si>
  <si>
    <t>FD01497</t>
  </si>
  <si>
    <t>FD01498</t>
  </si>
  <si>
    <t>FD01499</t>
  </si>
  <si>
    <t>FD01500</t>
  </si>
  <si>
    <t>FD01501</t>
  </si>
  <si>
    <t>FD01502</t>
  </si>
  <si>
    <t>FD01503</t>
  </si>
  <si>
    <t>FD01504</t>
  </si>
  <si>
    <t>FD01505</t>
  </si>
  <si>
    <t>FD01506</t>
  </si>
  <si>
    <t>FD01507</t>
  </si>
  <si>
    <t>FD01508</t>
  </si>
  <si>
    <t>FD01509</t>
  </si>
  <si>
    <t>FD01510</t>
  </si>
  <si>
    <t>FD01511</t>
  </si>
  <si>
    <t>FD01512</t>
  </si>
  <si>
    <t>FD01513</t>
  </si>
  <si>
    <t>FD01514</t>
  </si>
  <si>
    <t>FD01515</t>
  </si>
  <si>
    <t>FD01516</t>
  </si>
  <si>
    <t>FD01517</t>
  </si>
  <si>
    <t>FD01518</t>
  </si>
  <si>
    <t>FD01519</t>
  </si>
  <si>
    <t>FD01520</t>
  </si>
  <si>
    <t>FD01521</t>
  </si>
  <si>
    <t>FD01522</t>
  </si>
  <si>
    <t>FD01523</t>
  </si>
  <si>
    <t>FD01524</t>
  </si>
  <si>
    <t>FD01525</t>
  </si>
  <si>
    <t>FD01526</t>
  </si>
  <si>
    <t>FD01527</t>
  </si>
  <si>
    <t>FD01528</t>
  </si>
  <si>
    <t>FD01529</t>
  </si>
  <si>
    <t>FD01530</t>
  </si>
  <si>
    <t>FD01531</t>
  </si>
  <si>
    <t>FD01532</t>
  </si>
  <si>
    <t>FD01533</t>
  </si>
  <si>
    <t>FD01534</t>
  </si>
  <si>
    <t>FD01535</t>
  </si>
  <si>
    <t>FD01536</t>
  </si>
  <si>
    <t>FD01537</t>
  </si>
  <si>
    <t>FD01538</t>
  </si>
  <si>
    <t>FD01539</t>
  </si>
  <si>
    <t>FD01540</t>
  </si>
  <si>
    <t>FD01541</t>
  </si>
  <si>
    <t>FD01542</t>
  </si>
  <si>
    <t>FD01543</t>
  </si>
  <si>
    <t>FD01544</t>
  </si>
  <si>
    <t>FD01545</t>
  </si>
  <si>
    <t>FD01546</t>
  </si>
  <si>
    <t>FD01547</t>
  </si>
  <si>
    <t>FD01548</t>
  </si>
  <si>
    <t>FD01549</t>
  </si>
  <si>
    <t>FD01550</t>
  </si>
  <si>
    <t>FD01551</t>
  </si>
  <si>
    <t>FD01552</t>
  </si>
  <si>
    <t>FD01553</t>
  </si>
  <si>
    <t>FD01554</t>
  </si>
  <si>
    <t>FD01555</t>
  </si>
  <si>
    <t>FD01556</t>
  </si>
  <si>
    <t>FD01557</t>
  </si>
  <si>
    <t>FD01558</t>
  </si>
  <si>
    <t>FD01559</t>
  </si>
  <si>
    <t>FD01560</t>
  </si>
  <si>
    <t>FD01561</t>
  </si>
  <si>
    <t>FD01562</t>
  </si>
  <si>
    <t>FD01563</t>
  </si>
  <si>
    <t>FD01564</t>
  </si>
  <si>
    <t>FD01565</t>
  </si>
  <si>
    <t>FD01566</t>
  </si>
  <si>
    <t>FD01567</t>
  </si>
  <si>
    <t>FD01568</t>
  </si>
  <si>
    <t>FD01569</t>
  </si>
  <si>
    <t>FD01570</t>
  </si>
  <si>
    <t>FD01571</t>
  </si>
  <si>
    <t>FD01572</t>
  </si>
  <si>
    <t>FD01573</t>
  </si>
  <si>
    <t>FD01574</t>
  </si>
  <si>
    <t>FD01575</t>
  </si>
  <si>
    <t>FD01576</t>
  </si>
  <si>
    <t>FD01577</t>
  </si>
  <si>
    <t>FD01578</t>
  </si>
  <si>
    <t>FD01579</t>
  </si>
  <si>
    <t>FD01580</t>
  </si>
  <si>
    <t>FD01581</t>
  </si>
  <si>
    <t>FD01582</t>
  </si>
  <si>
    <t>FD01583</t>
  </si>
  <si>
    <t>FD01584</t>
  </si>
  <si>
    <t>FD01585</t>
  </si>
  <si>
    <t>FD01586</t>
  </si>
  <si>
    <t>FD01587</t>
  </si>
  <si>
    <t>FD01588</t>
  </si>
  <si>
    <t>FD01589</t>
  </si>
  <si>
    <t>FD01590</t>
  </si>
  <si>
    <t>FD01591</t>
  </si>
  <si>
    <t>FD01592</t>
  </si>
  <si>
    <t>FD01593</t>
  </si>
  <si>
    <t>FD01594</t>
  </si>
  <si>
    <t>FD01595</t>
  </si>
  <si>
    <t>FD01596</t>
  </si>
  <si>
    <t>FD01597</t>
  </si>
  <si>
    <t>FD01598</t>
  </si>
  <si>
    <t>FD01599</t>
  </si>
  <si>
    <t>FD01600</t>
  </si>
  <si>
    <t>FD01601</t>
  </si>
  <si>
    <t>FD01602</t>
  </si>
  <si>
    <t>FD01603</t>
  </si>
  <si>
    <t>FD01604</t>
  </si>
  <si>
    <t>FD01605</t>
  </si>
  <si>
    <t>FD01606</t>
  </si>
  <si>
    <t>FD01607</t>
  </si>
  <si>
    <t>FD01608</t>
  </si>
  <si>
    <t>FD01609</t>
  </si>
  <si>
    <t>FD01610</t>
  </si>
  <si>
    <t>FD01611</t>
  </si>
  <si>
    <t>FD01612</t>
  </si>
  <si>
    <t>FD01613</t>
  </si>
  <si>
    <t>FD01614</t>
  </si>
  <si>
    <t>FD01615</t>
  </si>
  <si>
    <t>FD01616</t>
  </si>
  <si>
    <t>FD01617</t>
  </si>
  <si>
    <t>FD01618</t>
  </si>
  <si>
    <t>FD01619</t>
  </si>
  <si>
    <t>FD01620</t>
  </si>
  <si>
    <t>FD01621</t>
  </si>
  <si>
    <t>FD01622</t>
  </si>
  <si>
    <t>FD01623</t>
  </si>
  <si>
    <t>FD01624</t>
  </si>
  <si>
    <t>FD01625</t>
  </si>
  <si>
    <t>FD01626</t>
  </si>
  <si>
    <t>FD01627</t>
  </si>
  <si>
    <t>FD01628</t>
  </si>
  <si>
    <t>FD01629</t>
  </si>
  <si>
    <t>FD01630</t>
  </si>
  <si>
    <t>FD01631</t>
  </si>
  <si>
    <t>FD01632</t>
  </si>
  <si>
    <t>FD01633</t>
  </si>
  <si>
    <t>FD01634</t>
  </si>
  <si>
    <t>FD01635</t>
  </si>
  <si>
    <t>FD01636</t>
  </si>
  <si>
    <t>FD01637</t>
  </si>
  <si>
    <t>FD01638</t>
  </si>
  <si>
    <t>FD01639</t>
  </si>
  <si>
    <t>FD01640</t>
  </si>
  <si>
    <t>FD01641</t>
  </si>
  <si>
    <t>FD01642</t>
  </si>
  <si>
    <t>FD01643</t>
  </si>
  <si>
    <t>FD01644</t>
  </si>
  <si>
    <t>FD01645</t>
  </si>
  <si>
    <t>FD01646</t>
  </si>
  <si>
    <t>FD01647</t>
  </si>
  <si>
    <t>FD01648</t>
  </si>
  <si>
    <t>FD01649</t>
  </si>
  <si>
    <t>FD01650</t>
  </si>
  <si>
    <t>FD01651</t>
  </si>
  <si>
    <t>FD01652</t>
  </si>
  <si>
    <t>FD01653</t>
  </si>
  <si>
    <t>FD01654</t>
  </si>
  <si>
    <t>FD01655</t>
  </si>
  <si>
    <t>FD01656</t>
  </si>
  <si>
    <t>FD01657</t>
  </si>
  <si>
    <t>FD01658</t>
  </si>
  <si>
    <t>FD01659</t>
  </si>
  <si>
    <t>FD01660</t>
  </si>
  <si>
    <t>FD01661</t>
  </si>
  <si>
    <t>FD01662</t>
  </si>
  <si>
    <t>FD01663</t>
  </si>
  <si>
    <t>FD01664</t>
  </si>
  <si>
    <t>FD01665</t>
  </si>
  <si>
    <t>FD01666</t>
  </si>
  <si>
    <t>FD01667</t>
  </si>
  <si>
    <t>FD01668</t>
  </si>
  <si>
    <t>FD01669</t>
  </si>
  <si>
    <t>FD01670</t>
  </si>
  <si>
    <t>FD01671</t>
  </si>
  <si>
    <t>FD01672</t>
  </si>
  <si>
    <t>FD01673</t>
  </si>
  <si>
    <t>FD01674</t>
  </si>
  <si>
    <t>FD01675</t>
  </si>
  <si>
    <t>FD01676</t>
  </si>
  <si>
    <t>FD01677</t>
  </si>
  <si>
    <t>FD01678</t>
  </si>
  <si>
    <t>FD01679</t>
  </si>
  <si>
    <t>FD01680</t>
  </si>
  <si>
    <t>FD01681</t>
  </si>
  <si>
    <t>FD01682</t>
  </si>
  <si>
    <t>FD01683</t>
  </si>
  <si>
    <t>FD01684</t>
  </si>
  <si>
    <t>FD01685</t>
  </si>
  <si>
    <t>FD01686</t>
  </si>
  <si>
    <t>FD01687</t>
  </si>
  <si>
    <t>FD01688</t>
  </si>
  <si>
    <t>FD01689</t>
  </si>
  <si>
    <t>FD01690</t>
  </si>
  <si>
    <t>FD01691</t>
  </si>
  <si>
    <t>FD01692</t>
  </si>
  <si>
    <t>FD01693</t>
  </si>
  <si>
    <t>FD01694</t>
  </si>
  <si>
    <t>FD01695</t>
  </si>
  <si>
    <t>FD01696</t>
  </si>
  <si>
    <t>FD01697</t>
  </si>
  <si>
    <t>FD01698</t>
  </si>
  <si>
    <t>FD01699</t>
  </si>
  <si>
    <t>FD01700</t>
  </si>
  <si>
    <t>FD01701</t>
  </si>
  <si>
    <t>FD01702</t>
  </si>
  <si>
    <t>FD01703</t>
  </si>
  <si>
    <t>FD01704</t>
  </si>
  <si>
    <t>FD01705</t>
  </si>
  <si>
    <t>FD01706</t>
  </si>
  <si>
    <t>FD01707</t>
  </si>
  <si>
    <t>FD01708</t>
  </si>
  <si>
    <t>FD01709</t>
  </si>
  <si>
    <t>FD01710</t>
  </si>
  <si>
    <t>FD01711</t>
  </si>
  <si>
    <t>FD01712</t>
  </si>
  <si>
    <t>FD01713</t>
  </si>
  <si>
    <t>FD01714</t>
  </si>
  <si>
    <t>FD01715</t>
  </si>
  <si>
    <t>FD01716</t>
  </si>
  <si>
    <t>FD01717</t>
  </si>
  <si>
    <t>FD01718</t>
  </si>
  <si>
    <t>FD01719</t>
  </si>
  <si>
    <t>FD01720</t>
  </si>
  <si>
    <t>FD01721</t>
  </si>
  <si>
    <t>FD01722</t>
  </si>
  <si>
    <t>FD01723</t>
  </si>
  <si>
    <t>FD01724</t>
  </si>
  <si>
    <t>FD01725</t>
  </si>
  <si>
    <t>FD01726</t>
  </si>
  <si>
    <t>FD01727</t>
  </si>
  <si>
    <t>FD01728</t>
  </si>
  <si>
    <t>FD01729</t>
  </si>
  <si>
    <t>FD01730</t>
  </si>
  <si>
    <t>FD01731</t>
  </si>
  <si>
    <t>FD01732</t>
  </si>
  <si>
    <t>FD01733</t>
  </si>
  <si>
    <t>FD01734</t>
  </si>
  <si>
    <t>FD01735</t>
  </si>
  <si>
    <t>FD01736</t>
  </si>
  <si>
    <t>FD01737</t>
  </si>
  <si>
    <t>FD01738</t>
  </si>
  <si>
    <t>FD01739</t>
  </si>
  <si>
    <t>FD01740</t>
  </si>
  <si>
    <t>FD01741</t>
  </si>
  <si>
    <t>FD01742</t>
  </si>
  <si>
    <t>FD01743</t>
  </si>
  <si>
    <t>FD01744</t>
  </si>
  <si>
    <t>FD01745</t>
  </si>
  <si>
    <t>FD01746</t>
  </si>
  <si>
    <t>FD01747</t>
  </si>
  <si>
    <t>FD01748</t>
  </si>
  <si>
    <t>FD01749</t>
  </si>
  <si>
    <t>FD01750</t>
  </si>
  <si>
    <t>FD01751</t>
  </si>
  <si>
    <t>FD01752</t>
  </si>
  <si>
    <t>FD01753</t>
  </si>
  <si>
    <t>FD01754</t>
  </si>
  <si>
    <t>FD01755</t>
  </si>
  <si>
    <t>FD01756</t>
  </si>
  <si>
    <t>FD01757</t>
  </si>
  <si>
    <t>FD01758</t>
  </si>
  <si>
    <t>FD01759</t>
  </si>
  <si>
    <t>FD01760</t>
  </si>
  <si>
    <t>FD01761</t>
  </si>
  <si>
    <t>FD01762</t>
  </si>
  <si>
    <t>FD01763</t>
  </si>
  <si>
    <t>FD01764</t>
  </si>
  <si>
    <t>FD01765</t>
  </si>
  <si>
    <t>FD01766</t>
  </si>
  <si>
    <t>FD01767</t>
  </si>
  <si>
    <t>FD01768</t>
  </si>
  <si>
    <t>FD01769</t>
  </si>
  <si>
    <t>FD01770</t>
  </si>
  <si>
    <t>FD01771</t>
  </si>
  <si>
    <t>FD01772</t>
  </si>
  <si>
    <t>FD01773</t>
  </si>
  <si>
    <t>FD01774</t>
  </si>
  <si>
    <t>FD01775</t>
  </si>
  <si>
    <t>FD01776</t>
  </si>
  <si>
    <t>FD01777</t>
  </si>
  <si>
    <t>FD01778</t>
  </si>
  <si>
    <t>FD01779</t>
  </si>
  <si>
    <t>FD01780</t>
  </si>
  <si>
    <t>FD01781</t>
  </si>
  <si>
    <t>FD01782</t>
  </si>
  <si>
    <t>FD01783</t>
  </si>
  <si>
    <t>FD01784</t>
  </si>
  <si>
    <t>FD01785</t>
  </si>
  <si>
    <t>FD01786</t>
  </si>
  <si>
    <t>FD01787</t>
  </si>
  <si>
    <t>FD01788</t>
  </si>
  <si>
    <t>FD01789</t>
  </si>
  <si>
    <t>FD01790</t>
  </si>
  <si>
    <t>FD01791</t>
  </si>
  <si>
    <t>FD01792</t>
  </si>
  <si>
    <t>FD01793</t>
  </si>
  <si>
    <t>FD01794</t>
  </si>
  <si>
    <t>FD01795</t>
  </si>
  <si>
    <t>FD01796</t>
  </si>
  <si>
    <t>FD01797</t>
  </si>
  <si>
    <t>FD01798</t>
  </si>
  <si>
    <t>FD01799</t>
  </si>
  <si>
    <t>FD01800</t>
  </si>
  <si>
    <t>FD01801</t>
  </si>
  <si>
    <t>FD01802</t>
  </si>
  <si>
    <t>FD01803</t>
  </si>
  <si>
    <t>FD01804</t>
  </si>
  <si>
    <t>FD01805</t>
  </si>
  <si>
    <t>FD01806</t>
  </si>
  <si>
    <t>FD01807</t>
  </si>
  <si>
    <t>FD01808</t>
  </si>
  <si>
    <t>FD01809</t>
  </si>
  <si>
    <t>FD01810</t>
  </si>
  <si>
    <t>FD01811</t>
  </si>
  <si>
    <t>FD01812</t>
  </si>
  <si>
    <t>FD01813</t>
  </si>
  <si>
    <t>FD01814</t>
  </si>
  <si>
    <t>FD01815</t>
  </si>
  <si>
    <t>FD01816</t>
  </si>
  <si>
    <t>FD01817</t>
  </si>
  <si>
    <t>FD01818</t>
  </si>
  <si>
    <t>FD01819</t>
  </si>
  <si>
    <t>FD01820</t>
  </si>
  <si>
    <t>FD01821</t>
  </si>
  <si>
    <t>FD01822</t>
  </si>
  <si>
    <t>FD01823</t>
  </si>
  <si>
    <t>FD01824</t>
  </si>
  <si>
    <t>FD01825</t>
  </si>
  <si>
    <t>FD01826</t>
  </si>
  <si>
    <t>FD01827</t>
  </si>
  <si>
    <t>FD01828</t>
  </si>
  <si>
    <t>FD01829</t>
  </si>
  <si>
    <t>FD01830</t>
  </si>
  <si>
    <t>FD01831</t>
  </si>
  <si>
    <t>FD01832</t>
  </si>
  <si>
    <t>FD01833</t>
  </si>
  <si>
    <t>FD01834</t>
  </si>
  <si>
    <t>FD01835</t>
  </si>
  <si>
    <t>FD01836</t>
  </si>
  <si>
    <t>FD01837</t>
  </si>
  <si>
    <t>FD01838</t>
  </si>
  <si>
    <t>FD01839</t>
  </si>
  <si>
    <t>FD01840</t>
  </si>
  <si>
    <t>FD01841</t>
  </si>
  <si>
    <t>FD01842</t>
  </si>
  <si>
    <t>FD01843</t>
  </si>
  <si>
    <t>FD01844</t>
  </si>
  <si>
    <t>FD01845</t>
  </si>
  <si>
    <t>FD01846</t>
  </si>
  <si>
    <t>FD01847</t>
  </si>
  <si>
    <t>FD01848</t>
  </si>
  <si>
    <t>FD01849</t>
  </si>
  <si>
    <t>FD01850</t>
  </si>
  <si>
    <t>FD01851</t>
  </si>
  <si>
    <t>FD01852</t>
  </si>
  <si>
    <t>FD01853</t>
  </si>
  <si>
    <t>FD01854</t>
  </si>
  <si>
    <t>FD01855</t>
  </si>
  <si>
    <t>FD01856</t>
  </si>
  <si>
    <t>FD01857</t>
  </si>
  <si>
    <t>FD01858</t>
  </si>
  <si>
    <t>FD01859</t>
  </si>
  <si>
    <t>FD01860</t>
  </si>
  <si>
    <t>FD01861</t>
  </si>
  <si>
    <t>FD01862</t>
  </si>
  <si>
    <t>FD01863</t>
  </si>
  <si>
    <t>FD01864</t>
  </si>
  <si>
    <t>FD01865</t>
  </si>
  <si>
    <t>FD01866</t>
  </si>
  <si>
    <t>FD01867</t>
  </si>
  <si>
    <t>FD01868</t>
  </si>
  <si>
    <t>FD01869</t>
  </si>
  <si>
    <t>FD01870</t>
  </si>
  <si>
    <t>FD01871</t>
  </si>
  <si>
    <t>FD01872</t>
  </si>
  <si>
    <t>FD01873</t>
  </si>
  <si>
    <t>FD01874</t>
  </si>
  <si>
    <t>FD01875</t>
  </si>
  <si>
    <t>FD01876</t>
  </si>
  <si>
    <t>FD01877</t>
  </si>
  <si>
    <t>FD01878</t>
  </si>
  <si>
    <t>FD01879</t>
  </si>
  <si>
    <t>FD01880</t>
  </si>
  <si>
    <t>FD01881</t>
  </si>
  <si>
    <t>FD01882</t>
  </si>
  <si>
    <t>FD01883</t>
  </si>
  <si>
    <t>FD01884</t>
  </si>
  <si>
    <t>FD01885</t>
  </si>
  <si>
    <t>FD01886</t>
  </si>
  <si>
    <t>FD01887</t>
  </si>
  <si>
    <t>FD01888</t>
  </si>
  <si>
    <t>FD01889</t>
  </si>
  <si>
    <t>FD01890</t>
  </si>
  <si>
    <t>FD01891</t>
  </si>
  <si>
    <t>FD01892</t>
  </si>
  <si>
    <t>FD01893</t>
  </si>
  <si>
    <t>FD01894</t>
  </si>
  <si>
    <t>FD01895</t>
  </si>
  <si>
    <t>FD01896</t>
  </si>
  <si>
    <t>FD01897</t>
  </si>
  <si>
    <t>FD01898</t>
  </si>
  <si>
    <t>FD01899</t>
  </si>
  <si>
    <t>FD01900</t>
  </si>
  <si>
    <t>FD01901</t>
  </si>
  <si>
    <t>FD01902</t>
  </si>
  <si>
    <t>FD01903</t>
  </si>
  <si>
    <t>FD01904</t>
  </si>
  <si>
    <t>FD01905</t>
  </si>
  <si>
    <t>FD01906</t>
  </si>
  <si>
    <t>FD01907</t>
  </si>
  <si>
    <t>FD01908</t>
  </si>
  <si>
    <t>FD01909</t>
  </si>
  <si>
    <t>FD01910</t>
  </si>
  <si>
    <t>FD01911</t>
  </si>
  <si>
    <t>FD01912</t>
  </si>
  <si>
    <t>FD01913</t>
  </si>
  <si>
    <t>FD01914</t>
  </si>
  <si>
    <t>FD01915</t>
  </si>
  <si>
    <t>FD01916</t>
  </si>
  <si>
    <t>FD01917</t>
  </si>
  <si>
    <t>FD01918</t>
  </si>
  <si>
    <t>FD01919</t>
  </si>
  <si>
    <t>FD01920</t>
  </si>
  <si>
    <t>FD01921</t>
  </si>
  <si>
    <t>FD01922</t>
  </si>
  <si>
    <t>FD01923</t>
  </si>
  <si>
    <t>FD01924</t>
  </si>
  <si>
    <t>FD01925</t>
  </si>
  <si>
    <t>FD01926</t>
  </si>
  <si>
    <t>FD01927</t>
  </si>
  <si>
    <t>FD01928</t>
  </si>
  <si>
    <t>FD01929</t>
  </si>
  <si>
    <t>FD01930</t>
  </si>
  <si>
    <t>FD01931</t>
  </si>
  <si>
    <t>FD01932</t>
  </si>
  <si>
    <t>FD01933</t>
  </si>
  <si>
    <t>FD01934</t>
  </si>
  <si>
    <t>FD01935</t>
  </si>
  <si>
    <t>FD01936</t>
  </si>
  <si>
    <t>FD01937</t>
  </si>
  <si>
    <t>FD01938</t>
  </si>
  <si>
    <t>FD01939</t>
  </si>
  <si>
    <t>FD01940</t>
  </si>
  <si>
    <t>FD01941</t>
  </si>
  <si>
    <t>FD01942</t>
  </si>
  <si>
    <t>FD01943</t>
  </si>
  <si>
    <t>FD01944</t>
  </si>
  <si>
    <t>FD01945</t>
  </si>
  <si>
    <t>FD01946</t>
  </si>
  <si>
    <t>FD01947</t>
  </si>
  <si>
    <t>FD01948</t>
  </si>
  <si>
    <t>FD01949</t>
  </si>
  <si>
    <t>FD01950</t>
  </si>
  <si>
    <t>FD01951</t>
  </si>
  <si>
    <t>FD01952</t>
  </si>
  <si>
    <t>FD01953</t>
  </si>
  <si>
    <t>FD01954</t>
  </si>
  <si>
    <t>FD01955</t>
  </si>
  <si>
    <t>FD01956</t>
  </si>
  <si>
    <t>FD01957</t>
  </si>
  <si>
    <t>FD01958</t>
  </si>
  <si>
    <t>FD01959</t>
  </si>
  <si>
    <t>FD01960</t>
  </si>
  <si>
    <t>FD01961</t>
  </si>
  <si>
    <t>FD01962</t>
  </si>
  <si>
    <t>FD01963</t>
  </si>
  <si>
    <t>FD01964</t>
  </si>
  <si>
    <t>FD01965</t>
  </si>
  <si>
    <t>FD01966</t>
  </si>
  <si>
    <t>FD01967</t>
  </si>
  <si>
    <t>FD01968</t>
  </si>
  <si>
    <t>FD01969</t>
  </si>
  <si>
    <t>FD01970</t>
  </si>
  <si>
    <t>FD01971</t>
  </si>
  <si>
    <t>FD01972</t>
  </si>
  <si>
    <t>FD01973</t>
  </si>
  <si>
    <t>FD01974</t>
  </si>
  <si>
    <t>FD01975</t>
  </si>
  <si>
    <t>FD01976</t>
  </si>
  <si>
    <t>FD01977</t>
  </si>
  <si>
    <t>FD01978</t>
  </si>
  <si>
    <t>FD01979</t>
  </si>
  <si>
    <t>FD01980</t>
  </si>
  <si>
    <t>FD01981</t>
  </si>
  <si>
    <t>FD01982</t>
  </si>
  <si>
    <t>FD01983</t>
  </si>
  <si>
    <t>FD01984</t>
  </si>
  <si>
    <t>FD01985</t>
  </si>
  <si>
    <t>FD01986</t>
  </si>
  <si>
    <t>FD01987</t>
  </si>
  <si>
    <t>FD01988</t>
  </si>
  <si>
    <t>FD01989</t>
  </si>
  <si>
    <t>FD01990</t>
  </si>
  <si>
    <t>FD01991</t>
  </si>
  <si>
    <t>FD01992</t>
  </si>
  <si>
    <t>FD01993</t>
  </si>
  <si>
    <t>FD01994</t>
  </si>
  <si>
    <t>FD01995</t>
  </si>
  <si>
    <t>FD01996</t>
  </si>
  <si>
    <t>FD01997</t>
  </si>
  <si>
    <t>FD01998</t>
  </si>
  <si>
    <t>FD01999</t>
  </si>
  <si>
    <t>FD02000</t>
  </si>
  <si>
    <t>FD02001</t>
  </si>
  <si>
    <t>FD02002</t>
  </si>
  <si>
    <t>FD02003</t>
  </si>
  <si>
    <t>FD02004</t>
  </si>
  <si>
    <t>FD02005</t>
  </si>
  <si>
    <t>FD02006</t>
  </si>
  <si>
    <t>FD02007</t>
  </si>
  <si>
    <t>FD02008</t>
  </si>
  <si>
    <t>FD02009</t>
  </si>
  <si>
    <t>FD02010</t>
  </si>
  <si>
    <t>FD02011</t>
  </si>
  <si>
    <t>FD02012</t>
  </si>
  <si>
    <t>FD02013</t>
  </si>
  <si>
    <t>FD02014</t>
  </si>
  <si>
    <t>FD02015</t>
  </si>
  <si>
    <t>FD02016</t>
  </si>
  <si>
    <t>FD02017</t>
  </si>
  <si>
    <t>FD02018</t>
  </si>
  <si>
    <t>FD02019</t>
  </si>
  <si>
    <t>FD02020</t>
  </si>
  <si>
    <t>FD02021</t>
  </si>
  <si>
    <t>FD02022</t>
  </si>
  <si>
    <t>FD02023</t>
  </si>
  <si>
    <t>FD02024</t>
  </si>
  <si>
    <t>FD02025</t>
  </si>
  <si>
    <t>FD02026</t>
  </si>
  <si>
    <t>FD02027</t>
  </si>
  <si>
    <t>FD02028</t>
  </si>
  <si>
    <t>FD02029</t>
  </si>
  <si>
    <t>FD02030</t>
  </si>
  <si>
    <t>FD02031</t>
  </si>
  <si>
    <t>FD02032</t>
  </si>
  <si>
    <t>FD02033</t>
  </si>
  <si>
    <t>FD02034</t>
  </si>
  <si>
    <t>FD02035</t>
  </si>
  <si>
    <t>FD02036</t>
  </si>
  <si>
    <t>FD02037</t>
  </si>
  <si>
    <t>FD02038</t>
  </si>
  <si>
    <t>FD02039</t>
  </si>
  <si>
    <t>FD02040</t>
  </si>
  <si>
    <t>FD02041</t>
  </si>
  <si>
    <t>FD02042</t>
  </si>
  <si>
    <t>FD02043</t>
  </si>
  <si>
    <t>FD02044</t>
  </si>
  <si>
    <t>FD02045</t>
  </si>
  <si>
    <t>FD02046</t>
  </si>
  <si>
    <t>FD02047</t>
  </si>
  <si>
    <t>FD02048</t>
  </si>
  <si>
    <t>FD02049</t>
  </si>
  <si>
    <t>FD02050</t>
  </si>
  <si>
    <t>FD02051</t>
  </si>
  <si>
    <t>FD02052</t>
  </si>
  <si>
    <t>FD02053</t>
  </si>
  <si>
    <t>FD02054</t>
  </si>
  <si>
    <t>FD02055</t>
  </si>
  <si>
    <t>FD02056</t>
  </si>
  <si>
    <t>FD02057</t>
  </si>
  <si>
    <t>FD02058</t>
  </si>
  <si>
    <t>FD02059</t>
  </si>
  <si>
    <t>FD02060</t>
  </si>
  <si>
    <t>FD02061</t>
  </si>
  <si>
    <t>FD02062</t>
  </si>
  <si>
    <t>FD02063</t>
  </si>
  <si>
    <t>FD02064</t>
  </si>
  <si>
    <t>FD02065</t>
  </si>
  <si>
    <t>FD02066</t>
  </si>
  <si>
    <t>FD02067</t>
  </si>
  <si>
    <t>FD02068</t>
  </si>
  <si>
    <t>FD02069</t>
  </si>
  <si>
    <t>FD02070</t>
  </si>
  <si>
    <t>FD02071</t>
  </si>
  <si>
    <t>FD02072</t>
  </si>
  <si>
    <t>FD02073</t>
  </si>
  <si>
    <t>FD02074</t>
  </si>
  <si>
    <t>FD02075</t>
  </si>
  <si>
    <t>FD02076</t>
  </si>
  <si>
    <t>FD02077</t>
  </si>
  <si>
    <t>FD02078</t>
  </si>
  <si>
    <t>FD02079</t>
  </si>
  <si>
    <t>FD02080</t>
  </si>
  <si>
    <t>FD02081</t>
  </si>
  <si>
    <t>FD02082</t>
  </si>
  <si>
    <t>FD02083</t>
  </si>
  <si>
    <t>FD02084</t>
  </si>
  <si>
    <t>FD02085</t>
  </si>
  <si>
    <t>FD02086</t>
  </si>
  <si>
    <t>FD02087</t>
  </si>
  <si>
    <t>FD02088</t>
  </si>
  <si>
    <t>FD02089</t>
  </si>
  <si>
    <t>FD02090</t>
  </si>
  <si>
    <t>FD02091</t>
  </si>
  <si>
    <t>FD02092</t>
  </si>
  <si>
    <t>FD02093</t>
  </si>
  <si>
    <t>FD02094</t>
  </si>
  <si>
    <t>FD02095</t>
  </si>
  <si>
    <t>FD02096</t>
  </si>
  <si>
    <t>FD02097</t>
  </si>
  <si>
    <t>FD02098</t>
  </si>
  <si>
    <t>FD02099</t>
  </si>
  <si>
    <t>FD02100</t>
  </si>
  <si>
    <t>FD02101</t>
  </si>
  <si>
    <t>FD02102</t>
  </si>
  <si>
    <t>FD02103</t>
  </si>
  <si>
    <t>FD02104</t>
  </si>
  <si>
    <t>FD02105</t>
  </si>
  <si>
    <t>FD02106</t>
  </si>
  <si>
    <t>FD02107</t>
  </si>
  <si>
    <t>FD02108</t>
  </si>
  <si>
    <t>FD02109</t>
  </si>
  <si>
    <t>FD02110</t>
  </si>
  <si>
    <t>FD02111</t>
  </si>
  <si>
    <t>FD02112</t>
  </si>
  <si>
    <t>FD02113</t>
  </si>
  <si>
    <t>FD02114</t>
  </si>
  <si>
    <t>FD02115</t>
  </si>
  <si>
    <t>FD02116</t>
  </si>
  <si>
    <t>FD02117</t>
  </si>
  <si>
    <t>FD02118</t>
  </si>
  <si>
    <t>FD02119</t>
  </si>
  <si>
    <t>FD02120</t>
  </si>
  <si>
    <t>FD02121</t>
  </si>
  <si>
    <t>FD02122</t>
  </si>
  <si>
    <t>FD02123</t>
  </si>
  <si>
    <t>FD02124</t>
  </si>
  <si>
    <t>FD02125</t>
  </si>
  <si>
    <t>FD02126</t>
  </si>
  <si>
    <t>FD02127</t>
  </si>
  <si>
    <t>FD02128</t>
  </si>
  <si>
    <t>FD02129</t>
  </si>
  <si>
    <t>FD02130</t>
  </si>
  <si>
    <t>FD02131</t>
  </si>
  <si>
    <t>FD02132</t>
  </si>
  <si>
    <t>FD02133</t>
  </si>
  <si>
    <t>FD02134</t>
  </si>
  <si>
    <t>FD02135</t>
  </si>
  <si>
    <t>FD02136</t>
  </si>
  <si>
    <t>FD02137</t>
  </si>
  <si>
    <t>FD02138</t>
  </si>
  <si>
    <t>FD02139</t>
  </si>
  <si>
    <t>FD02140</t>
  </si>
  <si>
    <t>FD02141</t>
  </si>
  <si>
    <t>FD02142</t>
  </si>
  <si>
    <t>FD02143</t>
  </si>
  <si>
    <t>FD02144</t>
  </si>
  <si>
    <t>FD02145</t>
  </si>
  <si>
    <t>FD02146</t>
  </si>
  <si>
    <t>FD02147</t>
  </si>
  <si>
    <t>FD02148</t>
  </si>
  <si>
    <t>FD02149</t>
  </si>
  <si>
    <t>FD02150</t>
  </si>
  <si>
    <t>FD02151</t>
  </si>
  <si>
    <t>FD02152</t>
  </si>
  <si>
    <t>FD02153</t>
  </si>
  <si>
    <t>FD02154</t>
  </si>
  <si>
    <t>FD02155</t>
  </si>
  <si>
    <t>FD02156</t>
  </si>
  <si>
    <t>FD02157</t>
  </si>
  <si>
    <t>FD02158</t>
  </si>
  <si>
    <t>FD02159</t>
  </si>
  <si>
    <t>FD02160</t>
  </si>
  <si>
    <t>FD02161</t>
  </si>
  <si>
    <t>FD02162</t>
  </si>
  <si>
    <t>FD02163</t>
  </si>
  <si>
    <t>FD02164</t>
  </si>
  <si>
    <t>FD02165</t>
  </si>
  <si>
    <t>FD02166</t>
  </si>
  <si>
    <t>FD02167</t>
  </si>
  <si>
    <t>FD02168</t>
  </si>
  <si>
    <t>FD02169</t>
  </si>
  <si>
    <t>FD02170</t>
  </si>
  <si>
    <t>FD02171</t>
  </si>
  <si>
    <t>FD02172</t>
  </si>
  <si>
    <t>FD02173</t>
  </si>
  <si>
    <t>FD02174</t>
  </si>
  <si>
    <t>FD02175</t>
  </si>
  <si>
    <t>FD02176</t>
  </si>
  <si>
    <t>FD02177</t>
  </si>
  <si>
    <t>FD02178</t>
  </si>
  <si>
    <t>FD02179</t>
  </si>
  <si>
    <t>FD02180</t>
  </si>
  <si>
    <t>FD02181</t>
  </si>
  <si>
    <t>FD02182</t>
  </si>
  <si>
    <t>FD02183</t>
  </si>
  <si>
    <t>FD02184</t>
  </si>
  <si>
    <t>FD02185</t>
  </si>
  <si>
    <t>FD02186</t>
  </si>
  <si>
    <t>FD02187</t>
  </si>
  <si>
    <t>FD02188</t>
  </si>
  <si>
    <t>FD02189</t>
  </si>
  <si>
    <t>FD02190</t>
  </si>
  <si>
    <t>FD02191</t>
  </si>
  <si>
    <t>FD02192</t>
  </si>
  <si>
    <t>FD02193</t>
  </si>
  <si>
    <t>FD02194</t>
  </si>
  <si>
    <t>FD02195</t>
  </si>
  <si>
    <t>FD02196</t>
  </si>
  <si>
    <t>FD02197</t>
  </si>
  <si>
    <t>FD02198</t>
  </si>
  <si>
    <t>FD02199</t>
  </si>
  <si>
    <t>FD02200</t>
  </si>
  <si>
    <t>FD02201</t>
  </si>
  <si>
    <t>FD02202</t>
  </si>
  <si>
    <t>FD02203</t>
  </si>
  <si>
    <t>FD02204</t>
  </si>
  <si>
    <t>FD02205</t>
  </si>
  <si>
    <t>FD02206</t>
  </si>
  <si>
    <t>FD02207</t>
  </si>
  <si>
    <t>FD02208</t>
  </si>
  <si>
    <t>FD02209</t>
  </si>
  <si>
    <t>FD02210</t>
  </si>
  <si>
    <t>FD02211</t>
  </si>
  <si>
    <t>FD02212</t>
  </si>
  <si>
    <t>FD02213</t>
  </si>
  <si>
    <t>FD02214</t>
  </si>
  <si>
    <t>FD02215</t>
  </si>
  <si>
    <t>FD02216</t>
  </si>
  <si>
    <t>FD02217</t>
  </si>
  <si>
    <t>FD02218</t>
  </si>
  <si>
    <t>FD02219</t>
  </si>
  <si>
    <t>FD02220</t>
  </si>
  <si>
    <t>FD02221</t>
  </si>
  <si>
    <t>FD02222</t>
  </si>
  <si>
    <t>FD02223</t>
  </si>
  <si>
    <t>FD02224</t>
  </si>
  <si>
    <t>FD02225</t>
  </si>
  <si>
    <t>FD02226</t>
  </si>
  <si>
    <t>FD02227</t>
  </si>
  <si>
    <t>FD02228</t>
  </si>
  <si>
    <t>FD02229</t>
  </si>
  <si>
    <t>FD02230</t>
  </si>
  <si>
    <t>FD02231</t>
  </si>
  <si>
    <t>FD02232</t>
  </si>
  <si>
    <t>FD02233</t>
  </si>
  <si>
    <t>FD02234</t>
  </si>
  <si>
    <t>FD02235</t>
  </si>
  <si>
    <t>FD02236</t>
  </si>
  <si>
    <t>FD02237</t>
  </si>
  <si>
    <t>FD02238</t>
  </si>
  <si>
    <t>FD02239</t>
  </si>
  <si>
    <t>FD02240</t>
  </si>
  <si>
    <t>FD02241</t>
  </si>
  <si>
    <t>FD02242</t>
  </si>
  <si>
    <t>FD02243</t>
  </si>
  <si>
    <t>FD02244</t>
  </si>
  <si>
    <t>FD02245</t>
  </si>
  <si>
    <t>FD02246</t>
  </si>
  <si>
    <t>FD02247</t>
  </si>
  <si>
    <t>FD02248</t>
  </si>
  <si>
    <t>FD02249</t>
  </si>
  <si>
    <t>FD02250</t>
  </si>
  <si>
    <t>FD02251</t>
  </si>
  <si>
    <t>FD02252</t>
  </si>
  <si>
    <t>FD02253</t>
  </si>
  <si>
    <t>FD02254</t>
  </si>
  <si>
    <t>FD02255</t>
  </si>
  <si>
    <t>FD02256</t>
  </si>
  <si>
    <t>FD02257</t>
  </si>
  <si>
    <t>FD02258</t>
  </si>
  <si>
    <t>FD02259</t>
  </si>
  <si>
    <t>FD02260</t>
  </si>
  <si>
    <t>FD02261</t>
  </si>
  <si>
    <t>FD02262</t>
  </si>
  <si>
    <t>FD02263</t>
  </si>
  <si>
    <t>FD02264</t>
  </si>
  <si>
    <t>FD02265</t>
  </si>
  <si>
    <t>FD02266</t>
  </si>
  <si>
    <t>FD02267</t>
  </si>
  <si>
    <t>FD02268</t>
  </si>
  <si>
    <t>FD02269</t>
  </si>
  <si>
    <t>FD02270</t>
  </si>
  <si>
    <t>FD02271</t>
  </si>
  <si>
    <t>FD02272</t>
  </si>
  <si>
    <t>FD02273</t>
  </si>
  <si>
    <t>FD02274</t>
  </si>
  <si>
    <t>FD02275</t>
  </si>
  <si>
    <t>FD02276</t>
  </si>
  <si>
    <t>FD02277</t>
  </si>
  <si>
    <t>FD02278</t>
  </si>
  <si>
    <t>FD02279</t>
  </si>
  <si>
    <t>FD02280</t>
  </si>
  <si>
    <t>FD02281</t>
  </si>
  <si>
    <t>FD02282</t>
  </si>
  <si>
    <t>FD02283</t>
  </si>
  <si>
    <t>FD02284</t>
  </si>
  <si>
    <t>FD02285</t>
  </si>
  <si>
    <t>FD02286</t>
  </si>
  <si>
    <t>FD02287</t>
  </si>
  <si>
    <t>FD02288</t>
  </si>
  <si>
    <t>FD02289</t>
  </si>
  <si>
    <t>FD02290</t>
  </si>
  <si>
    <t>FD02291</t>
  </si>
  <si>
    <t>FD02292</t>
  </si>
  <si>
    <t>FD02293</t>
  </si>
  <si>
    <t>FD02294</t>
  </si>
  <si>
    <t>FD02295</t>
  </si>
  <si>
    <t>FD02296</t>
  </si>
  <si>
    <t>FD02297</t>
  </si>
  <si>
    <t>FD02298</t>
  </si>
  <si>
    <t>FD02299</t>
  </si>
  <si>
    <t>FD02300</t>
  </si>
  <si>
    <t>FD02301</t>
  </si>
  <si>
    <t>FD02302</t>
  </si>
  <si>
    <t>FD02303</t>
  </si>
  <si>
    <t>FD02304</t>
  </si>
  <si>
    <t>FD02305</t>
  </si>
  <si>
    <t>FD02306</t>
  </si>
  <si>
    <t>FD02307</t>
  </si>
  <si>
    <t>FD02308</t>
  </si>
  <si>
    <t>FD02309</t>
  </si>
  <si>
    <t>FD02310</t>
  </si>
  <si>
    <t>FD02311</t>
  </si>
  <si>
    <t>FD02312</t>
  </si>
  <si>
    <t>FD02313</t>
  </si>
  <si>
    <t>FD02314</t>
  </si>
  <si>
    <t>FD02315</t>
  </si>
  <si>
    <t>FD02316</t>
  </si>
  <si>
    <t>FD02317</t>
  </si>
  <si>
    <t>FD02318</t>
  </si>
  <si>
    <t>FD02319</t>
  </si>
  <si>
    <t>FD02320</t>
  </si>
  <si>
    <t>FD02321</t>
  </si>
  <si>
    <t>FD02322</t>
  </si>
  <si>
    <t>FD02323</t>
  </si>
  <si>
    <t>FD02324</t>
  </si>
  <si>
    <t>FD02325</t>
  </si>
  <si>
    <t>FD02326</t>
  </si>
  <si>
    <t>FD02327</t>
  </si>
  <si>
    <t>FD02328</t>
  </si>
  <si>
    <t>FD02329</t>
  </si>
  <si>
    <t>FD02330</t>
  </si>
  <si>
    <t>FD02331</t>
  </si>
  <si>
    <t>FD02332</t>
  </si>
  <si>
    <t>FD02333</t>
  </si>
  <si>
    <t>FD02334</t>
  </si>
  <si>
    <t>FD02335</t>
  </si>
  <si>
    <t>FD02336</t>
  </si>
  <si>
    <t>FD02337</t>
  </si>
  <si>
    <t>FD02338</t>
  </si>
  <si>
    <t>FD02339</t>
  </si>
  <si>
    <t>FD02340</t>
  </si>
  <si>
    <t>FD02341</t>
  </si>
  <si>
    <t>FD02342</t>
  </si>
  <si>
    <t>FD02343</t>
  </si>
  <si>
    <t>FD02344</t>
  </si>
  <si>
    <t>FD02345</t>
  </si>
  <si>
    <t>FD02346</t>
  </si>
  <si>
    <t>FD02347</t>
  </si>
  <si>
    <t>FD02348</t>
  </si>
  <si>
    <t>FD02349</t>
  </si>
  <si>
    <t>FD02350</t>
  </si>
  <si>
    <t>FD02351</t>
  </si>
  <si>
    <t>FD02352</t>
  </si>
  <si>
    <t>FD02353</t>
  </si>
  <si>
    <t>FD02354</t>
  </si>
  <si>
    <t>FD02355</t>
  </si>
  <si>
    <t>FD02356</t>
  </si>
  <si>
    <t>FD02357</t>
  </si>
  <si>
    <t>FD02358</t>
  </si>
  <si>
    <t>FD02359</t>
  </si>
  <si>
    <t>FD02360</t>
  </si>
  <si>
    <t>FD02361</t>
  </si>
  <si>
    <t>FD02362</t>
  </si>
  <si>
    <t>FD02363</t>
  </si>
  <si>
    <t>FD02364</t>
  </si>
  <si>
    <t>FD02365</t>
  </si>
  <si>
    <t>FD02366</t>
  </si>
  <si>
    <t>FD02367</t>
  </si>
  <si>
    <t>FD02368</t>
  </si>
  <si>
    <t>FD02369</t>
  </si>
  <si>
    <t>FD02370</t>
  </si>
  <si>
    <t>FD02371</t>
  </si>
  <si>
    <t>FD02372</t>
  </si>
  <si>
    <t>FD02373</t>
  </si>
  <si>
    <t>FD02374</t>
  </si>
  <si>
    <t>FD02375</t>
  </si>
  <si>
    <t>FD02376</t>
  </si>
  <si>
    <t>FD02377</t>
  </si>
  <si>
    <t>FD02378</t>
  </si>
  <si>
    <t>FD02379</t>
  </si>
  <si>
    <t>FD02380</t>
  </si>
  <si>
    <t>FD02381</t>
  </si>
  <si>
    <t>FD02382</t>
  </si>
  <si>
    <t>FD02383</t>
  </si>
  <si>
    <t>FD02384</t>
  </si>
  <si>
    <t>FD02385</t>
  </si>
  <si>
    <t>FD02386</t>
  </si>
  <si>
    <t>FD02387</t>
  </si>
  <si>
    <t>FD02388</t>
  </si>
  <si>
    <t>FD02389</t>
  </si>
  <si>
    <t>FD02390</t>
  </si>
  <si>
    <t>FD02391</t>
  </si>
  <si>
    <t>FD02392</t>
  </si>
  <si>
    <t>FD02393</t>
  </si>
  <si>
    <t>FD02394</t>
  </si>
  <si>
    <t>FD02395</t>
  </si>
  <si>
    <t>FD02396</t>
  </si>
  <si>
    <t>FD02397</t>
  </si>
  <si>
    <t>FD02398</t>
  </si>
  <si>
    <t>FD02399</t>
  </si>
  <si>
    <t>FD02400</t>
  </si>
  <si>
    <t>FD02401</t>
  </si>
  <si>
    <t>FD02402</t>
  </si>
  <si>
    <t>FD02403</t>
  </si>
  <si>
    <t>FD02404</t>
  </si>
  <si>
    <t>FD02405</t>
  </si>
  <si>
    <t>FD02406</t>
  </si>
  <si>
    <t>FD02407</t>
  </si>
  <si>
    <t>FD02408</t>
  </si>
  <si>
    <t>FD02409</t>
  </si>
  <si>
    <t>FD02410</t>
  </si>
  <si>
    <t>FD02411</t>
  </si>
  <si>
    <t>FD02412</t>
  </si>
  <si>
    <t>FD02413</t>
  </si>
  <si>
    <t>FD02414</t>
  </si>
  <si>
    <t>FD02415</t>
  </si>
  <si>
    <t>FD02416</t>
  </si>
  <si>
    <t>FD02417</t>
  </si>
  <si>
    <t>FD02418</t>
  </si>
  <si>
    <t>FD02419</t>
  </si>
  <si>
    <t>FD02420</t>
  </si>
  <si>
    <t>FD02421</t>
  </si>
  <si>
    <t>FD02422</t>
  </si>
  <si>
    <t>FD02423</t>
  </si>
  <si>
    <t>FD02424</t>
  </si>
  <si>
    <t>FD02425</t>
  </si>
  <si>
    <t>FD02426</t>
  </si>
  <si>
    <t>FD02427</t>
  </si>
  <si>
    <t>FD02428</t>
  </si>
  <si>
    <t>FD02429</t>
  </si>
  <si>
    <t>FD02430</t>
  </si>
  <si>
    <t>FD02431</t>
  </si>
  <si>
    <t>FD02432</t>
  </si>
  <si>
    <t>FD02433</t>
  </si>
  <si>
    <t>FD02434</t>
  </si>
  <si>
    <t>FD02435</t>
  </si>
  <si>
    <t>FD02436</t>
  </si>
  <si>
    <t>FD02437</t>
  </si>
  <si>
    <t>FD02438</t>
  </si>
  <si>
    <t>FD02439</t>
  </si>
  <si>
    <t>FD02440</t>
  </si>
  <si>
    <t>FD02441</t>
  </si>
  <si>
    <t>FD02442</t>
  </si>
  <si>
    <t>FD02443</t>
  </si>
  <si>
    <t>FD02444</t>
  </si>
  <si>
    <t>FD02445</t>
  </si>
  <si>
    <t>FD02446</t>
  </si>
  <si>
    <t>FD02447</t>
  </si>
  <si>
    <t>FD02448</t>
  </si>
  <si>
    <t>FD02449</t>
  </si>
  <si>
    <t>FD02450</t>
  </si>
  <si>
    <t>FD02451</t>
  </si>
  <si>
    <t>FD02452</t>
  </si>
  <si>
    <t>FD02453</t>
  </si>
  <si>
    <t>FD02454</t>
  </si>
  <si>
    <t>FD02455</t>
  </si>
  <si>
    <t>FD02456</t>
  </si>
  <si>
    <t>FD02457</t>
  </si>
  <si>
    <t>FD02458</t>
  </si>
  <si>
    <t>FD02459</t>
  </si>
  <si>
    <t>FD02460</t>
  </si>
  <si>
    <t>FD02461</t>
  </si>
  <si>
    <t>FD02462</t>
  </si>
  <si>
    <t>FD02463</t>
  </si>
  <si>
    <t>FD02464</t>
  </si>
  <si>
    <t>FD02465</t>
  </si>
  <si>
    <t>FD02466</t>
  </si>
  <si>
    <t>FD02467</t>
  </si>
  <si>
    <t>FD02468</t>
  </si>
  <si>
    <t>FD02469</t>
  </si>
  <si>
    <t>FD02470</t>
  </si>
  <si>
    <t>FD02471</t>
  </si>
  <si>
    <t>FD02472</t>
  </si>
  <si>
    <t>FD02473</t>
  </si>
  <si>
    <t>FD02474</t>
  </si>
  <si>
    <t>FD02475</t>
  </si>
  <si>
    <t>FD02476</t>
  </si>
  <si>
    <t>FD02477</t>
  </si>
  <si>
    <t>FD02478</t>
  </si>
  <si>
    <t>FD02479</t>
  </si>
  <si>
    <t>FD02480</t>
  </si>
  <si>
    <t>FD02481</t>
  </si>
  <si>
    <t>FD02482</t>
  </si>
  <si>
    <t>FD02483</t>
  </si>
  <si>
    <t>FD02484</t>
  </si>
  <si>
    <t>FD02485</t>
  </si>
  <si>
    <t>FD02486</t>
  </si>
  <si>
    <t>FD02487</t>
  </si>
  <si>
    <t>FD02488</t>
  </si>
  <si>
    <t>FD02489</t>
  </si>
  <si>
    <t>FD02490</t>
  </si>
  <si>
    <t>FD02491</t>
  </si>
  <si>
    <t>FD02492</t>
  </si>
  <si>
    <t>FD02493</t>
  </si>
  <si>
    <t>FD02494</t>
  </si>
  <si>
    <t>FD02495</t>
  </si>
  <si>
    <t>FD02496</t>
  </si>
  <si>
    <t>FD02497</t>
  </si>
  <si>
    <t>FD02498</t>
  </si>
  <si>
    <t>FD02499</t>
  </si>
  <si>
    <t>FD02500</t>
  </si>
  <si>
    <t>FD02501</t>
  </si>
  <si>
    <t>FD02502</t>
  </si>
  <si>
    <t>FD02503</t>
  </si>
  <si>
    <t>FD02504</t>
  </si>
  <si>
    <t>FD02505</t>
  </si>
  <si>
    <t>FD02506</t>
  </si>
  <si>
    <t>FD02507</t>
  </si>
  <si>
    <t>FD02508</t>
  </si>
  <si>
    <t>FD02509</t>
  </si>
  <si>
    <t>FD02510</t>
  </si>
  <si>
    <t>FD02511</t>
  </si>
  <si>
    <t>FD02512</t>
  </si>
  <si>
    <t>FD02513</t>
  </si>
  <si>
    <t>FD02514</t>
  </si>
  <si>
    <t>FD02515</t>
  </si>
  <si>
    <t>FD02516</t>
  </si>
  <si>
    <t>FD02517</t>
  </si>
  <si>
    <t>FD02518</t>
  </si>
  <si>
    <t>FD02519</t>
  </si>
  <si>
    <t>FD02520</t>
  </si>
  <si>
    <t>FD02521</t>
  </si>
  <si>
    <t>FD02522</t>
  </si>
  <si>
    <t>FD02523</t>
  </si>
  <si>
    <t>FD02524</t>
  </si>
  <si>
    <t>FD02525</t>
  </si>
  <si>
    <t>FD02526</t>
  </si>
  <si>
    <t>FD02527</t>
  </si>
  <si>
    <t>FD02528</t>
  </si>
  <si>
    <t>FD02529</t>
  </si>
  <si>
    <t>FD02530</t>
  </si>
  <si>
    <t>FD02531</t>
  </si>
  <si>
    <t>FD02532</t>
  </si>
  <si>
    <t>FD02533</t>
  </si>
  <si>
    <t>FD02534</t>
  </si>
  <si>
    <t>FD02535</t>
  </si>
  <si>
    <t>FD02536</t>
  </si>
  <si>
    <t>FD02537</t>
  </si>
  <si>
    <t>FD02538</t>
  </si>
  <si>
    <t>FD02539</t>
  </si>
  <si>
    <t>FD02540</t>
  </si>
  <si>
    <t>FD02541</t>
  </si>
  <si>
    <t>FD02542</t>
  </si>
  <si>
    <t>FD02543</t>
  </si>
  <si>
    <t>FD02544</t>
  </si>
  <si>
    <t>FD02545</t>
  </si>
  <si>
    <t>FD02546</t>
  </si>
  <si>
    <t>FD02547</t>
  </si>
  <si>
    <t>FD02548</t>
  </si>
  <si>
    <t>FD02549</t>
  </si>
  <si>
    <t>FD02550</t>
  </si>
  <si>
    <t>FD02551</t>
  </si>
  <si>
    <t>FD02552</t>
  </si>
  <si>
    <t>FD02553</t>
  </si>
  <si>
    <t>FD02554</t>
  </si>
  <si>
    <t>FD02555</t>
  </si>
  <si>
    <t>FD02556</t>
  </si>
  <si>
    <t>FD02557</t>
  </si>
  <si>
    <t>FD02558</t>
  </si>
  <si>
    <t>FD02559</t>
  </si>
  <si>
    <t>FD02560</t>
  </si>
  <si>
    <t>FD02561</t>
  </si>
  <si>
    <t>FD02562</t>
  </si>
  <si>
    <t>FD02563</t>
  </si>
  <si>
    <t>FD02564</t>
  </si>
  <si>
    <t>FD02565</t>
  </si>
  <si>
    <t>FD02566</t>
  </si>
  <si>
    <t>FD02567</t>
  </si>
  <si>
    <t>FD02568</t>
  </si>
  <si>
    <t>FD02569</t>
  </si>
  <si>
    <t>FD02570</t>
  </si>
  <si>
    <t>FD02571</t>
  </si>
  <si>
    <t>FD02572</t>
  </si>
  <si>
    <t>FD02573</t>
  </si>
  <si>
    <t>FD02574</t>
  </si>
  <si>
    <t>FD02575</t>
  </si>
  <si>
    <t>FD02576</t>
  </si>
  <si>
    <t>FD02577</t>
  </si>
  <si>
    <t>FD02578</t>
  </si>
  <si>
    <t>FD02579</t>
  </si>
  <si>
    <t>FD02580</t>
  </si>
  <si>
    <t>FD02581</t>
  </si>
  <si>
    <t>FD02582</t>
  </si>
  <si>
    <t>FD02583</t>
  </si>
  <si>
    <t>FD02584</t>
  </si>
  <si>
    <t>FD02585</t>
  </si>
  <si>
    <t>FD02586</t>
  </si>
  <si>
    <t>FD02587</t>
  </si>
  <si>
    <t>FD02588</t>
  </si>
  <si>
    <t>FD02589</t>
  </si>
  <si>
    <t>FD02590</t>
  </si>
  <si>
    <t>FD02591</t>
  </si>
  <si>
    <t>FD02592</t>
  </si>
  <si>
    <t>FD02593</t>
  </si>
  <si>
    <t>FD02594</t>
  </si>
  <si>
    <t>FD02595</t>
  </si>
  <si>
    <t>FD02596</t>
  </si>
  <si>
    <t>FD02597</t>
  </si>
  <si>
    <t>FD02598</t>
  </si>
  <si>
    <t>FD02599</t>
  </si>
  <si>
    <t>FD02600</t>
  </si>
  <si>
    <t>FD02601</t>
  </si>
  <si>
    <t>FD02602</t>
  </si>
  <si>
    <t>FD02603</t>
  </si>
  <si>
    <t>FD02604</t>
  </si>
  <si>
    <t>FD02605</t>
  </si>
  <si>
    <t>FD02606</t>
  </si>
  <si>
    <t>FD02607</t>
  </si>
  <si>
    <t>FD02608</t>
  </si>
  <si>
    <t>FD02609</t>
  </si>
  <si>
    <t>FD02610</t>
  </si>
  <si>
    <t>FD02611</t>
  </si>
  <si>
    <t>FD02612</t>
  </si>
  <si>
    <t>FD02613</t>
  </si>
  <si>
    <t>FD02614</t>
  </si>
  <si>
    <t>FD02615</t>
  </si>
  <si>
    <t>FD02616</t>
  </si>
  <si>
    <t>FD02617</t>
  </si>
  <si>
    <t>FD02618</t>
  </si>
  <si>
    <t>FD02619</t>
  </si>
  <si>
    <t>FD02620</t>
  </si>
  <si>
    <t>FD02621</t>
  </si>
  <si>
    <t>FD02622</t>
  </si>
  <si>
    <t>FD02623</t>
  </si>
  <si>
    <t>FD02624</t>
  </si>
  <si>
    <t>FD02625</t>
  </si>
  <si>
    <t>FD02626</t>
  </si>
  <si>
    <t>FD02627</t>
  </si>
  <si>
    <t>FD02628</t>
  </si>
  <si>
    <t>FD02629</t>
  </si>
  <si>
    <t>FD02630</t>
  </si>
  <si>
    <t>FD02631</t>
  </si>
  <si>
    <t>FD02632</t>
  </si>
  <si>
    <t>FD02633</t>
  </si>
  <si>
    <t>FD02634</t>
  </si>
  <si>
    <t>FD02635</t>
  </si>
  <si>
    <t>FD02636</t>
  </si>
  <si>
    <t>FD02637</t>
  </si>
  <si>
    <t>FD02638</t>
  </si>
  <si>
    <t>FD02639</t>
  </si>
  <si>
    <t>FD02640</t>
  </si>
  <si>
    <t>FD02641</t>
  </si>
  <si>
    <t>FD02642</t>
  </si>
  <si>
    <t>FD02643</t>
  </si>
  <si>
    <t>FD02644</t>
  </si>
  <si>
    <t>FD02645</t>
  </si>
  <si>
    <t>FD02646</t>
  </si>
  <si>
    <t>FD02647</t>
  </si>
  <si>
    <t>FD02648</t>
  </si>
  <si>
    <t>FD02649</t>
  </si>
  <si>
    <t>FD02650</t>
  </si>
  <si>
    <t>FD02651</t>
  </si>
  <si>
    <t>FD02652</t>
  </si>
  <si>
    <t>FD02653</t>
  </si>
  <si>
    <t>FD02654</t>
  </si>
  <si>
    <t>FD02655</t>
  </si>
  <si>
    <t>FD02656</t>
  </si>
  <si>
    <t>FD02657</t>
  </si>
  <si>
    <t>FD02658</t>
  </si>
  <si>
    <t>FD02659</t>
  </si>
  <si>
    <t>FD02660</t>
  </si>
  <si>
    <t>FD02661</t>
  </si>
  <si>
    <t>FD02662</t>
  </si>
  <si>
    <t>FD02663</t>
  </si>
  <si>
    <t>FD02664</t>
  </si>
  <si>
    <t>FD02665</t>
  </si>
  <si>
    <t>FD02666</t>
  </si>
  <si>
    <t>FD02667</t>
  </si>
  <si>
    <t>FD02668</t>
  </si>
  <si>
    <t>FD02669</t>
  </si>
  <si>
    <t>FD02670</t>
  </si>
  <si>
    <t>FD02671</t>
  </si>
  <si>
    <t>FD02672</t>
  </si>
  <si>
    <t>FD02673</t>
  </si>
  <si>
    <t>FD02674</t>
  </si>
  <si>
    <t>FD02675</t>
  </si>
  <si>
    <t>FD02676</t>
  </si>
  <si>
    <t>FD02677</t>
  </si>
  <si>
    <t>FD02678</t>
  </si>
  <si>
    <t>FD02679</t>
  </si>
  <si>
    <t>FD02680</t>
  </si>
  <si>
    <t>FD02681</t>
  </si>
  <si>
    <t>FD02682</t>
  </si>
  <si>
    <t>FD02683</t>
  </si>
  <si>
    <t>FD02684</t>
  </si>
  <si>
    <t>FD02685</t>
  </si>
  <si>
    <t>FD02686</t>
  </si>
  <si>
    <t>FD02687</t>
  </si>
  <si>
    <t>FD02688</t>
  </si>
  <si>
    <t>FD02689</t>
  </si>
  <si>
    <t>FD02690</t>
  </si>
  <si>
    <t>FD02691</t>
  </si>
  <si>
    <t>FD02692</t>
  </si>
  <si>
    <t>FD02693</t>
  </si>
  <si>
    <t>FD02694</t>
  </si>
  <si>
    <t>FD02695</t>
  </si>
  <si>
    <t>FD02696</t>
  </si>
  <si>
    <t>FD02697</t>
  </si>
  <si>
    <t>FD02698</t>
  </si>
  <si>
    <t>FD02699</t>
  </si>
  <si>
    <t>FD02700</t>
  </si>
  <si>
    <t>FD02701</t>
  </si>
  <si>
    <t>FD02702</t>
  </si>
  <si>
    <t>FD02703</t>
  </si>
  <si>
    <t>FD02704</t>
  </si>
  <si>
    <t>FD02705</t>
  </si>
  <si>
    <t>FD02706</t>
  </si>
  <si>
    <t>FD02707</t>
  </si>
  <si>
    <t>FD02708</t>
  </si>
  <si>
    <t>FD02709</t>
  </si>
  <si>
    <t>FD02710</t>
  </si>
  <si>
    <t>FD02711</t>
  </si>
  <si>
    <t>FD02712</t>
  </si>
  <si>
    <t>FD02713</t>
  </si>
  <si>
    <t>FD02714</t>
  </si>
  <si>
    <t>FD02715</t>
  </si>
  <si>
    <t>FD02716</t>
  </si>
  <si>
    <t>FD02717</t>
  </si>
  <si>
    <t>FD02718</t>
  </si>
  <si>
    <t>FD02719</t>
  </si>
  <si>
    <t>FD02720</t>
  </si>
  <si>
    <t>FD02721</t>
  </si>
  <si>
    <t>FD02722</t>
  </si>
  <si>
    <t>FD02723</t>
  </si>
  <si>
    <t>FD02724</t>
  </si>
  <si>
    <t>FD02725</t>
  </si>
  <si>
    <t>FD02726</t>
  </si>
  <si>
    <t>FD02727</t>
  </si>
  <si>
    <t>FD02728</t>
  </si>
  <si>
    <t>FD02729</t>
  </si>
  <si>
    <t>FD02730</t>
  </si>
  <si>
    <t>FD02731</t>
  </si>
  <si>
    <t>FD02732</t>
  </si>
  <si>
    <t>FD02733</t>
  </si>
  <si>
    <t>FD02734</t>
  </si>
  <si>
    <t>FD02735</t>
  </si>
  <si>
    <t>FD02736</t>
  </si>
  <si>
    <t>FD02737</t>
  </si>
  <si>
    <t>FD02738</t>
  </si>
  <si>
    <t>FD02739</t>
  </si>
  <si>
    <t>FD02740</t>
  </si>
  <si>
    <t>FD02741</t>
  </si>
  <si>
    <t>FD02742</t>
  </si>
  <si>
    <t>FD02743</t>
  </si>
  <si>
    <t>FD02744</t>
  </si>
  <si>
    <t>FD02745</t>
  </si>
  <si>
    <t>FD02746</t>
  </si>
  <si>
    <t>FD02747</t>
  </si>
  <si>
    <t>FD02748</t>
  </si>
  <si>
    <t>FD02749</t>
  </si>
  <si>
    <t>FD02750</t>
  </si>
  <si>
    <t>FD02751</t>
  </si>
  <si>
    <t>FD02752</t>
  </si>
  <si>
    <t>FD02753</t>
  </si>
  <si>
    <t>FD02754</t>
  </si>
  <si>
    <t>FD02755</t>
  </si>
  <si>
    <t>FD02756</t>
  </si>
  <si>
    <t>FD02757</t>
  </si>
  <si>
    <t>FD02758</t>
  </si>
  <si>
    <t>FD02759</t>
  </si>
  <si>
    <t>FD02760</t>
  </si>
  <si>
    <t>FD02761</t>
  </si>
  <si>
    <t>FD02762</t>
  </si>
  <si>
    <t>FD02763</t>
  </si>
  <si>
    <t>FD02764</t>
  </si>
  <si>
    <t>FD02765</t>
  </si>
  <si>
    <t>FD02766</t>
  </si>
  <si>
    <t>FD02767</t>
  </si>
  <si>
    <t>FD02768</t>
  </si>
  <si>
    <t>FD02769</t>
  </si>
  <si>
    <t>FD02770</t>
  </si>
  <si>
    <t>FD02771</t>
  </si>
  <si>
    <t>FD02772</t>
  </si>
  <si>
    <t>FD02773</t>
  </si>
  <si>
    <t>FD02774</t>
  </si>
  <si>
    <t>FD02775</t>
  </si>
  <si>
    <t>FD02776</t>
  </si>
  <si>
    <t>FD02777</t>
  </si>
  <si>
    <t>FD02778</t>
  </si>
  <si>
    <t>FD02779</t>
  </si>
  <si>
    <t>FD02780</t>
  </si>
  <si>
    <t>FD02781</t>
  </si>
  <si>
    <t>FD02782</t>
  </si>
  <si>
    <t>FD02783</t>
  </si>
  <si>
    <t>FD02784</t>
  </si>
  <si>
    <t>FD02785</t>
  </si>
  <si>
    <t>FD02786</t>
  </si>
  <si>
    <t>FD02787</t>
  </si>
  <si>
    <t>FD02788</t>
  </si>
  <si>
    <t>FD02789</t>
  </si>
  <si>
    <t>FD02790</t>
  </si>
  <si>
    <t>FD02791</t>
  </si>
  <si>
    <t>FD02792</t>
  </si>
  <si>
    <t>FD02793</t>
  </si>
  <si>
    <t>FD02794</t>
  </si>
  <si>
    <t>FD02795</t>
  </si>
  <si>
    <t>FD02796</t>
  </si>
  <si>
    <t>FD02797</t>
  </si>
  <si>
    <t>FD02798</t>
  </si>
  <si>
    <t>FD02799</t>
  </si>
  <si>
    <t>FD02800</t>
  </si>
  <si>
    <t>FD02801</t>
  </si>
  <si>
    <t>FD02802</t>
  </si>
  <si>
    <t>FD02803</t>
  </si>
  <si>
    <t>FD02804</t>
  </si>
  <si>
    <t>FD02805</t>
  </si>
  <si>
    <t>FD02806</t>
  </si>
  <si>
    <t>FD02807</t>
  </si>
  <si>
    <t>FD02808</t>
  </si>
  <si>
    <t>FD02809</t>
  </si>
  <si>
    <t>FD02810</t>
  </si>
  <si>
    <t>FD02811</t>
  </si>
  <si>
    <t>FD02812</t>
  </si>
  <si>
    <t>FD02813</t>
  </si>
  <si>
    <t>FD02814</t>
  </si>
  <si>
    <t>FD02815</t>
  </si>
  <si>
    <t>FD02816</t>
  </si>
  <si>
    <t>FD02817</t>
  </si>
  <si>
    <t>FD02818</t>
  </si>
  <si>
    <t>FD02819</t>
  </si>
  <si>
    <t>FD02820</t>
  </si>
  <si>
    <t>FD02821</t>
  </si>
  <si>
    <t>FD02822</t>
  </si>
  <si>
    <t>FD02823</t>
  </si>
  <si>
    <t>FD02824</t>
  </si>
  <si>
    <t>FD02825</t>
  </si>
  <si>
    <t>FD02826</t>
  </si>
  <si>
    <t>FD02827</t>
  </si>
  <si>
    <t>FD02828</t>
  </si>
  <si>
    <t>FD02829</t>
  </si>
  <si>
    <t>FD02830</t>
  </si>
  <si>
    <t>FD02831</t>
  </si>
  <si>
    <t>FD02832</t>
  </si>
  <si>
    <t>FD02833</t>
  </si>
  <si>
    <t>FD02834</t>
  </si>
  <si>
    <t>FD02835</t>
  </si>
  <si>
    <t>FD02836</t>
  </si>
  <si>
    <t>FD02837</t>
  </si>
  <si>
    <t>FD02838</t>
  </si>
  <si>
    <t>FD02839</t>
  </si>
  <si>
    <t>FD02840</t>
  </si>
  <si>
    <t>FD02841</t>
  </si>
  <si>
    <t>FD02842</t>
  </si>
  <si>
    <t>FD02843</t>
  </si>
  <si>
    <t>FD02844</t>
  </si>
  <si>
    <t>FD02845</t>
  </si>
  <si>
    <t>FD02846</t>
  </si>
  <si>
    <t>FD02847</t>
  </si>
  <si>
    <t>FD02848</t>
  </si>
  <si>
    <t>FD02849</t>
  </si>
  <si>
    <t>FD02850</t>
  </si>
  <si>
    <t>FD02851</t>
  </si>
  <si>
    <t>FD02852</t>
  </si>
  <si>
    <t>FD02853</t>
  </si>
  <si>
    <t>FD02854</t>
  </si>
  <si>
    <t>FD02855</t>
  </si>
  <si>
    <t>FD02856</t>
  </si>
  <si>
    <t>FD02857</t>
  </si>
  <si>
    <t>FD02858</t>
  </si>
  <si>
    <t>FD02859</t>
  </si>
  <si>
    <t>FD02860</t>
  </si>
  <si>
    <t>FD02861</t>
  </si>
  <si>
    <t>FD02862</t>
  </si>
  <si>
    <t>FD02863</t>
  </si>
  <si>
    <t>FD02864</t>
  </si>
  <si>
    <t>FD02865</t>
  </si>
  <si>
    <t>FD02866</t>
  </si>
  <si>
    <t>FD02867</t>
  </si>
  <si>
    <t>FD02868</t>
  </si>
  <si>
    <t>FD02869</t>
  </si>
  <si>
    <t>FD02870</t>
  </si>
  <si>
    <t>FD02871</t>
  </si>
  <si>
    <t>FD02872</t>
  </si>
  <si>
    <t>FD02873</t>
  </si>
  <si>
    <t>FD02874</t>
  </si>
  <si>
    <t>FD02875</t>
  </si>
  <si>
    <t>FD02876</t>
  </si>
  <si>
    <t>FD02877</t>
  </si>
  <si>
    <t>FD02878</t>
  </si>
  <si>
    <t>FD02879</t>
  </si>
  <si>
    <t>FD02880</t>
  </si>
  <si>
    <t>FD02881</t>
  </si>
  <si>
    <t>FD02882</t>
  </si>
  <si>
    <t>FD02883</t>
  </si>
  <si>
    <t>FD02884</t>
  </si>
  <si>
    <t>FD02885</t>
  </si>
  <si>
    <t>FD02886</t>
  </si>
  <si>
    <t>FD02887</t>
  </si>
  <si>
    <t>FD02888</t>
  </si>
  <si>
    <t>FD02889</t>
  </si>
  <si>
    <t>FD02890</t>
  </si>
  <si>
    <t>FD02891</t>
  </si>
  <si>
    <t>FD02892</t>
  </si>
  <si>
    <t>FD02893</t>
  </si>
  <si>
    <t>FD02894</t>
  </si>
  <si>
    <t>FD02895</t>
  </si>
  <si>
    <t>FD02896</t>
  </si>
  <si>
    <t>FD02897</t>
  </si>
  <si>
    <t>FD02898</t>
  </si>
  <si>
    <t>FD02899</t>
  </si>
  <si>
    <t>FD02900</t>
  </si>
  <si>
    <t>FD02901</t>
  </si>
  <si>
    <t>FD02902</t>
  </si>
  <si>
    <t>FD02903</t>
  </si>
  <si>
    <t>FD02904</t>
  </si>
  <si>
    <t>FD02905</t>
  </si>
  <si>
    <t>FD02906</t>
  </si>
  <si>
    <t>FD02907</t>
  </si>
  <si>
    <t>FD02908</t>
  </si>
  <si>
    <t>FD02909</t>
  </si>
  <si>
    <t>FD02910</t>
  </si>
  <si>
    <t>FD02911</t>
  </si>
  <si>
    <t>FD02912</t>
  </si>
  <si>
    <t>FD02913</t>
  </si>
  <si>
    <t>FD02914</t>
  </si>
  <si>
    <t>FD02915</t>
  </si>
  <si>
    <t>FD02916</t>
  </si>
  <si>
    <t>FD02917</t>
  </si>
  <si>
    <t>FD02918</t>
  </si>
  <si>
    <t>FD02919</t>
  </si>
  <si>
    <t>FD02920</t>
  </si>
  <si>
    <t>FD02921</t>
  </si>
  <si>
    <t>FD02922</t>
  </si>
  <si>
    <t>FD02923</t>
  </si>
  <si>
    <t>FD02924</t>
  </si>
  <si>
    <t>FD02925</t>
  </si>
  <si>
    <t>FD02926</t>
  </si>
  <si>
    <t>FD02927</t>
  </si>
  <si>
    <t>FD02928</t>
  </si>
  <si>
    <t>FD02929</t>
  </si>
  <si>
    <t>FD02930</t>
  </si>
  <si>
    <t>FD02931</t>
  </si>
  <si>
    <t>FD02932</t>
  </si>
  <si>
    <t>FD02933</t>
  </si>
  <si>
    <t>FD02934</t>
  </si>
  <si>
    <t>FD02935</t>
  </si>
  <si>
    <t>FD02936</t>
  </si>
  <si>
    <t>FD02937</t>
  </si>
  <si>
    <t>FD02938</t>
  </si>
  <si>
    <t>FD02939</t>
  </si>
  <si>
    <t>FD02940</t>
  </si>
  <si>
    <t>FD02941</t>
  </si>
  <si>
    <t>FD02942</t>
  </si>
  <si>
    <t>FD02943</t>
  </si>
  <si>
    <t>FD02944</t>
  </si>
  <si>
    <t>FD02945</t>
  </si>
  <si>
    <t>FD02946</t>
  </si>
  <si>
    <t>FD02947</t>
  </si>
  <si>
    <t>FD02948</t>
  </si>
  <si>
    <t>FD02949</t>
  </si>
  <si>
    <t>FD02950</t>
  </si>
  <si>
    <t>FD02951</t>
  </si>
  <si>
    <t>FD02952</t>
  </si>
  <si>
    <t>FD02953</t>
  </si>
  <si>
    <t>FD02954</t>
  </si>
  <si>
    <t>FD02955</t>
  </si>
  <si>
    <t>FD02956</t>
  </si>
  <si>
    <t>FD02957</t>
  </si>
  <si>
    <t>FD02958</t>
  </si>
  <si>
    <t>FD02959</t>
  </si>
  <si>
    <t>FD02960</t>
  </si>
  <si>
    <t>FD02961</t>
  </si>
  <si>
    <t>FD02962</t>
  </si>
  <si>
    <t>FD02963</t>
  </si>
  <si>
    <t>FD02964</t>
  </si>
  <si>
    <t>FD02965</t>
  </si>
  <si>
    <t>FD02966</t>
  </si>
  <si>
    <t>FD02967</t>
  </si>
  <si>
    <t>FD02968</t>
  </si>
  <si>
    <t>FD02969</t>
  </si>
  <si>
    <t>FD02970</t>
  </si>
  <si>
    <t>FD02971</t>
  </si>
  <si>
    <t>FD02972</t>
  </si>
  <si>
    <t>FD02973</t>
  </si>
  <si>
    <t>FD02974</t>
  </si>
  <si>
    <t>FD02975</t>
  </si>
  <si>
    <t>FD02976</t>
  </si>
  <si>
    <t>FD02977</t>
  </si>
  <si>
    <t>FD02978</t>
  </si>
  <si>
    <t>FD02979</t>
  </si>
  <si>
    <t>FD02980</t>
  </si>
  <si>
    <t>FD02981</t>
  </si>
  <si>
    <t>FD02982</t>
  </si>
  <si>
    <t>FD02983</t>
  </si>
  <si>
    <t>FD02984</t>
  </si>
  <si>
    <t>FD02985</t>
  </si>
  <si>
    <t>FD02986</t>
  </si>
  <si>
    <t>FD02987</t>
  </si>
  <si>
    <t>FD02988</t>
  </si>
  <si>
    <t>FD02989</t>
  </si>
  <si>
    <t>FD02990</t>
  </si>
  <si>
    <t>FD02991</t>
  </si>
  <si>
    <t>FD02992</t>
  </si>
  <si>
    <t>FD02993</t>
  </si>
  <si>
    <t>FD02994</t>
  </si>
  <si>
    <t>FD02995</t>
  </si>
  <si>
    <t>FD02996</t>
  </si>
  <si>
    <t>FD02997</t>
  </si>
  <si>
    <t>FD02998</t>
  </si>
  <si>
    <t>FD02999</t>
  </si>
  <si>
    <t>FD03000</t>
  </si>
  <si>
    <t>FD03001</t>
  </si>
  <si>
    <t>FD03002</t>
  </si>
  <si>
    <t>FD03003</t>
  </si>
  <si>
    <t>FD03004</t>
  </si>
  <si>
    <t>FD03005</t>
  </si>
  <si>
    <t>FD03006</t>
  </si>
  <si>
    <t>FD03007</t>
  </si>
  <si>
    <t>FD03008</t>
  </si>
  <si>
    <t>FD03009</t>
  </si>
  <si>
    <t>FD03010</t>
  </si>
  <si>
    <t>FD03011</t>
  </si>
  <si>
    <t>FD03012</t>
  </si>
  <si>
    <t>FD03013</t>
  </si>
  <si>
    <t>FD03014</t>
  </si>
  <si>
    <t>FD03015</t>
  </si>
  <si>
    <t>FD03016</t>
  </si>
  <si>
    <t>FD03017</t>
  </si>
  <si>
    <t>FD03018</t>
  </si>
  <si>
    <t>FD03019</t>
  </si>
  <si>
    <t>FD03020</t>
  </si>
  <si>
    <t>FD03021</t>
  </si>
  <si>
    <t>FD03022</t>
  </si>
  <si>
    <t>FD03023</t>
  </si>
  <si>
    <t>FD03024</t>
  </si>
  <si>
    <t>FD03025</t>
  </si>
  <si>
    <t>FD03026</t>
  </si>
  <si>
    <t>FD03027</t>
  </si>
  <si>
    <t>FD03028</t>
  </si>
  <si>
    <t>FD03029</t>
  </si>
  <si>
    <t>FD03030</t>
  </si>
  <si>
    <t>FD03031</t>
  </si>
  <si>
    <t>FD03032</t>
  </si>
  <si>
    <t>FD03033</t>
  </si>
  <si>
    <t>FD03034</t>
  </si>
  <si>
    <t>FD03035</t>
  </si>
  <si>
    <t>FD03036</t>
  </si>
  <si>
    <t>FD03037</t>
  </si>
  <si>
    <t>FD03038</t>
  </si>
  <si>
    <t>FD03039</t>
  </si>
  <si>
    <t>FD03040</t>
  </si>
  <si>
    <t>FD03041</t>
  </si>
  <si>
    <t>FD03042</t>
  </si>
  <si>
    <t>FD03043</t>
  </si>
  <si>
    <t>FD03044</t>
  </si>
  <si>
    <t>FD03045</t>
  </si>
  <si>
    <t>FD03046</t>
  </si>
  <si>
    <t>FD03047</t>
  </si>
  <si>
    <t>FD03048</t>
  </si>
  <si>
    <t>FD03049</t>
  </si>
  <si>
    <t>FD03050</t>
  </si>
  <si>
    <t>FD03051</t>
  </si>
  <si>
    <t>FD03052</t>
  </si>
  <si>
    <t>FD03053</t>
  </si>
  <si>
    <t>FD03054</t>
  </si>
  <si>
    <t>FD03055</t>
  </si>
  <si>
    <t>FD03056</t>
  </si>
  <si>
    <t>FD03057</t>
  </si>
  <si>
    <t>FD03058</t>
  </si>
  <si>
    <t>FD03059</t>
  </si>
  <si>
    <t>FD03060</t>
  </si>
  <si>
    <t>FD03061</t>
  </si>
  <si>
    <t>FD03062</t>
  </si>
  <si>
    <t>FD03063</t>
  </si>
  <si>
    <t>FD03064</t>
  </si>
  <si>
    <t>FD03065</t>
  </si>
  <si>
    <t>FD03066</t>
  </si>
  <si>
    <t>FD03067</t>
  </si>
  <si>
    <t>FD03068</t>
  </si>
  <si>
    <t>FD03069</t>
  </si>
  <si>
    <t>FD03070</t>
  </si>
  <si>
    <t>FD03071</t>
  </si>
  <si>
    <t>FD03072</t>
  </si>
  <si>
    <t>FD03073</t>
  </si>
  <si>
    <t>FD03074</t>
  </si>
  <si>
    <t>FD03075</t>
  </si>
  <si>
    <t>FD03076</t>
  </si>
  <si>
    <t>FD03077</t>
  </si>
  <si>
    <t>FD03078</t>
  </si>
  <si>
    <t>FD03079</t>
  </si>
  <si>
    <t>FD03080</t>
  </si>
  <si>
    <t>FD03081</t>
  </si>
  <si>
    <t>FD03082</t>
  </si>
  <si>
    <t>FD03083</t>
  </si>
  <si>
    <t>FD03084</t>
  </si>
  <si>
    <t>FD03085</t>
  </si>
  <si>
    <t>FD03086</t>
  </si>
  <si>
    <t>FD03087</t>
  </si>
  <si>
    <t>FD03088</t>
  </si>
  <si>
    <t>FD03089</t>
  </si>
  <si>
    <t>FD03090</t>
  </si>
  <si>
    <t>FD03091</t>
  </si>
  <si>
    <t>FD03092</t>
  </si>
  <si>
    <t>FD03093</t>
  </si>
  <si>
    <t>FD03094</t>
  </si>
  <si>
    <t>FD03095</t>
  </si>
  <si>
    <t>FD03096</t>
  </si>
  <si>
    <t>FD03097</t>
  </si>
  <si>
    <t>FD03098</t>
  </si>
  <si>
    <t>FD03099</t>
  </si>
  <si>
    <t>FD03100</t>
  </si>
  <si>
    <t>FD03101</t>
  </si>
  <si>
    <t>FD03102</t>
  </si>
  <si>
    <t>FD03103</t>
  </si>
  <si>
    <t>FD03104</t>
  </si>
  <si>
    <t>FD03105</t>
  </si>
  <si>
    <t>FD03106</t>
  </si>
  <si>
    <t>FD03107</t>
  </si>
  <si>
    <t>FD03108</t>
  </si>
  <si>
    <t>FD03109</t>
  </si>
  <si>
    <t>FD03110</t>
  </si>
  <si>
    <t>FD03111</t>
  </si>
  <si>
    <t>FD03112</t>
  </si>
  <si>
    <t>FD03113</t>
  </si>
  <si>
    <t>FD03114</t>
  </si>
  <si>
    <t>FD03115</t>
  </si>
  <si>
    <t>FD03116</t>
  </si>
  <si>
    <t>FD03117</t>
  </si>
  <si>
    <t>FD03118</t>
  </si>
  <si>
    <t>FD03119</t>
  </si>
  <si>
    <t>FD03120</t>
  </si>
  <si>
    <t>FD03121</t>
  </si>
  <si>
    <t>FD03122</t>
  </si>
  <si>
    <t>FD03123</t>
  </si>
  <si>
    <t>FD03124</t>
  </si>
  <si>
    <t>FD03125</t>
  </si>
  <si>
    <t>FD03126</t>
  </si>
  <si>
    <t>FD03127</t>
  </si>
  <si>
    <t>FD03128</t>
  </si>
  <si>
    <t>FD03129</t>
  </si>
  <si>
    <t>FD03130</t>
  </si>
  <si>
    <t>FD03131</t>
  </si>
  <si>
    <t>FD03132</t>
  </si>
  <si>
    <t>FD03133</t>
  </si>
  <si>
    <t>FD03134</t>
  </si>
  <si>
    <t>FD03135</t>
  </si>
  <si>
    <t>FD03136</t>
  </si>
  <si>
    <t>FD03137</t>
  </si>
  <si>
    <t>FD03138</t>
  </si>
  <si>
    <t>FD03139</t>
  </si>
  <si>
    <t>FD03140</t>
  </si>
  <si>
    <t>FD03141</t>
  </si>
  <si>
    <t>FD03142</t>
  </si>
  <si>
    <t>FD03143</t>
  </si>
  <si>
    <t>FD03144</t>
  </si>
  <si>
    <t>FD03145</t>
  </si>
  <si>
    <t>FD03146</t>
  </si>
  <si>
    <t>FD03147</t>
  </si>
  <si>
    <t>FD03148</t>
  </si>
  <si>
    <t>FD03149</t>
  </si>
  <si>
    <t>FD03150</t>
  </si>
  <si>
    <t>FD03151</t>
  </si>
  <si>
    <t>FD03152</t>
  </si>
  <si>
    <t>FD03153</t>
  </si>
  <si>
    <t>FD03154</t>
  </si>
  <si>
    <t>FD03155</t>
  </si>
  <si>
    <t>FD03156</t>
  </si>
  <si>
    <t>FD03157</t>
  </si>
  <si>
    <t>FD03158</t>
  </si>
  <si>
    <t>FD03159</t>
  </si>
  <si>
    <t>FD03160</t>
  </si>
  <si>
    <t>FD03161</t>
  </si>
  <si>
    <t>FD03162</t>
  </si>
  <si>
    <t>FD03163</t>
  </si>
  <si>
    <t>FD03164</t>
  </si>
  <si>
    <t>FD03165</t>
  </si>
  <si>
    <t>FD03166</t>
  </si>
  <si>
    <t>FD03167</t>
  </si>
  <si>
    <t>FD03168</t>
  </si>
  <si>
    <t>FD03169</t>
  </si>
  <si>
    <t>FD03170</t>
  </si>
  <si>
    <t>FD03171</t>
  </si>
  <si>
    <t>FD03172</t>
  </si>
  <si>
    <t>FD03173</t>
  </si>
  <si>
    <t>FD03174</t>
  </si>
  <si>
    <t>FD03175</t>
  </si>
  <si>
    <t>FD03176</t>
  </si>
  <si>
    <t>FD03177</t>
  </si>
  <si>
    <t>FD03178</t>
  </si>
  <si>
    <t>FD03179</t>
  </si>
  <si>
    <t>FD03180</t>
  </si>
  <si>
    <t>FD03181</t>
  </si>
  <si>
    <t>FD03182</t>
  </si>
  <si>
    <t>FD03183</t>
  </si>
  <si>
    <t>FD03184</t>
  </si>
  <si>
    <t>FD03185</t>
  </si>
  <si>
    <t>FD03186</t>
  </si>
  <si>
    <t>FD03187</t>
  </si>
  <si>
    <t>FD03188</t>
  </si>
  <si>
    <t>FD03189</t>
  </si>
  <si>
    <t>FD03190</t>
  </si>
  <si>
    <t>FD03191</t>
  </si>
  <si>
    <t>FD03192</t>
  </si>
  <si>
    <t>FD03193</t>
  </si>
  <si>
    <t>FD03194</t>
  </si>
  <si>
    <t>FD03195</t>
  </si>
  <si>
    <t>FD03196</t>
  </si>
  <si>
    <t>FD03197</t>
  </si>
  <si>
    <t>FD03198</t>
  </si>
  <si>
    <t>FD03199</t>
  </si>
  <si>
    <t>FD03200</t>
  </si>
  <si>
    <t>FD03201</t>
  </si>
  <si>
    <t>FD03202</t>
  </si>
  <si>
    <t>FD03203</t>
  </si>
  <si>
    <t>FD03204</t>
  </si>
  <si>
    <t>FD03205</t>
  </si>
  <si>
    <t>FD03206</t>
  </si>
  <si>
    <t>FD03207</t>
  </si>
  <si>
    <t>FD03208</t>
  </si>
  <si>
    <t>FD03209</t>
  </si>
  <si>
    <t>FD03210</t>
  </si>
  <si>
    <t>FD03211</t>
  </si>
  <si>
    <t>FD03212</t>
  </si>
  <si>
    <t>FD03213</t>
  </si>
  <si>
    <t>FD03214</t>
  </si>
  <si>
    <t>FD03215</t>
  </si>
  <si>
    <t>FD03216</t>
  </si>
  <si>
    <t>FD03217</t>
  </si>
  <si>
    <t>FD03218</t>
  </si>
  <si>
    <t>FD03219</t>
  </si>
  <si>
    <t>FD03220</t>
  </si>
  <si>
    <t>FD03221</t>
  </si>
  <si>
    <t>FD03222</t>
  </si>
  <si>
    <t>FD03223</t>
  </si>
  <si>
    <t>FD03224</t>
  </si>
  <si>
    <t>FD03225</t>
  </si>
  <si>
    <t>FD03226</t>
  </si>
  <si>
    <t>FD03227</t>
  </si>
  <si>
    <t>FD03228</t>
  </si>
  <si>
    <t>FD03229</t>
  </si>
  <si>
    <t>FD03230</t>
  </si>
  <si>
    <t>FD03231</t>
  </si>
  <si>
    <t>FD03232</t>
  </si>
  <si>
    <t>FD03233</t>
  </si>
  <si>
    <t>FD03234</t>
  </si>
  <si>
    <t>FD03235</t>
  </si>
  <si>
    <t>FD03236</t>
  </si>
  <si>
    <t>FD03237</t>
  </si>
  <si>
    <t>FD03238</t>
  </si>
  <si>
    <t>FD03239</t>
  </si>
  <si>
    <t>FD03240</t>
  </si>
  <si>
    <t>FD03241</t>
  </si>
  <si>
    <t>FD03242</t>
  </si>
  <si>
    <t>FD03243</t>
  </si>
  <si>
    <t>FD03244</t>
  </si>
  <si>
    <t>FD03245</t>
  </si>
  <si>
    <t>FD03246</t>
  </si>
  <si>
    <t>FD03247</t>
  </si>
  <si>
    <t>FD03248</t>
  </si>
  <si>
    <t>FD03249</t>
  </si>
  <si>
    <t>FD03250</t>
  </si>
  <si>
    <t>FD03251</t>
  </si>
  <si>
    <t>FD03252</t>
  </si>
  <si>
    <t>FD03253</t>
  </si>
  <si>
    <t>FD03254</t>
  </si>
  <si>
    <t>FD03255</t>
  </si>
  <si>
    <t>FD03256</t>
  </si>
  <si>
    <t>FD03257</t>
  </si>
  <si>
    <t>FD03258</t>
  </si>
  <si>
    <t>FD03259</t>
  </si>
  <si>
    <t>FD03260</t>
  </si>
  <si>
    <t>FD03261</t>
  </si>
  <si>
    <t>FD03262</t>
  </si>
  <si>
    <t>FD03263</t>
  </si>
  <si>
    <t>FD03264</t>
  </si>
  <si>
    <t>FD03265</t>
  </si>
  <si>
    <t>FD03266</t>
  </si>
  <si>
    <t>FD03267</t>
  </si>
  <si>
    <t>FD03268</t>
  </si>
  <si>
    <t>FD03269</t>
  </si>
  <si>
    <t>FD03270</t>
  </si>
  <si>
    <t>FD03271</t>
  </si>
  <si>
    <t>FD03272</t>
  </si>
  <si>
    <t>FD03273</t>
  </si>
  <si>
    <t>FD03274</t>
  </si>
  <si>
    <t>FD03275</t>
  </si>
  <si>
    <t>FD03276</t>
  </si>
  <si>
    <t>FD03277</t>
  </si>
  <si>
    <t>FD03278</t>
  </si>
  <si>
    <t>FD03279</t>
  </si>
  <si>
    <t>FD03280</t>
  </si>
  <si>
    <t>FD03281</t>
  </si>
  <si>
    <t>FD03282</t>
  </si>
  <si>
    <t>FD03283</t>
  </si>
  <si>
    <t>FD03284</t>
  </si>
  <si>
    <t>FD03285</t>
  </si>
  <si>
    <t>FD03286</t>
  </si>
  <si>
    <t>FD03287</t>
  </si>
  <si>
    <t>FD03288</t>
  </si>
  <si>
    <t>FD03289</t>
  </si>
  <si>
    <t>FD03290</t>
  </si>
  <si>
    <t>FD03291</t>
  </si>
  <si>
    <t>FD03292</t>
  </si>
  <si>
    <t>FD03293</t>
  </si>
  <si>
    <t>FD03294</t>
  </si>
  <si>
    <t>FD03295</t>
  </si>
  <si>
    <t>FD03296</t>
  </si>
  <si>
    <t>FD03297</t>
  </si>
  <si>
    <t>FD03298</t>
  </si>
  <si>
    <t>FD03299</t>
  </si>
  <si>
    <t>FD03300</t>
  </si>
  <si>
    <t>FD03301</t>
  </si>
  <si>
    <t>FD03302</t>
  </si>
  <si>
    <t>FD03303</t>
  </si>
  <si>
    <t>FD03304</t>
  </si>
  <si>
    <t>FD03305</t>
  </si>
  <si>
    <t>FD03306</t>
  </si>
  <si>
    <t>FD03307</t>
  </si>
  <si>
    <t>FD03308</t>
  </si>
  <si>
    <t>FD03309</t>
  </si>
  <si>
    <t>FD03310</t>
  </si>
  <si>
    <t>FD03311</t>
  </si>
  <si>
    <t>FD03312</t>
  </si>
  <si>
    <t>FD03313</t>
  </si>
  <si>
    <t>FD03314</t>
  </si>
  <si>
    <t>FD03315</t>
  </si>
  <si>
    <t>FD03316</t>
  </si>
  <si>
    <t>FD03317</t>
  </si>
  <si>
    <t>FD03318</t>
  </si>
  <si>
    <t>FD03319</t>
  </si>
  <si>
    <t>FD03320</t>
  </si>
  <si>
    <t>FD03321</t>
  </si>
  <si>
    <t>FD03322</t>
  </si>
  <si>
    <t>FD03323</t>
  </si>
  <si>
    <t>FD03324</t>
  </si>
  <si>
    <t>FD03325</t>
  </si>
  <si>
    <t>FD03326</t>
  </si>
  <si>
    <t>FD03327</t>
  </si>
  <si>
    <t>FD03328</t>
  </si>
  <si>
    <t>FD03329</t>
  </si>
  <si>
    <t>FD03330</t>
  </si>
  <si>
    <t>FD03331</t>
  </si>
  <si>
    <t>FD03332</t>
  </si>
  <si>
    <t>FD03333</t>
  </si>
  <si>
    <t>FD03334</t>
  </si>
  <si>
    <t>FD03335</t>
  </si>
  <si>
    <t>FD03336</t>
  </si>
  <si>
    <t>FD03337</t>
  </si>
  <si>
    <t>FD03338</t>
  </si>
  <si>
    <t>FD03339</t>
  </si>
  <si>
    <t>FD03340</t>
  </si>
  <si>
    <t>FD03341</t>
  </si>
  <si>
    <t>FD03342</t>
  </si>
  <si>
    <t>FD03343</t>
  </si>
  <si>
    <t>FD03344</t>
  </si>
  <si>
    <t>FD03345</t>
  </si>
  <si>
    <t>FD03346</t>
  </si>
  <si>
    <t>FD03347</t>
  </si>
  <si>
    <t>FD03348</t>
  </si>
  <si>
    <t>FD03349</t>
  </si>
  <si>
    <t>FD03350</t>
  </si>
  <si>
    <t>FD03351</t>
  </si>
  <si>
    <t>FD03352</t>
  </si>
  <si>
    <t>FD03353</t>
  </si>
  <si>
    <t>FD03354</t>
  </si>
  <si>
    <t>FD03355</t>
  </si>
  <si>
    <t>FD03356</t>
  </si>
  <si>
    <t>FD03357</t>
  </si>
  <si>
    <t>FD03358</t>
  </si>
  <si>
    <t>FD03359</t>
  </si>
  <si>
    <t>FD03360</t>
  </si>
  <si>
    <t>FD03361</t>
  </si>
  <si>
    <t>FD03362</t>
  </si>
  <si>
    <t>FD03363</t>
  </si>
  <si>
    <t>FD03364</t>
  </si>
  <si>
    <t>FD03365</t>
  </si>
  <si>
    <t>FD03366</t>
  </si>
  <si>
    <t>FD03367</t>
  </si>
  <si>
    <t>FD03368</t>
  </si>
  <si>
    <t>FD03369</t>
  </si>
  <si>
    <t>FD03370</t>
  </si>
  <si>
    <t>FD03371</t>
  </si>
  <si>
    <t>FD03372</t>
  </si>
  <si>
    <t>FD03373</t>
  </si>
  <si>
    <t>FD03374</t>
  </si>
  <si>
    <t>FD03375</t>
  </si>
  <si>
    <t>FD03376</t>
  </si>
  <si>
    <t>FD03377</t>
  </si>
  <si>
    <t>FD03378</t>
  </si>
  <si>
    <t>FD03379</t>
  </si>
  <si>
    <t>FD03380</t>
  </si>
  <si>
    <t>FD03381</t>
  </si>
  <si>
    <t>FD03382</t>
  </si>
  <si>
    <t>FD03383</t>
  </si>
  <si>
    <t>FD03384</t>
  </si>
  <si>
    <t>FD03385</t>
  </si>
  <si>
    <t>FD03386</t>
  </si>
  <si>
    <t>FD03387</t>
  </si>
  <si>
    <t>FD03388</t>
  </si>
  <si>
    <t>FD03389</t>
  </si>
  <si>
    <t>FD03390</t>
  </si>
  <si>
    <t>FD03391</t>
  </si>
  <si>
    <t>FD03392</t>
  </si>
  <si>
    <t>FD03393</t>
  </si>
  <si>
    <t>FD03394</t>
  </si>
  <si>
    <t>FD03395</t>
  </si>
  <si>
    <t>FD03396</t>
  </si>
  <si>
    <t>FD03397</t>
  </si>
  <si>
    <t>FD03398</t>
  </si>
  <si>
    <t>FD03399</t>
  </si>
  <si>
    <t>FD03400</t>
  </si>
  <si>
    <t>FD03401</t>
  </si>
  <si>
    <t>FD03402</t>
  </si>
  <si>
    <t>FD03403</t>
  </si>
  <si>
    <t>FD03404</t>
  </si>
  <si>
    <t>FD03405</t>
  </si>
  <si>
    <t>FD03406</t>
  </si>
  <si>
    <t>FD03407</t>
  </si>
  <si>
    <t>FD03408</t>
  </si>
  <si>
    <t>FD03409</t>
  </si>
  <si>
    <t>FD03410</t>
  </si>
  <si>
    <t>FD03411</t>
  </si>
  <si>
    <t>FD03412</t>
  </si>
  <si>
    <t>FD03413</t>
  </si>
  <si>
    <t>FD03414</t>
  </si>
  <si>
    <t>FD03415</t>
  </si>
  <si>
    <t>FD03416</t>
  </si>
  <si>
    <t>FD03417</t>
  </si>
  <si>
    <t>FD03418</t>
  </si>
  <si>
    <t>FD03419</t>
  </si>
  <si>
    <t>FD03420</t>
  </si>
  <si>
    <t>FD03421</t>
  </si>
  <si>
    <t>FD03422</t>
  </si>
  <si>
    <t>FD03423</t>
  </si>
  <si>
    <t>FD03424</t>
  </si>
  <si>
    <t>FD03425</t>
  </si>
  <si>
    <t>FD03426</t>
  </si>
  <si>
    <t>FD03427</t>
  </si>
  <si>
    <t>FD03428</t>
  </si>
  <si>
    <t>FD03429</t>
  </si>
  <si>
    <t>FD03430</t>
  </si>
  <si>
    <t>FD03431</t>
  </si>
  <si>
    <t>FD03432</t>
  </si>
  <si>
    <t>FD03433</t>
  </si>
  <si>
    <t>FD03434</t>
  </si>
  <si>
    <t>FD03435</t>
  </si>
  <si>
    <t>FD03436</t>
  </si>
  <si>
    <t>FD03437</t>
  </si>
  <si>
    <t>FD03438</t>
  </si>
  <si>
    <t>FD03439</t>
  </si>
  <si>
    <t>FD03440</t>
  </si>
  <si>
    <t>FD03441</t>
  </si>
  <si>
    <t>FD03442</t>
  </si>
  <si>
    <t>FD03443</t>
  </si>
  <si>
    <t>FD03444</t>
  </si>
  <si>
    <t>FD03445</t>
  </si>
  <si>
    <t>FD03446</t>
  </si>
  <si>
    <t>FD03447</t>
  </si>
  <si>
    <t>FD03448</t>
  </si>
  <si>
    <t>FD03449</t>
  </si>
  <si>
    <t>FD03450</t>
  </si>
  <si>
    <t>FD03451</t>
  </si>
  <si>
    <t>FD03452</t>
  </si>
  <si>
    <t>FD03453</t>
  </si>
  <si>
    <t>FD03454</t>
  </si>
  <si>
    <t>FD03455</t>
  </si>
  <si>
    <t>FD03456</t>
  </si>
  <si>
    <t>FD03457</t>
  </si>
  <si>
    <t>FD03458</t>
  </si>
  <si>
    <t>FD03459</t>
  </si>
  <si>
    <t>FD03460</t>
  </si>
  <si>
    <t>FD03461</t>
  </si>
  <si>
    <t>FD03462</t>
  </si>
  <si>
    <t>FD03463</t>
  </si>
  <si>
    <t>FD03464</t>
  </si>
  <si>
    <t>FD03465</t>
  </si>
  <si>
    <t>FD03466</t>
  </si>
  <si>
    <t>FD03467</t>
  </si>
  <si>
    <t>FD03468</t>
  </si>
  <si>
    <t>FD03469</t>
  </si>
  <si>
    <t>FD03470</t>
  </si>
  <si>
    <t>FD03471</t>
  </si>
  <si>
    <t>FD03472</t>
  </si>
  <si>
    <t>FD03473</t>
  </si>
  <si>
    <t>FD03474</t>
  </si>
  <si>
    <t>FD03475</t>
  </si>
  <si>
    <t>FD03476</t>
  </si>
  <si>
    <t>FD03477</t>
  </si>
  <si>
    <t>FD03478</t>
  </si>
  <si>
    <t>FD03479</t>
  </si>
  <si>
    <t>FD03480</t>
  </si>
  <si>
    <t>FD03481</t>
  </si>
  <si>
    <t>FD03482</t>
  </si>
  <si>
    <t>FD03483</t>
  </si>
  <si>
    <t>FD03484</t>
  </si>
  <si>
    <t>FD03485</t>
  </si>
  <si>
    <t>FD03486</t>
  </si>
  <si>
    <t>FD03487</t>
  </si>
  <si>
    <t>FD03488</t>
  </si>
  <si>
    <t>FD03489</t>
  </si>
  <si>
    <t>FD03490</t>
  </si>
  <si>
    <t>FD03491</t>
  </si>
  <si>
    <t>FD03492</t>
  </si>
  <si>
    <t>FD03493</t>
  </si>
  <si>
    <t>FD03494</t>
  </si>
  <si>
    <t>FD03495</t>
  </si>
  <si>
    <t>FD03496</t>
  </si>
  <si>
    <t>FD03497</t>
  </si>
  <si>
    <t>FD03498</t>
  </si>
  <si>
    <t>FD03499</t>
  </si>
  <si>
    <t>FD03500</t>
  </si>
  <si>
    <t>FD03501</t>
  </si>
  <si>
    <t>FD03502</t>
  </si>
  <si>
    <t>FD03503</t>
  </si>
  <si>
    <t>FD03504</t>
  </si>
  <si>
    <t>FD03505</t>
  </si>
  <si>
    <t>FD03506</t>
  </si>
  <si>
    <t>FD03507</t>
  </si>
  <si>
    <t>FD03508</t>
  </si>
  <si>
    <t>FD03509</t>
  </si>
  <si>
    <t>FD03510</t>
  </si>
  <si>
    <t>FD03511</t>
  </si>
  <si>
    <t>FD03512</t>
  </si>
  <si>
    <t>FD03513</t>
  </si>
  <si>
    <t>FD03514</t>
  </si>
  <si>
    <t>FD03515</t>
  </si>
  <si>
    <t>FD03516</t>
  </si>
  <si>
    <t>FD03517</t>
  </si>
  <si>
    <t>FD03518</t>
  </si>
  <si>
    <t>FD03519</t>
  </si>
  <si>
    <t>FD03520</t>
  </si>
  <si>
    <t>FD03521</t>
  </si>
  <si>
    <t>FD03522</t>
  </si>
  <si>
    <t>FD03523</t>
  </si>
  <si>
    <t>FD03524</t>
  </si>
  <si>
    <t>FD03525</t>
  </si>
  <si>
    <t>FD03526</t>
  </si>
  <si>
    <t>FD03527</t>
  </si>
  <si>
    <t>FD03528</t>
  </si>
  <si>
    <t>FD03529</t>
  </si>
  <si>
    <t>FD03530</t>
  </si>
  <si>
    <t>FD03531</t>
  </si>
  <si>
    <t>FD03532</t>
  </si>
  <si>
    <t>FD03533</t>
  </si>
  <si>
    <t>FD03534</t>
  </si>
  <si>
    <t>FD03535</t>
  </si>
  <si>
    <t>FD03536</t>
  </si>
  <si>
    <t>FD03537</t>
  </si>
  <si>
    <t>FD03538</t>
  </si>
  <si>
    <t>FD03539</t>
  </si>
  <si>
    <t>FD03540</t>
  </si>
  <si>
    <t>FD03541</t>
  </si>
  <si>
    <t>FD03542</t>
  </si>
  <si>
    <t>FD03543</t>
  </si>
  <si>
    <t>FD03544</t>
  </si>
  <si>
    <t>FD03545</t>
  </si>
  <si>
    <t>FD03546</t>
  </si>
  <si>
    <t>FD03547</t>
  </si>
  <si>
    <t>FD03548</t>
  </si>
  <si>
    <t>FD03549</t>
  </si>
  <si>
    <t>FD03550</t>
  </si>
  <si>
    <t>FD03551</t>
  </si>
  <si>
    <t>FD03552</t>
  </si>
  <si>
    <t>FD03553</t>
  </si>
  <si>
    <t>FD03554</t>
  </si>
  <si>
    <t>FD03555</t>
  </si>
  <si>
    <t>FD03556</t>
  </si>
  <si>
    <t>FD03557</t>
  </si>
  <si>
    <t>FD03558</t>
  </si>
  <si>
    <t>FD03559</t>
  </si>
  <si>
    <t>FD03560</t>
  </si>
  <si>
    <t>FD03561</t>
  </si>
  <si>
    <t>FD03562</t>
  </si>
  <si>
    <t>FD03563</t>
  </si>
  <si>
    <t>FD03564</t>
  </si>
  <si>
    <t>FD03565</t>
  </si>
  <si>
    <t>FD03566</t>
  </si>
  <si>
    <t>FD03567</t>
  </si>
  <si>
    <t>FD03568</t>
  </si>
  <si>
    <t>FD03569</t>
  </si>
  <si>
    <t>FD03570</t>
  </si>
  <si>
    <t>FD03571</t>
  </si>
  <si>
    <t>FD03572</t>
  </si>
  <si>
    <t>FD03573</t>
  </si>
  <si>
    <t>FD03574</t>
  </si>
  <si>
    <t>FD03575</t>
  </si>
  <si>
    <t>FD03576</t>
  </si>
  <si>
    <t>FD03577</t>
  </si>
  <si>
    <t>FD03578</t>
  </si>
  <si>
    <t>FD03579</t>
  </si>
  <si>
    <t>FD03580</t>
  </si>
  <si>
    <t>FD03581</t>
  </si>
  <si>
    <t>FD03582</t>
  </si>
  <si>
    <t>FD03583</t>
  </si>
  <si>
    <t>FD03584</t>
  </si>
  <si>
    <t>FD03585</t>
  </si>
  <si>
    <t>FD03586</t>
  </si>
  <si>
    <t>FD03587</t>
  </si>
  <si>
    <t>FD03588</t>
  </si>
  <si>
    <t>FD03589</t>
  </si>
  <si>
    <t>FD03590</t>
  </si>
  <si>
    <t>FD03591</t>
  </si>
  <si>
    <t>FD03592</t>
  </si>
  <si>
    <t>FD03593</t>
  </si>
  <si>
    <t>FD03594</t>
  </si>
  <si>
    <t>FD03595</t>
  </si>
  <si>
    <t>FD03596</t>
  </si>
  <si>
    <t>FD03597</t>
  </si>
  <si>
    <t>FD03598</t>
  </si>
  <si>
    <t>FD03599</t>
  </si>
  <si>
    <t>FD03600</t>
  </si>
  <si>
    <t>FD03601</t>
  </si>
  <si>
    <t>FD03602</t>
  </si>
  <si>
    <t>FD03603</t>
  </si>
  <si>
    <t>FD03604</t>
  </si>
  <si>
    <t>FD03605</t>
  </si>
  <si>
    <t>FD03606</t>
  </si>
  <si>
    <t>FD03607</t>
  </si>
  <si>
    <t>FD03608</t>
  </si>
  <si>
    <t>FD03609</t>
  </si>
  <si>
    <t>FD03610</t>
  </si>
  <si>
    <t>FD03611</t>
  </si>
  <si>
    <t>FD03612</t>
  </si>
  <si>
    <t>FD03613</t>
  </si>
  <si>
    <t>FD03614</t>
  </si>
  <si>
    <t>FD03615</t>
  </si>
  <si>
    <t>FD03616</t>
  </si>
  <si>
    <t>FD03617</t>
  </si>
  <si>
    <t>FD03618</t>
  </si>
  <si>
    <t>FD03619</t>
  </si>
  <si>
    <t>FD03620</t>
  </si>
  <si>
    <t>FD03621</t>
  </si>
  <si>
    <t>FD03622</t>
  </si>
  <si>
    <t>FD03623</t>
  </si>
  <si>
    <t>FD03624</t>
  </si>
  <si>
    <t>FD03625</t>
  </si>
  <si>
    <t>FD03626</t>
  </si>
  <si>
    <t>FD03627</t>
  </si>
  <si>
    <t>FD03628</t>
  </si>
  <si>
    <t>FD03629</t>
  </si>
  <si>
    <t>FD03630</t>
  </si>
  <si>
    <t>FD03631</t>
  </si>
  <si>
    <t>FD03632</t>
  </si>
  <si>
    <t>FD03633</t>
  </si>
  <si>
    <t>FD03634</t>
  </si>
  <si>
    <t>FD03635</t>
  </si>
  <si>
    <t>FD03636</t>
  </si>
  <si>
    <t>FD03637</t>
  </si>
  <si>
    <t>FD03638</t>
  </si>
  <si>
    <t>FD03639</t>
  </si>
  <si>
    <t>FD03640</t>
  </si>
  <si>
    <t>FD03641</t>
  </si>
  <si>
    <t>FD03642</t>
  </si>
  <si>
    <t>FD03643</t>
  </si>
  <si>
    <t>FD03644</t>
  </si>
  <si>
    <t>FD03645</t>
  </si>
  <si>
    <t>FD03646</t>
  </si>
  <si>
    <t>FD03647</t>
  </si>
  <si>
    <t>FD03648</t>
  </si>
  <si>
    <t>FD03649</t>
  </si>
  <si>
    <t>FD03650</t>
  </si>
  <si>
    <t>FD03651</t>
  </si>
  <si>
    <t>FD03652</t>
  </si>
  <si>
    <t>FD03653</t>
  </si>
  <si>
    <t>FD03654</t>
  </si>
  <si>
    <t>FD03655</t>
  </si>
  <si>
    <t>FD03656</t>
  </si>
  <si>
    <t>FD03657</t>
  </si>
  <si>
    <t>FD03658</t>
  </si>
  <si>
    <t>FD03659</t>
  </si>
  <si>
    <t>FD03660</t>
  </si>
  <si>
    <t>FD03661</t>
  </si>
  <si>
    <t>FD03662</t>
  </si>
  <si>
    <t>FD03663</t>
  </si>
  <si>
    <t>FD03664</t>
  </si>
  <si>
    <t>FD03665</t>
  </si>
  <si>
    <t>FD03666</t>
  </si>
  <si>
    <t>FD03667</t>
  </si>
  <si>
    <t>FD03668</t>
  </si>
  <si>
    <t>FD03669</t>
  </si>
  <si>
    <t>FD03670</t>
  </si>
  <si>
    <t>FD03671</t>
  </si>
  <si>
    <t>FD03672</t>
  </si>
  <si>
    <t>FD03673</t>
  </si>
  <si>
    <t>FD03674</t>
  </si>
  <si>
    <t>FD03675</t>
  </si>
  <si>
    <t>FD03676</t>
  </si>
  <si>
    <t>FD03677</t>
  </si>
  <si>
    <t>FD03678</t>
  </si>
  <si>
    <t>FD03679</t>
  </si>
  <si>
    <t>FD03680</t>
  </si>
  <si>
    <t>FD03681</t>
  </si>
  <si>
    <t>FD03682</t>
  </si>
  <si>
    <t>FD03683</t>
  </si>
  <si>
    <t>FD03684</t>
  </si>
  <si>
    <t>FD03685</t>
  </si>
  <si>
    <t>FD03686</t>
  </si>
  <si>
    <t>FD03687</t>
  </si>
  <si>
    <t>FD03688</t>
  </si>
  <si>
    <t>FD03689</t>
  </si>
  <si>
    <t>FD03690</t>
  </si>
  <si>
    <t>FD03691</t>
  </si>
  <si>
    <t>FD03692</t>
  </si>
  <si>
    <t>FD03693</t>
  </si>
  <si>
    <t>FD03694</t>
  </si>
  <si>
    <t>FD03695</t>
  </si>
  <si>
    <t>FD03696</t>
  </si>
  <si>
    <t>FD03697</t>
  </si>
  <si>
    <t>FD03698</t>
  </si>
  <si>
    <t>FD03699</t>
  </si>
  <si>
    <t>FD03700</t>
  </si>
  <si>
    <t>FD03701</t>
  </si>
  <si>
    <t>FD03702</t>
  </si>
  <si>
    <t>FD03703</t>
  </si>
  <si>
    <t>FD03704</t>
  </si>
  <si>
    <t>FD03705</t>
  </si>
  <si>
    <t>FD03706</t>
  </si>
  <si>
    <t>FD03707</t>
  </si>
  <si>
    <t>FD03708</t>
  </si>
  <si>
    <t>FD03709</t>
  </si>
  <si>
    <t>FD03710</t>
  </si>
  <si>
    <t>FD03711</t>
  </si>
  <si>
    <t>FD03712</t>
  </si>
  <si>
    <t>FD03713</t>
  </si>
  <si>
    <t>FD03714</t>
  </si>
  <si>
    <t>FD03715</t>
  </si>
  <si>
    <t>FD03716</t>
  </si>
  <si>
    <t>FD03717</t>
  </si>
  <si>
    <t>FD03718</t>
  </si>
  <si>
    <t>FD03719</t>
  </si>
  <si>
    <t>FD03720</t>
  </si>
  <si>
    <t>FD03721</t>
  </si>
  <si>
    <t>FD03722</t>
  </si>
  <si>
    <t>FD03723</t>
  </si>
  <si>
    <t>FD03724</t>
  </si>
  <si>
    <t>FD03725</t>
  </si>
  <si>
    <t>FD03726</t>
  </si>
  <si>
    <t>FD03727</t>
  </si>
  <si>
    <t>FD03728</t>
  </si>
  <si>
    <t>FD03729</t>
  </si>
  <si>
    <t>FD03730</t>
  </si>
  <si>
    <t>FD03731</t>
  </si>
  <si>
    <t>FD03732</t>
  </si>
  <si>
    <t>FD03733</t>
  </si>
  <si>
    <t>FD03734</t>
  </si>
  <si>
    <t>FD03735</t>
  </si>
  <si>
    <t>FD03736</t>
  </si>
  <si>
    <t>FD03737</t>
  </si>
  <si>
    <t>FD03738</t>
  </si>
  <si>
    <t>FD03739</t>
  </si>
  <si>
    <t>FD03740</t>
  </si>
  <si>
    <t>FD03741</t>
  </si>
  <si>
    <t>FD03742</t>
  </si>
  <si>
    <t>FD03743</t>
  </si>
  <si>
    <t>FD03744</t>
  </si>
  <si>
    <t>FD03745</t>
  </si>
  <si>
    <t>FD03746</t>
  </si>
  <si>
    <t>FD03747</t>
  </si>
  <si>
    <t>FD03748</t>
  </si>
  <si>
    <t>FD03749</t>
  </si>
  <si>
    <t>FD03750</t>
  </si>
  <si>
    <t>FD03751</t>
  </si>
  <si>
    <t>FD03752</t>
  </si>
  <si>
    <t>FD03753</t>
  </si>
  <si>
    <t>FD03754</t>
  </si>
  <si>
    <t>FD03755</t>
  </si>
  <si>
    <t>FD03756</t>
  </si>
  <si>
    <t>FD03757</t>
  </si>
  <si>
    <t>FD03758</t>
  </si>
  <si>
    <t>FD03759</t>
  </si>
  <si>
    <t>FD03760</t>
  </si>
  <si>
    <t>FD03761</t>
  </si>
  <si>
    <t>FD03762</t>
  </si>
  <si>
    <t>FD03763</t>
  </si>
  <si>
    <t>FD03764</t>
  </si>
  <si>
    <t>FD03765</t>
  </si>
  <si>
    <t>FD03766</t>
  </si>
  <si>
    <t>FD03767</t>
  </si>
  <si>
    <t>FD03768</t>
  </si>
  <si>
    <t>FD03769</t>
  </si>
  <si>
    <t>FD03770</t>
  </si>
  <si>
    <t>FD03771</t>
  </si>
  <si>
    <t>FD03772</t>
  </si>
  <si>
    <t>FD03773</t>
  </si>
  <si>
    <t>FD03774</t>
  </si>
  <si>
    <t>FD03775</t>
  </si>
  <si>
    <t>FD03776</t>
  </si>
  <si>
    <t>FD03777</t>
  </si>
  <si>
    <t>FD03778</t>
  </si>
  <si>
    <t>FD03779</t>
  </si>
  <si>
    <t>FD03780</t>
  </si>
  <si>
    <t>FD03781</t>
  </si>
  <si>
    <t>FD03782</t>
  </si>
  <si>
    <t>FD03783</t>
  </si>
  <si>
    <t>FD03784</t>
  </si>
  <si>
    <t>FD03785</t>
  </si>
  <si>
    <t>FD03786</t>
  </si>
  <si>
    <t>FD03787</t>
  </si>
  <si>
    <t>FD03788</t>
  </si>
  <si>
    <t>FD03789</t>
  </si>
  <si>
    <t>FD03790</t>
  </si>
  <si>
    <t>FD03791</t>
  </si>
  <si>
    <t>FD03792</t>
  </si>
  <si>
    <t>FD03793</t>
  </si>
  <si>
    <t>FD03794</t>
  </si>
  <si>
    <t>FD03795</t>
  </si>
  <si>
    <t>FD03796</t>
  </si>
  <si>
    <t>FD03797</t>
  </si>
  <si>
    <t>FD03798</t>
  </si>
  <si>
    <t>FD03799</t>
  </si>
  <si>
    <t>FD03800</t>
  </si>
  <si>
    <t>FD03801</t>
  </si>
  <si>
    <t>FD03802</t>
  </si>
  <si>
    <t>FD03803</t>
  </si>
  <si>
    <t>FD03804</t>
  </si>
  <si>
    <t>FD03805</t>
  </si>
  <si>
    <t>FD03806</t>
  </si>
  <si>
    <t>FD03807</t>
  </si>
  <si>
    <t>FD03808</t>
  </si>
  <si>
    <t>FD03809</t>
  </si>
  <si>
    <t>FD03810</t>
  </si>
  <si>
    <t>FD03811</t>
  </si>
  <si>
    <t>FD03812</t>
  </si>
  <si>
    <t>FD03813</t>
  </si>
  <si>
    <t>FD03814</t>
  </si>
  <si>
    <t>FD03815</t>
  </si>
  <si>
    <t>FD03816</t>
  </si>
  <si>
    <t>FD03817</t>
  </si>
  <si>
    <t>FD03818</t>
  </si>
  <si>
    <t>FD03819</t>
  </si>
  <si>
    <t>FD03820</t>
  </si>
  <si>
    <t>FD03821</t>
  </si>
  <si>
    <t>FD03822</t>
  </si>
  <si>
    <t>FD03823</t>
  </si>
  <si>
    <t>FD03824</t>
  </si>
  <si>
    <t>FD03825</t>
  </si>
  <si>
    <t>FD03826</t>
  </si>
  <si>
    <t>FD03827</t>
  </si>
  <si>
    <t>FD03828</t>
  </si>
  <si>
    <t>FD03829</t>
  </si>
  <si>
    <t>FD03830</t>
  </si>
  <si>
    <t>FD03831</t>
  </si>
  <si>
    <t>FD03832</t>
  </si>
  <si>
    <t>FD03833</t>
  </si>
  <si>
    <t>FD03834</t>
  </si>
  <si>
    <t>FD03835</t>
  </si>
  <si>
    <t>FD03836</t>
  </si>
  <si>
    <t>FD03837</t>
  </si>
  <si>
    <t>FD03838</t>
  </si>
  <si>
    <t>FD03839</t>
  </si>
  <si>
    <t>FD03840</t>
  </si>
  <si>
    <t>FD03841</t>
  </si>
  <si>
    <t>FD03842</t>
  </si>
  <si>
    <t>FD03843</t>
  </si>
  <si>
    <t>FD03844</t>
  </si>
  <si>
    <t>FD03845</t>
  </si>
  <si>
    <t>FD03846</t>
  </si>
  <si>
    <t>FD03847</t>
  </si>
  <si>
    <t>FD03848</t>
  </si>
  <si>
    <t>FD03849</t>
  </si>
  <si>
    <t>FD03850</t>
  </si>
  <si>
    <t>FD03851</t>
  </si>
  <si>
    <t>FD03852</t>
  </si>
  <si>
    <t>FD03853</t>
  </si>
  <si>
    <t>FD03854</t>
  </si>
  <si>
    <t>FD03855</t>
  </si>
  <si>
    <t>FD03856</t>
  </si>
  <si>
    <t>FD03857</t>
  </si>
  <si>
    <t>FD03858</t>
  </si>
  <si>
    <t>FD03859</t>
  </si>
  <si>
    <t>FD03860</t>
  </si>
  <si>
    <t>FD03861</t>
  </si>
  <si>
    <t>FD03862</t>
  </si>
  <si>
    <t>FD03863</t>
  </si>
  <si>
    <t>FD03864</t>
  </si>
  <si>
    <t>FD03865</t>
  </si>
  <si>
    <t>FD03866</t>
  </si>
  <si>
    <t>FD03867</t>
  </si>
  <si>
    <t>FD03868</t>
  </si>
  <si>
    <t>FD03869</t>
  </si>
  <si>
    <t>FD03870</t>
  </si>
  <si>
    <t>FD03871</t>
  </si>
  <si>
    <t>FD03872</t>
  </si>
  <si>
    <t>FD03873</t>
  </si>
  <si>
    <t>FD03874</t>
  </si>
  <si>
    <t>FD03875</t>
  </si>
  <si>
    <t>FD03876</t>
  </si>
  <si>
    <t>FD03877</t>
  </si>
  <si>
    <t>FD03878</t>
  </si>
  <si>
    <t>FD03879</t>
  </si>
  <si>
    <t>FD03880</t>
  </si>
  <si>
    <t>FD03881</t>
  </si>
  <si>
    <t>FD03882</t>
  </si>
  <si>
    <t>FD03883</t>
  </si>
  <si>
    <t>FD03884</t>
  </si>
  <si>
    <t>FD03885</t>
  </si>
  <si>
    <t>FD03886</t>
  </si>
  <si>
    <t>FD03887</t>
  </si>
  <si>
    <t>FD03888</t>
  </si>
  <si>
    <t>FD03889</t>
  </si>
  <si>
    <t>FD03890</t>
  </si>
  <si>
    <t>FD03891</t>
  </si>
  <si>
    <t>FD03892</t>
  </si>
  <si>
    <t>FD03893</t>
  </si>
  <si>
    <t>FD03894</t>
  </si>
  <si>
    <t>FD03895</t>
  </si>
  <si>
    <t>FD03896</t>
  </si>
  <si>
    <t>FD03897</t>
  </si>
  <si>
    <t>FD03898</t>
  </si>
  <si>
    <t>FD03899</t>
  </si>
  <si>
    <t>FD03900</t>
  </si>
  <si>
    <t>FD03901</t>
  </si>
  <si>
    <t>FD03902</t>
  </si>
  <si>
    <t>FD03903</t>
  </si>
  <si>
    <t>FD03904</t>
  </si>
  <si>
    <t>FD03905</t>
  </si>
  <si>
    <t>FD03906</t>
  </si>
  <si>
    <t>FD03907</t>
  </si>
  <si>
    <t>FD03908</t>
  </si>
  <si>
    <t>FD03909</t>
  </si>
  <si>
    <t>FD03910</t>
  </si>
  <si>
    <t>FD03911</t>
  </si>
  <si>
    <t>FD03912</t>
  </si>
  <si>
    <t>FD03913</t>
  </si>
  <si>
    <t>FD03914</t>
  </si>
  <si>
    <t>FD03915</t>
  </si>
  <si>
    <t>FD03916</t>
  </si>
  <si>
    <t>FD03917</t>
  </si>
  <si>
    <t>FD03918</t>
  </si>
  <si>
    <t>FD03919</t>
  </si>
  <si>
    <t>FD03920</t>
  </si>
  <si>
    <t>FD03921</t>
  </si>
  <si>
    <t>FD03922</t>
  </si>
  <si>
    <t>FD03923</t>
  </si>
  <si>
    <t>FD03924</t>
  </si>
  <si>
    <t>FD03925</t>
  </si>
  <si>
    <t>FD03926</t>
  </si>
  <si>
    <t>FD03927</t>
  </si>
  <si>
    <t>FD03928</t>
  </si>
  <si>
    <t>FD03929</t>
  </si>
  <si>
    <t>FD03930</t>
  </si>
  <si>
    <t>FD03931</t>
  </si>
  <si>
    <t>FD03932</t>
  </si>
  <si>
    <t>FD03933</t>
  </si>
  <si>
    <t>FD03934</t>
  </si>
  <si>
    <t>FD03935</t>
  </si>
  <si>
    <t>FD03936</t>
  </si>
  <si>
    <t>FD03937</t>
  </si>
  <si>
    <t>FD03938</t>
  </si>
  <si>
    <t>FD03939</t>
  </si>
  <si>
    <t>FD03940</t>
  </si>
  <si>
    <t>FD03941</t>
  </si>
  <si>
    <t>FD03942</t>
  </si>
  <si>
    <t>FD03943</t>
  </si>
  <si>
    <t>FD03944</t>
  </si>
  <si>
    <t>FD03945</t>
  </si>
  <si>
    <t>FD03946</t>
  </si>
  <si>
    <t>FD03947</t>
  </si>
  <si>
    <t>FD03948</t>
  </si>
  <si>
    <t>FD03949</t>
  </si>
  <si>
    <t>FD03950</t>
  </si>
  <si>
    <t>FD03951</t>
  </si>
  <si>
    <t>FD03952</t>
  </si>
  <si>
    <t>FD03953</t>
  </si>
  <si>
    <t>FD03954</t>
  </si>
  <si>
    <t>FD03955</t>
  </si>
  <si>
    <t>FD03956</t>
  </si>
  <si>
    <t>FD03957</t>
  </si>
  <si>
    <t>FD03958</t>
  </si>
  <si>
    <t>FD03959</t>
  </si>
  <si>
    <t>FD03960</t>
  </si>
  <si>
    <t>FD03961</t>
  </si>
  <si>
    <t>FD03962</t>
  </si>
  <si>
    <t>FD03963</t>
  </si>
  <si>
    <t>FD03964</t>
  </si>
  <si>
    <t>FD03965</t>
  </si>
  <si>
    <t>FD03966</t>
  </si>
  <si>
    <t>FD03967</t>
  </si>
  <si>
    <t>FD03968</t>
  </si>
  <si>
    <t>FD03969</t>
  </si>
  <si>
    <t>FD03970</t>
  </si>
  <si>
    <t>FD03971</t>
  </si>
  <si>
    <t>FD03972</t>
  </si>
  <si>
    <t>FD03973</t>
  </si>
  <si>
    <t>FD03974</t>
  </si>
  <si>
    <t>FD03975</t>
  </si>
  <si>
    <t>FD03976</t>
  </si>
  <si>
    <t>FD03977</t>
  </si>
  <si>
    <t>FD03978</t>
  </si>
  <si>
    <t>FD03979</t>
  </si>
  <si>
    <t>FD03980</t>
  </si>
  <si>
    <t>FD03981</t>
  </si>
  <si>
    <t>FD03982</t>
  </si>
  <si>
    <t>FD03983</t>
  </si>
  <si>
    <t>FD03984</t>
  </si>
  <si>
    <t>FD03985</t>
  </si>
  <si>
    <t>FD03986</t>
  </si>
  <si>
    <t>FD03987</t>
  </si>
  <si>
    <t>FD03988</t>
  </si>
  <si>
    <t>FD03989</t>
  </si>
  <si>
    <t>FD03990</t>
  </si>
  <si>
    <t>FD03991</t>
  </si>
  <si>
    <t>FD03992</t>
  </si>
  <si>
    <t>FD03993</t>
  </si>
  <si>
    <t>FD03994</t>
  </si>
  <si>
    <t>FD03995</t>
  </si>
  <si>
    <t>FD03996</t>
  </si>
  <si>
    <t>FD03997</t>
  </si>
  <si>
    <t>FD03998</t>
  </si>
  <si>
    <t>FD03999</t>
  </si>
  <si>
    <t>FD04000</t>
  </si>
  <si>
    <t>https://dineout-media-assets.swiggy.com/swiggy/image/upload/fl_lossy,f_auto,q_auto/v1660793737/fdqxvxcxg1wtdwvyv45v.jpg</t>
  </si>
  <si>
    <t>https://dynamic-media-cdn.tripadvisor.com/media/photo-o/1c/e7/04/0d/front-of-the-local-easily.jpg</t>
  </si>
  <si>
    <t>https://media-cdn.tripadvisor.com/media/photo-s/1c/c7/97/b6/photo6jpg.jpg</t>
  </si>
  <si>
    <t>https://content.jdmagicbox.com/comp/deoria/g6/9999p5568.5568.200119143033.m4g6/catalogue/biryani-house-deoria-ho-deoria-mktc2xph0o.jpg</t>
  </si>
  <si>
    <t>https://www.chatswoodinterchange.com/storages/2018/08/Sushi-World_666x448.jpg</t>
  </si>
  <si>
    <t>Image_URL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</si>
</sst>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hatswoodinterchange.com/storages/2018/08/Sushi-World_666x448.jpg" TargetMode="External"/><Relationship Id="rId2" Type="http://schemas.openxmlformats.org/officeDocument/2006/relationships/hyperlink" Target="https://dynamic-media-cdn.tripadvisor.com/media/photo-o/1c/e7/04/0d/front-of-the-local-easily.jpg" TargetMode="External"/><Relationship Id="rId1" Type="http://schemas.openxmlformats.org/officeDocument/2006/relationships/hyperlink" Target="https://www.chatswoodinterchange.com/storages/2018/08/Sushi-World_666x448.jpg" TargetMode="External"/><Relationship Id="rId4" Type="http://schemas.openxmlformats.org/officeDocument/2006/relationships/hyperlink" Target="https://dineout-media-assets.swiggy.com/swiggy/image/upload/fl_lossy,f_auto,q_auto/v1660793737/fdqxvxcxg1wtdwvyv45v.jp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ynamic-media-cdn.tripadvisor.com/media/photo-o/1c/e7/04/0d/front-of-the-local-easily.jpg" TargetMode="External"/><Relationship Id="rId2" Type="http://schemas.openxmlformats.org/officeDocument/2006/relationships/hyperlink" Target="https://dineout-media-assets.swiggy.com/swiggy/image/upload/fl_lossy,f_auto,q_auto/v1660793737/fdqxvxcxg1wtdwvyv45v.jpg" TargetMode="External"/><Relationship Id="rId1" Type="http://schemas.openxmlformats.org/officeDocument/2006/relationships/hyperlink" Target="https://www.chatswoodinterchange.com/storages/2018/08/Sushi-World_666x448.jpg" TargetMode="External"/><Relationship Id="rId5" Type="http://schemas.openxmlformats.org/officeDocument/2006/relationships/hyperlink" Target="https://content.jdmagicbox.com/comp/deoria/g6/9999p5568.5568.200119143033.m4g6/catalogue/biryani-house-deoria-ho-deoria-mktc2xph0o.jpg" TargetMode="External"/><Relationship Id="rId4" Type="http://schemas.openxmlformats.org/officeDocument/2006/relationships/hyperlink" Target="https://media-cdn.tripadvisor.com/media/photo-s/1c/c7/97/b6/photo6jp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01"/>
  <sheetViews>
    <sheetView tabSelected="1" workbookViewId="0">
      <selection activeCell="K3803" sqref="K3803"/>
    </sheetView>
  </sheetViews>
  <sheetFormatPr defaultRowHeight="14.4" x14ac:dyDescent="0.3"/>
  <cols>
    <col min="2" max="2" width="16.6640625" customWidth="1"/>
    <col min="3" max="3" width="21" customWidth="1"/>
    <col min="7" max="7" width="22" customWidth="1"/>
    <col min="8" max="8" width="18.88671875" customWidth="1"/>
    <col min="10" max="10" width="17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4037</v>
      </c>
    </row>
    <row r="2" spans="1:13" x14ac:dyDescent="0.3">
      <c r="A2" t="s">
        <v>12</v>
      </c>
      <c r="B2" s="1">
        <v>45515</v>
      </c>
      <c r="C2" t="s">
        <v>13</v>
      </c>
      <c r="D2" t="s">
        <v>14</v>
      </c>
      <c r="E2">
        <v>19</v>
      </c>
      <c r="F2" t="s">
        <v>15</v>
      </c>
      <c r="G2">
        <v>267.31</v>
      </c>
      <c r="H2">
        <v>55</v>
      </c>
      <c r="I2" t="s">
        <v>16</v>
      </c>
      <c r="J2">
        <v>3.6</v>
      </c>
      <c r="K2" t="s">
        <v>17</v>
      </c>
      <c r="L2" t="s">
        <v>18</v>
      </c>
      <c r="M2" t="str">
        <f>VLOOKUP(D6,Restaurant_Master!A:B,2,FALSE)</f>
        <v>https://media-cdn.tripadvisor.com/media/photo-s/1c/c7/97/b6/photo6jpg.jpg</v>
      </c>
    </row>
    <row r="3" spans="1:13" x14ac:dyDescent="0.3">
      <c r="A3" t="s">
        <v>19</v>
      </c>
      <c r="B3" s="1">
        <v>45423</v>
      </c>
      <c r="C3" t="s">
        <v>20</v>
      </c>
      <c r="D3" t="s">
        <v>21</v>
      </c>
      <c r="E3">
        <v>33</v>
      </c>
      <c r="F3" t="s">
        <v>15</v>
      </c>
      <c r="G3">
        <v>717.21</v>
      </c>
      <c r="H3">
        <v>31</v>
      </c>
      <c r="I3" t="s">
        <v>22</v>
      </c>
      <c r="J3">
        <v>4.5</v>
      </c>
      <c r="K3" t="s">
        <v>17</v>
      </c>
      <c r="L3" t="s">
        <v>23</v>
      </c>
      <c r="M3" t="str">
        <f>VLOOKUP(D7,Restaurant_Master!A:B,2,FALSE)</f>
        <v>https://content.jdmagicbox.com/comp/deoria/g6/9999p5568.5568.200119143033.m4g6/catalogue/biryani-house-deoria-ho-deoria-mktc2xph0o.jpg</v>
      </c>
    </row>
    <row r="4" spans="1:13" x14ac:dyDescent="0.3">
      <c r="A4" t="s">
        <v>24</v>
      </c>
      <c r="B4" s="1">
        <v>45606</v>
      </c>
      <c r="C4" t="s">
        <v>13</v>
      </c>
      <c r="D4" t="s">
        <v>25</v>
      </c>
      <c r="E4">
        <v>37</v>
      </c>
      <c r="F4" t="s">
        <v>15</v>
      </c>
      <c r="G4">
        <v>307.26</v>
      </c>
      <c r="H4">
        <v>55</v>
      </c>
      <c r="I4" t="s">
        <v>16</v>
      </c>
      <c r="J4">
        <v>2.9</v>
      </c>
      <c r="K4" t="s">
        <v>26</v>
      </c>
      <c r="L4" t="s">
        <v>23</v>
      </c>
      <c r="M4" t="str">
        <f>VLOOKUP(D8,Restaurant_Master!A:B,2,FALSE)</f>
        <v>https://media-cdn.tripadvisor.com/media/photo-s/1c/c7/97/b6/photo6jpg.jpg</v>
      </c>
    </row>
    <row r="5" spans="1:13" x14ac:dyDescent="0.3">
      <c r="A5" t="s">
        <v>27</v>
      </c>
      <c r="B5" s="1">
        <v>45617</v>
      </c>
      <c r="C5" t="s">
        <v>13</v>
      </c>
      <c r="D5" t="s">
        <v>21</v>
      </c>
      <c r="E5">
        <v>45</v>
      </c>
      <c r="F5" t="s">
        <v>28</v>
      </c>
      <c r="G5">
        <v>369.95</v>
      </c>
      <c r="H5">
        <v>35</v>
      </c>
      <c r="I5" t="s">
        <v>22</v>
      </c>
      <c r="J5">
        <v>2.5</v>
      </c>
      <c r="K5" t="s">
        <v>29</v>
      </c>
      <c r="L5" t="s">
        <v>18</v>
      </c>
      <c r="M5" t="str">
        <f>VLOOKUP(D9,Restaurant_Master!A:B,2,FALSE)</f>
        <v>https://dineout-media-assets.swiggy.com/swiggy/image/upload/fl_lossy,f_auto,q_auto/v1660793737/fdqxvxcxg1wtdwvyv45v.jpg</v>
      </c>
    </row>
    <row r="6" spans="1:13" x14ac:dyDescent="0.3">
      <c r="A6" t="s">
        <v>30</v>
      </c>
      <c r="B6" s="1">
        <v>45459</v>
      </c>
      <c r="C6" t="s">
        <v>20</v>
      </c>
      <c r="D6" t="s">
        <v>25</v>
      </c>
      <c r="E6">
        <v>39</v>
      </c>
      <c r="F6" t="s">
        <v>15</v>
      </c>
      <c r="G6">
        <v>877.43</v>
      </c>
      <c r="H6">
        <v>46</v>
      </c>
      <c r="I6" t="s">
        <v>16</v>
      </c>
      <c r="J6">
        <v>4.5</v>
      </c>
      <c r="K6" t="s">
        <v>26</v>
      </c>
      <c r="L6" t="s">
        <v>18</v>
      </c>
      <c r="M6" t="str">
        <f>VLOOKUP(D10,Restaurant_Master!A:B,2,FALSE)</f>
        <v>https://www.chatswoodinterchange.com/storages/2018/08/Sushi-World_666x448.jpg</v>
      </c>
    </row>
    <row r="7" spans="1:13" x14ac:dyDescent="0.3">
      <c r="A7" t="s">
        <v>31</v>
      </c>
      <c r="B7" s="1">
        <v>45330</v>
      </c>
      <c r="C7" t="s">
        <v>13</v>
      </c>
      <c r="D7" t="s">
        <v>32</v>
      </c>
      <c r="E7">
        <v>51</v>
      </c>
      <c r="F7" t="s">
        <v>15</v>
      </c>
      <c r="G7">
        <v>225.24</v>
      </c>
      <c r="H7">
        <v>44</v>
      </c>
      <c r="I7" t="s">
        <v>16</v>
      </c>
      <c r="J7">
        <v>3.6</v>
      </c>
      <c r="K7" t="s">
        <v>26</v>
      </c>
      <c r="L7" t="s">
        <v>18</v>
      </c>
      <c r="M7" t="str">
        <f>VLOOKUP(D11,Restaurant_Master!A:B,2,FALSE)</f>
        <v>https://dynamic-media-cdn.tripadvisor.com/media/photo-o/1c/e7/04/0d/front-of-the-local-easily.jpg</v>
      </c>
    </row>
    <row r="8" spans="1:13" x14ac:dyDescent="0.3">
      <c r="A8" t="s">
        <v>33</v>
      </c>
      <c r="B8" s="1">
        <v>45359</v>
      </c>
      <c r="C8" t="s">
        <v>34</v>
      </c>
      <c r="D8" t="s">
        <v>25</v>
      </c>
      <c r="E8">
        <v>18</v>
      </c>
      <c r="F8" t="s">
        <v>15</v>
      </c>
      <c r="G8">
        <v>858.21</v>
      </c>
      <c r="H8">
        <v>48</v>
      </c>
      <c r="I8" t="s">
        <v>16</v>
      </c>
      <c r="J8">
        <v>3.1</v>
      </c>
      <c r="K8" t="s">
        <v>17</v>
      </c>
      <c r="L8" t="s">
        <v>23</v>
      </c>
      <c r="M8" t="str">
        <f>VLOOKUP(D12,Restaurant_Master!A:B,2,FALSE)</f>
        <v>https://www.chatswoodinterchange.com/storages/2018/08/Sushi-World_666x448.jpg</v>
      </c>
    </row>
    <row r="9" spans="1:13" x14ac:dyDescent="0.3">
      <c r="A9" t="s">
        <v>35</v>
      </c>
      <c r="B9" s="1">
        <v>45458</v>
      </c>
      <c r="C9" t="s">
        <v>36</v>
      </c>
      <c r="D9" t="s">
        <v>14</v>
      </c>
      <c r="E9">
        <v>19</v>
      </c>
      <c r="F9" t="s">
        <v>15</v>
      </c>
      <c r="G9">
        <v>266.13</v>
      </c>
      <c r="H9">
        <v>52</v>
      </c>
      <c r="I9" t="s">
        <v>16</v>
      </c>
      <c r="J9">
        <v>4.2</v>
      </c>
      <c r="K9" t="s">
        <v>17</v>
      </c>
      <c r="L9" t="s">
        <v>23</v>
      </c>
      <c r="M9" t="str">
        <f>VLOOKUP(D13,Restaurant_Master!A:B,2,FALSE)</f>
        <v>https://dineout-media-assets.swiggy.com/swiggy/image/upload/fl_lossy,f_auto,q_auto/v1660793737/fdqxvxcxg1wtdwvyv45v.jpg</v>
      </c>
    </row>
    <row r="10" spans="1:13" x14ac:dyDescent="0.3">
      <c r="A10" t="s">
        <v>37</v>
      </c>
      <c r="B10" s="1">
        <v>45382</v>
      </c>
      <c r="C10" t="s">
        <v>36</v>
      </c>
      <c r="D10" t="s">
        <v>38</v>
      </c>
      <c r="E10">
        <v>21</v>
      </c>
      <c r="F10" t="s">
        <v>15</v>
      </c>
      <c r="G10">
        <v>820.12</v>
      </c>
      <c r="H10">
        <v>20</v>
      </c>
      <c r="I10" t="s">
        <v>22</v>
      </c>
      <c r="J10">
        <v>5</v>
      </c>
      <c r="K10" t="s">
        <v>26</v>
      </c>
      <c r="L10" t="s">
        <v>18</v>
      </c>
      <c r="M10" t="str">
        <f>VLOOKUP(D14,Restaurant_Master!A:B,2,FALSE)</f>
        <v>https://content.jdmagicbox.com/comp/deoria/g6/9999p5568.5568.200119143033.m4g6/catalogue/biryani-house-deoria-ho-deoria-mktc2xph0o.jpg</v>
      </c>
    </row>
    <row r="11" spans="1:13" x14ac:dyDescent="0.3">
      <c r="A11" t="s">
        <v>39</v>
      </c>
      <c r="B11" s="1">
        <v>45588</v>
      </c>
      <c r="C11" t="s">
        <v>34</v>
      </c>
      <c r="D11" t="s">
        <v>21</v>
      </c>
      <c r="E11">
        <v>56</v>
      </c>
      <c r="F11" t="s">
        <v>15</v>
      </c>
      <c r="G11">
        <v>1127.6400000000001</v>
      </c>
      <c r="H11">
        <v>23</v>
      </c>
      <c r="I11" t="s">
        <v>22</v>
      </c>
      <c r="J11">
        <v>3.9</v>
      </c>
      <c r="K11" t="s">
        <v>29</v>
      </c>
      <c r="L11" t="s">
        <v>23</v>
      </c>
      <c r="M11" t="str">
        <f>VLOOKUP(D15,Restaurant_Master!A:B,2,FALSE)</f>
        <v>https://media-cdn.tripadvisor.com/media/photo-s/1c/c7/97/b6/photo6jpg.jpg</v>
      </c>
    </row>
    <row r="12" spans="1:13" x14ac:dyDescent="0.3">
      <c r="A12" t="s">
        <v>40</v>
      </c>
      <c r="B12" s="1">
        <v>45508</v>
      </c>
      <c r="C12" t="s">
        <v>20</v>
      </c>
      <c r="D12" t="s">
        <v>38</v>
      </c>
      <c r="E12">
        <v>30</v>
      </c>
      <c r="F12" t="s">
        <v>28</v>
      </c>
      <c r="G12">
        <v>734.67</v>
      </c>
      <c r="H12">
        <v>46</v>
      </c>
      <c r="I12" t="s">
        <v>16</v>
      </c>
      <c r="J12">
        <v>3.4</v>
      </c>
      <c r="K12" t="s">
        <v>41</v>
      </c>
      <c r="L12" t="s">
        <v>23</v>
      </c>
      <c r="M12" t="str">
        <f>VLOOKUP(D16,Restaurant_Master!A:B,2,FALSE)</f>
        <v>https://media-cdn.tripadvisor.com/media/photo-s/1c/c7/97/b6/photo6jpg.jpg</v>
      </c>
    </row>
    <row r="13" spans="1:13" x14ac:dyDescent="0.3">
      <c r="A13" t="s">
        <v>42</v>
      </c>
      <c r="B13" s="1">
        <v>45608</v>
      </c>
      <c r="C13" t="s">
        <v>43</v>
      </c>
      <c r="D13" t="s">
        <v>14</v>
      </c>
      <c r="E13">
        <v>49</v>
      </c>
      <c r="F13" t="s">
        <v>28</v>
      </c>
      <c r="G13">
        <v>319.07</v>
      </c>
      <c r="H13">
        <v>43</v>
      </c>
      <c r="I13" t="s">
        <v>16</v>
      </c>
      <c r="J13">
        <v>3.3</v>
      </c>
      <c r="K13" t="s">
        <v>29</v>
      </c>
      <c r="L13" t="s">
        <v>18</v>
      </c>
      <c r="M13" t="str">
        <f>VLOOKUP(D17,Restaurant_Master!A:B,2,FALSE)</f>
        <v>https://media-cdn.tripadvisor.com/media/photo-s/1c/c7/97/b6/photo6jpg.jpg</v>
      </c>
    </row>
    <row r="14" spans="1:13" x14ac:dyDescent="0.3">
      <c r="A14" t="s">
        <v>44</v>
      </c>
      <c r="B14" s="1">
        <v>45487</v>
      </c>
      <c r="C14" t="s">
        <v>20</v>
      </c>
      <c r="D14" t="s">
        <v>32</v>
      </c>
      <c r="E14">
        <v>39</v>
      </c>
      <c r="F14" t="s">
        <v>28</v>
      </c>
      <c r="G14">
        <v>849.54</v>
      </c>
      <c r="H14">
        <v>42</v>
      </c>
      <c r="I14" t="s">
        <v>16</v>
      </c>
      <c r="J14">
        <v>4.7</v>
      </c>
      <c r="K14" t="s">
        <v>29</v>
      </c>
      <c r="L14" t="s">
        <v>23</v>
      </c>
      <c r="M14" t="str">
        <f>VLOOKUP(D18,Restaurant_Master!A:B,2,FALSE)</f>
        <v>https://dineout-media-assets.swiggy.com/swiggy/image/upload/fl_lossy,f_auto,q_auto/v1660793737/fdqxvxcxg1wtdwvyv45v.jpg</v>
      </c>
    </row>
    <row r="15" spans="1:13" x14ac:dyDescent="0.3">
      <c r="A15" t="s">
        <v>45</v>
      </c>
      <c r="B15" s="1">
        <v>45571</v>
      </c>
      <c r="C15" t="s">
        <v>20</v>
      </c>
      <c r="D15" t="s">
        <v>25</v>
      </c>
      <c r="E15">
        <v>49</v>
      </c>
      <c r="F15" t="s">
        <v>28</v>
      </c>
      <c r="G15">
        <v>724.69</v>
      </c>
      <c r="H15">
        <v>52</v>
      </c>
      <c r="I15" t="s">
        <v>16</v>
      </c>
      <c r="J15">
        <v>3.9</v>
      </c>
      <c r="K15" t="s">
        <v>17</v>
      </c>
      <c r="L15" t="s">
        <v>18</v>
      </c>
      <c r="M15" t="str">
        <f>VLOOKUP(D19,Restaurant_Master!A:B,2,FALSE)</f>
        <v>https://media-cdn.tripadvisor.com/media/photo-s/1c/c7/97/b6/photo6jpg.jpg</v>
      </c>
    </row>
    <row r="16" spans="1:13" x14ac:dyDescent="0.3">
      <c r="A16" t="s">
        <v>46</v>
      </c>
      <c r="B16" s="1">
        <v>45581</v>
      </c>
      <c r="C16" t="s">
        <v>36</v>
      </c>
      <c r="D16" t="s">
        <v>25</v>
      </c>
      <c r="E16">
        <v>54</v>
      </c>
      <c r="F16" t="s">
        <v>28</v>
      </c>
      <c r="G16">
        <v>161.07</v>
      </c>
      <c r="H16">
        <v>26</v>
      </c>
      <c r="I16" t="s">
        <v>22</v>
      </c>
      <c r="J16">
        <v>3.7</v>
      </c>
      <c r="K16" t="s">
        <v>41</v>
      </c>
      <c r="L16" t="s">
        <v>18</v>
      </c>
      <c r="M16" t="str">
        <f>VLOOKUP(D20,Restaurant_Master!A:B,2,FALSE)</f>
        <v>https://dynamic-media-cdn.tripadvisor.com/media/photo-o/1c/e7/04/0d/front-of-the-local-easily.jpg</v>
      </c>
    </row>
    <row r="17" spans="1:13" x14ac:dyDescent="0.3">
      <c r="A17" t="s">
        <v>47</v>
      </c>
      <c r="B17" s="1">
        <v>45341</v>
      </c>
      <c r="C17" t="s">
        <v>34</v>
      </c>
      <c r="D17" t="s">
        <v>25</v>
      </c>
      <c r="E17">
        <v>58</v>
      </c>
      <c r="F17" t="s">
        <v>15</v>
      </c>
      <c r="G17">
        <v>705.74</v>
      </c>
      <c r="H17">
        <v>26</v>
      </c>
      <c r="I17" t="s">
        <v>22</v>
      </c>
      <c r="J17">
        <v>3</v>
      </c>
      <c r="K17" t="s">
        <v>26</v>
      </c>
      <c r="L17" t="s">
        <v>23</v>
      </c>
      <c r="M17" t="str">
        <f>VLOOKUP(D21,Restaurant_Master!A:B,2,FALSE)</f>
        <v>https://content.jdmagicbox.com/comp/deoria/g6/9999p5568.5568.200119143033.m4g6/catalogue/biryani-house-deoria-ho-deoria-mktc2xph0o.jpg</v>
      </c>
    </row>
    <row r="18" spans="1:13" x14ac:dyDescent="0.3">
      <c r="A18" t="s">
        <v>48</v>
      </c>
      <c r="B18" s="1">
        <v>45335</v>
      </c>
      <c r="C18" t="s">
        <v>20</v>
      </c>
      <c r="D18" t="s">
        <v>14</v>
      </c>
      <c r="E18">
        <v>60</v>
      </c>
      <c r="F18" t="s">
        <v>28</v>
      </c>
      <c r="G18">
        <v>1034.92</v>
      </c>
      <c r="H18">
        <v>60</v>
      </c>
      <c r="I18" t="s">
        <v>16</v>
      </c>
      <c r="J18">
        <v>2.6</v>
      </c>
      <c r="K18" t="s">
        <v>26</v>
      </c>
      <c r="L18" t="s">
        <v>18</v>
      </c>
      <c r="M18" t="str">
        <f>VLOOKUP(D22,Restaurant_Master!A:B,2,FALSE)</f>
        <v>https://dynamic-media-cdn.tripadvisor.com/media/photo-o/1c/e7/04/0d/front-of-the-local-easily.jpg</v>
      </c>
    </row>
    <row r="19" spans="1:13" x14ac:dyDescent="0.3">
      <c r="A19" t="s">
        <v>49</v>
      </c>
      <c r="B19" s="1">
        <v>45452</v>
      </c>
      <c r="C19" t="s">
        <v>20</v>
      </c>
      <c r="D19" t="s">
        <v>25</v>
      </c>
      <c r="E19">
        <v>46</v>
      </c>
      <c r="F19" t="s">
        <v>15</v>
      </c>
      <c r="G19">
        <v>1085.78</v>
      </c>
      <c r="H19">
        <v>40</v>
      </c>
      <c r="I19" t="s">
        <v>22</v>
      </c>
      <c r="J19">
        <v>4</v>
      </c>
      <c r="K19" t="s">
        <v>26</v>
      </c>
      <c r="L19" t="s">
        <v>23</v>
      </c>
      <c r="M19" t="str">
        <f>VLOOKUP(D23,Restaurant_Master!A:B,2,FALSE)</f>
        <v>https://media-cdn.tripadvisor.com/media/photo-s/1c/c7/97/b6/photo6jpg.jpg</v>
      </c>
    </row>
    <row r="20" spans="1:13" x14ac:dyDescent="0.3">
      <c r="A20" t="s">
        <v>50</v>
      </c>
      <c r="B20" s="1">
        <v>45321</v>
      </c>
      <c r="C20" t="s">
        <v>43</v>
      </c>
      <c r="D20" t="s">
        <v>21</v>
      </c>
      <c r="E20">
        <v>34</v>
      </c>
      <c r="F20" t="s">
        <v>28</v>
      </c>
      <c r="G20">
        <v>621.61</v>
      </c>
      <c r="H20">
        <v>37</v>
      </c>
      <c r="I20" t="s">
        <v>22</v>
      </c>
      <c r="J20">
        <v>3.1</v>
      </c>
      <c r="K20" t="s">
        <v>17</v>
      </c>
      <c r="L20" t="s">
        <v>23</v>
      </c>
      <c r="M20" t="str">
        <f>VLOOKUP(D24,Restaurant_Master!A:B,2,FALSE)</f>
        <v>https://dynamic-media-cdn.tripadvisor.com/media/photo-o/1c/e7/04/0d/front-of-the-local-easily.jpg</v>
      </c>
    </row>
    <row r="21" spans="1:13" x14ac:dyDescent="0.3">
      <c r="A21" t="s">
        <v>51</v>
      </c>
      <c r="B21" s="1">
        <v>45461</v>
      </c>
      <c r="C21" t="s">
        <v>20</v>
      </c>
      <c r="D21" t="s">
        <v>32</v>
      </c>
      <c r="E21">
        <v>41</v>
      </c>
      <c r="F21" t="s">
        <v>28</v>
      </c>
      <c r="G21">
        <v>560.79</v>
      </c>
      <c r="H21">
        <v>21</v>
      </c>
      <c r="I21" t="s">
        <v>22</v>
      </c>
      <c r="J21">
        <v>4.0999999999999996</v>
      </c>
      <c r="K21" t="s">
        <v>41</v>
      </c>
      <c r="L21" t="s">
        <v>18</v>
      </c>
      <c r="M21" t="str">
        <f>VLOOKUP(D25,Restaurant_Master!A:B,2,FALSE)</f>
        <v>https://content.jdmagicbox.com/comp/deoria/g6/9999p5568.5568.200119143033.m4g6/catalogue/biryani-house-deoria-ho-deoria-mktc2xph0o.jpg</v>
      </c>
    </row>
    <row r="22" spans="1:13" x14ac:dyDescent="0.3">
      <c r="A22" t="s">
        <v>52</v>
      </c>
      <c r="B22" s="1">
        <v>45546</v>
      </c>
      <c r="C22" t="s">
        <v>36</v>
      </c>
      <c r="D22" t="s">
        <v>21</v>
      </c>
      <c r="E22">
        <v>44</v>
      </c>
      <c r="F22" t="s">
        <v>15</v>
      </c>
      <c r="G22">
        <v>1165.58</v>
      </c>
      <c r="H22">
        <v>52</v>
      </c>
      <c r="I22" t="s">
        <v>16</v>
      </c>
      <c r="J22">
        <v>4.9000000000000004</v>
      </c>
      <c r="K22" t="s">
        <v>17</v>
      </c>
      <c r="L22" t="s">
        <v>23</v>
      </c>
      <c r="M22" t="str">
        <f>VLOOKUP(D26,Restaurant_Master!A:B,2,FALSE)</f>
        <v>https://content.jdmagicbox.com/comp/deoria/g6/9999p5568.5568.200119143033.m4g6/catalogue/biryani-house-deoria-ho-deoria-mktc2xph0o.jpg</v>
      </c>
    </row>
    <row r="23" spans="1:13" x14ac:dyDescent="0.3">
      <c r="A23" t="s">
        <v>53</v>
      </c>
      <c r="B23" s="1">
        <v>45441</v>
      </c>
      <c r="C23" t="s">
        <v>34</v>
      </c>
      <c r="D23" t="s">
        <v>25</v>
      </c>
      <c r="E23">
        <v>18</v>
      </c>
      <c r="F23" t="s">
        <v>15</v>
      </c>
      <c r="G23">
        <v>1072.6600000000001</v>
      </c>
      <c r="H23">
        <v>26</v>
      </c>
      <c r="I23" t="s">
        <v>22</v>
      </c>
      <c r="J23">
        <v>3.2</v>
      </c>
      <c r="K23" t="s">
        <v>17</v>
      </c>
      <c r="L23" t="s">
        <v>18</v>
      </c>
      <c r="M23" t="str">
        <f>VLOOKUP(D27,Restaurant_Master!A:B,2,FALSE)</f>
        <v>https://media-cdn.tripadvisor.com/media/photo-s/1c/c7/97/b6/photo6jpg.jpg</v>
      </c>
    </row>
    <row r="24" spans="1:13" x14ac:dyDescent="0.3">
      <c r="A24" t="s">
        <v>54</v>
      </c>
      <c r="B24" s="1">
        <v>45447</v>
      </c>
      <c r="C24" t="s">
        <v>13</v>
      </c>
      <c r="D24" t="s">
        <v>21</v>
      </c>
      <c r="E24">
        <v>23</v>
      </c>
      <c r="F24" t="s">
        <v>15</v>
      </c>
      <c r="G24">
        <v>849.26</v>
      </c>
      <c r="H24">
        <v>26</v>
      </c>
      <c r="I24" t="s">
        <v>22</v>
      </c>
      <c r="J24">
        <v>4.0999999999999996</v>
      </c>
      <c r="K24" t="s">
        <v>26</v>
      </c>
      <c r="L24" t="s">
        <v>18</v>
      </c>
      <c r="M24" t="str">
        <f>VLOOKUP(D28,Restaurant_Master!A:B,2,FALSE)</f>
        <v>https://www.chatswoodinterchange.com/storages/2018/08/Sushi-World_666x448.jpg</v>
      </c>
    </row>
    <row r="25" spans="1:13" x14ac:dyDescent="0.3">
      <c r="A25" t="s">
        <v>55</v>
      </c>
      <c r="B25" s="1">
        <v>45367</v>
      </c>
      <c r="C25" t="s">
        <v>20</v>
      </c>
      <c r="D25" t="s">
        <v>32</v>
      </c>
      <c r="E25">
        <v>60</v>
      </c>
      <c r="F25" t="s">
        <v>15</v>
      </c>
      <c r="G25">
        <v>876.91</v>
      </c>
      <c r="H25">
        <v>25</v>
      </c>
      <c r="I25" t="s">
        <v>22</v>
      </c>
      <c r="J25">
        <v>3.4</v>
      </c>
      <c r="K25" t="s">
        <v>26</v>
      </c>
      <c r="L25" t="s">
        <v>18</v>
      </c>
      <c r="M25" t="str">
        <f>VLOOKUP(D29,Restaurant_Master!A:B,2,FALSE)</f>
        <v>https://content.jdmagicbox.com/comp/deoria/g6/9999p5568.5568.200119143033.m4g6/catalogue/biryani-house-deoria-ho-deoria-mktc2xph0o.jpg</v>
      </c>
    </row>
    <row r="26" spans="1:13" x14ac:dyDescent="0.3">
      <c r="A26" t="s">
        <v>56</v>
      </c>
      <c r="B26" s="1">
        <v>45414</v>
      </c>
      <c r="C26" t="s">
        <v>34</v>
      </c>
      <c r="D26" t="s">
        <v>32</v>
      </c>
      <c r="E26">
        <v>46</v>
      </c>
      <c r="F26" t="s">
        <v>15</v>
      </c>
      <c r="G26">
        <v>202.95</v>
      </c>
      <c r="H26">
        <v>21</v>
      </c>
      <c r="I26" t="s">
        <v>22</v>
      </c>
      <c r="J26">
        <v>4.2</v>
      </c>
      <c r="K26" t="s">
        <v>41</v>
      </c>
      <c r="L26" t="s">
        <v>23</v>
      </c>
      <c r="M26" t="str">
        <f>VLOOKUP(D30,Restaurant_Master!A:B,2,FALSE)</f>
        <v>https://www.chatswoodinterchange.com/storages/2018/08/Sushi-World_666x448.jpg</v>
      </c>
    </row>
    <row r="27" spans="1:13" x14ac:dyDescent="0.3">
      <c r="A27" t="s">
        <v>57</v>
      </c>
      <c r="B27" s="1">
        <v>45330</v>
      </c>
      <c r="C27" t="s">
        <v>20</v>
      </c>
      <c r="D27" t="s">
        <v>25</v>
      </c>
      <c r="E27">
        <v>49</v>
      </c>
      <c r="F27" t="s">
        <v>28</v>
      </c>
      <c r="G27">
        <v>297.85000000000002</v>
      </c>
      <c r="H27">
        <v>56</v>
      </c>
      <c r="I27" t="s">
        <v>16</v>
      </c>
      <c r="J27">
        <v>4.4000000000000004</v>
      </c>
      <c r="K27" t="s">
        <v>29</v>
      </c>
      <c r="L27" t="s">
        <v>18</v>
      </c>
      <c r="M27" t="str">
        <f>VLOOKUP(D31,Restaurant_Master!A:B,2,FALSE)</f>
        <v>https://dineout-media-assets.swiggy.com/swiggy/image/upload/fl_lossy,f_auto,q_auto/v1660793737/fdqxvxcxg1wtdwvyv45v.jpg</v>
      </c>
    </row>
    <row r="28" spans="1:13" x14ac:dyDescent="0.3">
      <c r="A28" t="s">
        <v>58</v>
      </c>
      <c r="B28" s="1">
        <v>45344</v>
      </c>
      <c r="C28" t="s">
        <v>13</v>
      </c>
      <c r="D28" t="s">
        <v>38</v>
      </c>
      <c r="E28">
        <v>29</v>
      </c>
      <c r="F28" t="s">
        <v>28</v>
      </c>
      <c r="G28">
        <v>1079.45</v>
      </c>
      <c r="H28">
        <v>25</v>
      </c>
      <c r="I28" t="s">
        <v>22</v>
      </c>
      <c r="J28">
        <v>4.5</v>
      </c>
      <c r="K28" t="s">
        <v>29</v>
      </c>
      <c r="L28" t="s">
        <v>23</v>
      </c>
      <c r="M28" t="str">
        <f>VLOOKUP(D32,Restaurant_Master!A:B,2,FALSE)</f>
        <v>https://dynamic-media-cdn.tripadvisor.com/media/photo-o/1c/e7/04/0d/front-of-the-local-easily.jpg</v>
      </c>
    </row>
    <row r="29" spans="1:13" x14ac:dyDescent="0.3">
      <c r="A29" t="s">
        <v>59</v>
      </c>
      <c r="B29" s="1">
        <v>45343</v>
      </c>
      <c r="C29" t="s">
        <v>34</v>
      </c>
      <c r="D29" t="s">
        <v>32</v>
      </c>
      <c r="E29">
        <v>57</v>
      </c>
      <c r="F29" t="s">
        <v>15</v>
      </c>
      <c r="G29">
        <v>955.92</v>
      </c>
      <c r="H29">
        <v>23</v>
      </c>
      <c r="I29" t="s">
        <v>22</v>
      </c>
      <c r="J29">
        <v>3.8</v>
      </c>
      <c r="K29" t="s">
        <v>29</v>
      </c>
      <c r="L29" t="s">
        <v>23</v>
      </c>
      <c r="M29" t="str">
        <f>VLOOKUP(D33,Restaurant_Master!A:B,2,FALSE)</f>
        <v>https://dynamic-media-cdn.tripadvisor.com/media/photo-o/1c/e7/04/0d/front-of-the-local-easily.jpg</v>
      </c>
    </row>
    <row r="30" spans="1:13" x14ac:dyDescent="0.3">
      <c r="A30" t="s">
        <v>60</v>
      </c>
      <c r="B30" s="1">
        <v>45577</v>
      </c>
      <c r="C30" t="s">
        <v>20</v>
      </c>
      <c r="D30" t="s">
        <v>38</v>
      </c>
      <c r="E30">
        <v>60</v>
      </c>
      <c r="F30" t="s">
        <v>28</v>
      </c>
      <c r="G30">
        <v>930.06</v>
      </c>
      <c r="H30">
        <v>49</v>
      </c>
      <c r="I30" t="s">
        <v>16</v>
      </c>
      <c r="J30">
        <v>3</v>
      </c>
      <c r="K30" t="s">
        <v>26</v>
      </c>
      <c r="L30" t="s">
        <v>23</v>
      </c>
      <c r="M30" t="str">
        <f>VLOOKUP(D34,Restaurant_Master!A:B,2,FALSE)</f>
        <v>https://content.jdmagicbox.com/comp/deoria/g6/9999p5568.5568.200119143033.m4g6/catalogue/biryani-house-deoria-ho-deoria-mktc2xph0o.jpg</v>
      </c>
    </row>
    <row r="31" spans="1:13" x14ac:dyDescent="0.3">
      <c r="A31" t="s">
        <v>61</v>
      </c>
      <c r="B31" s="1">
        <v>45598</v>
      </c>
      <c r="C31" t="s">
        <v>13</v>
      </c>
      <c r="D31" t="s">
        <v>14</v>
      </c>
      <c r="E31">
        <v>25</v>
      </c>
      <c r="F31" t="s">
        <v>28</v>
      </c>
      <c r="G31">
        <v>1006.48</v>
      </c>
      <c r="H31">
        <v>30</v>
      </c>
      <c r="I31" t="s">
        <v>22</v>
      </c>
      <c r="J31">
        <v>4</v>
      </c>
      <c r="K31" t="s">
        <v>17</v>
      </c>
      <c r="L31" t="s">
        <v>18</v>
      </c>
      <c r="M31" t="str">
        <f>VLOOKUP(D35,Restaurant_Master!A:B,2,FALSE)</f>
        <v>https://dynamic-media-cdn.tripadvisor.com/media/photo-o/1c/e7/04/0d/front-of-the-local-easily.jpg</v>
      </c>
    </row>
    <row r="32" spans="1:13" x14ac:dyDescent="0.3">
      <c r="A32" t="s">
        <v>62</v>
      </c>
      <c r="B32" s="1">
        <v>45463</v>
      </c>
      <c r="C32" t="s">
        <v>13</v>
      </c>
      <c r="D32" t="s">
        <v>21</v>
      </c>
      <c r="E32">
        <v>43</v>
      </c>
      <c r="F32" t="s">
        <v>15</v>
      </c>
      <c r="G32">
        <v>201.01</v>
      </c>
      <c r="H32">
        <v>20</v>
      </c>
      <c r="I32" t="s">
        <v>22</v>
      </c>
      <c r="J32">
        <v>3.1</v>
      </c>
      <c r="K32" t="s">
        <v>26</v>
      </c>
      <c r="L32" t="s">
        <v>23</v>
      </c>
      <c r="M32" t="str">
        <f>VLOOKUP(D36,Restaurant_Master!A:B,2,FALSE)</f>
        <v>https://dynamic-media-cdn.tripadvisor.com/media/photo-o/1c/e7/04/0d/front-of-the-local-easily.jpg</v>
      </c>
    </row>
    <row r="33" spans="1:13" x14ac:dyDescent="0.3">
      <c r="A33" t="s">
        <v>63</v>
      </c>
      <c r="B33" s="1">
        <v>45478</v>
      </c>
      <c r="C33" t="s">
        <v>34</v>
      </c>
      <c r="D33" t="s">
        <v>21</v>
      </c>
      <c r="E33">
        <v>57</v>
      </c>
      <c r="F33" t="s">
        <v>28</v>
      </c>
      <c r="G33">
        <v>1129.32</v>
      </c>
      <c r="H33">
        <v>60</v>
      </c>
      <c r="I33" t="s">
        <v>16</v>
      </c>
      <c r="J33">
        <v>2.9</v>
      </c>
      <c r="K33" t="s">
        <v>26</v>
      </c>
      <c r="L33" t="s">
        <v>18</v>
      </c>
      <c r="M33" t="str">
        <f>VLOOKUP(D37,Restaurant_Master!A:B,2,FALSE)</f>
        <v>https://media-cdn.tripadvisor.com/media/photo-s/1c/c7/97/b6/photo6jpg.jpg</v>
      </c>
    </row>
    <row r="34" spans="1:13" x14ac:dyDescent="0.3">
      <c r="A34" t="s">
        <v>64</v>
      </c>
      <c r="B34" s="1">
        <v>45337</v>
      </c>
      <c r="C34" t="s">
        <v>20</v>
      </c>
      <c r="D34" t="s">
        <v>32</v>
      </c>
      <c r="E34">
        <v>31</v>
      </c>
      <c r="F34" t="s">
        <v>28</v>
      </c>
      <c r="G34">
        <v>570.44000000000005</v>
      </c>
      <c r="H34">
        <v>56</v>
      </c>
      <c r="I34" t="s">
        <v>16</v>
      </c>
      <c r="J34">
        <v>3.1</v>
      </c>
      <c r="K34" t="s">
        <v>17</v>
      </c>
      <c r="L34" t="s">
        <v>23</v>
      </c>
      <c r="M34" t="str">
        <f>VLOOKUP(D38,Restaurant_Master!A:B,2,FALSE)</f>
        <v>https://content.jdmagicbox.com/comp/deoria/g6/9999p5568.5568.200119143033.m4g6/catalogue/biryani-house-deoria-ho-deoria-mktc2xph0o.jpg</v>
      </c>
    </row>
    <row r="35" spans="1:13" x14ac:dyDescent="0.3">
      <c r="A35" t="s">
        <v>65</v>
      </c>
      <c r="B35" s="1">
        <v>45577</v>
      </c>
      <c r="C35" t="s">
        <v>43</v>
      </c>
      <c r="D35" t="s">
        <v>21</v>
      </c>
      <c r="E35">
        <v>30</v>
      </c>
      <c r="F35" t="s">
        <v>15</v>
      </c>
      <c r="G35">
        <v>539.97</v>
      </c>
      <c r="H35">
        <v>47</v>
      </c>
      <c r="I35" t="s">
        <v>16</v>
      </c>
      <c r="J35">
        <v>4.8</v>
      </c>
      <c r="K35" t="s">
        <v>26</v>
      </c>
      <c r="L35" t="s">
        <v>18</v>
      </c>
      <c r="M35" t="str">
        <f>VLOOKUP(D39,Restaurant_Master!A:B,2,FALSE)</f>
        <v>https://dynamic-media-cdn.tripadvisor.com/media/photo-o/1c/e7/04/0d/front-of-the-local-easily.jpg</v>
      </c>
    </row>
    <row r="36" spans="1:13" x14ac:dyDescent="0.3">
      <c r="A36" t="s">
        <v>66</v>
      </c>
      <c r="B36" s="1">
        <v>45382</v>
      </c>
      <c r="C36" t="s">
        <v>34</v>
      </c>
      <c r="D36" t="s">
        <v>21</v>
      </c>
      <c r="E36">
        <v>56</v>
      </c>
      <c r="F36" t="s">
        <v>15</v>
      </c>
      <c r="G36">
        <v>796.24</v>
      </c>
      <c r="H36">
        <v>37</v>
      </c>
      <c r="I36" t="s">
        <v>22</v>
      </c>
      <c r="J36">
        <v>2.5</v>
      </c>
      <c r="K36" t="s">
        <v>17</v>
      </c>
      <c r="L36" t="s">
        <v>23</v>
      </c>
      <c r="M36" t="str">
        <f>VLOOKUP(D40,Restaurant_Master!A:B,2,FALSE)</f>
        <v>https://media-cdn.tripadvisor.com/media/photo-s/1c/c7/97/b6/photo6jpg.jpg</v>
      </c>
    </row>
    <row r="37" spans="1:13" x14ac:dyDescent="0.3">
      <c r="A37" t="s">
        <v>67</v>
      </c>
      <c r="B37" s="1">
        <v>45380</v>
      </c>
      <c r="C37" t="s">
        <v>36</v>
      </c>
      <c r="D37" t="s">
        <v>25</v>
      </c>
      <c r="E37">
        <v>37</v>
      </c>
      <c r="F37" t="s">
        <v>28</v>
      </c>
      <c r="G37">
        <v>1184.3599999999999</v>
      </c>
      <c r="H37">
        <v>42</v>
      </c>
      <c r="I37" t="s">
        <v>16</v>
      </c>
      <c r="J37">
        <v>2.7</v>
      </c>
      <c r="K37" t="s">
        <v>41</v>
      </c>
      <c r="L37" t="s">
        <v>23</v>
      </c>
      <c r="M37" t="str">
        <f>VLOOKUP(D41,Restaurant_Master!A:B,2,FALSE)</f>
        <v>https://media-cdn.tripadvisor.com/media/photo-s/1c/c7/97/b6/photo6jpg.jpg</v>
      </c>
    </row>
    <row r="38" spans="1:13" x14ac:dyDescent="0.3">
      <c r="A38" t="s">
        <v>68</v>
      </c>
      <c r="B38" s="1">
        <v>45602</v>
      </c>
      <c r="C38" t="s">
        <v>13</v>
      </c>
      <c r="D38" t="s">
        <v>32</v>
      </c>
      <c r="E38">
        <v>24</v>
      </c>
      <c r="F38" t="s">
        <v>28</v>
      </c>
      <c r="G38">
        <v>971.65</v>
      </c>
      <c r="H38">
        <v>44</v>
      </c>
      <c r="I38" t="s">
        <v>16</v>
      </c>
      <c r="J38">
        <v>3.3</v>
      </c>
      <c r="K38" t="s">
        <v>26</v>
      </c>
      <c r="L38" t="s">
        <v>18</v>
      </c>
      <c r="M38" t="str">
        <f>VLOOKUP(D42,Restaurant_Master!A:B,2,FALSE)</f>
        <v>https://media-cdn.tripadvisor.com/media/photo-s/1c/c7/97/b6/photo6jpg.jpg</v>
      </c>
    </row>
    <row r="39" spans="1:13" x14ac:dyDescent="0.3">
      <c r="A39" t="s">
        <v>69</v>
      </c>
      <c r="B39" s="1">
        <v>45402</v>
      </c>
      <c r="C39" t="s">
        <v>34</v>
      </c>
      <c r="D39" t="s">
        <v>21</v>
      </c>
      <c r="E39">
        <v>45</v>
      </c>
      <c r="F39" t="s">
        <v>15</v>
      </c>
      <c r="G39">
        <v>1111.48</v>
      </c>
      <c r="H39">
        <v>22</v>
      </c>
      <c r="I39" t="s">
        <v>22</v>
      </c>
      <c r="J39">
        <v>4.3</v>
      </c>
      <c r="K39" t="s">
        <v>26</v>
      </c>
      <c r="L39" t="s">
        <v>23</v>
      </c>
      <c r="M39" t="str">
        <f>VLOOKUP(D43,Restaurant_Master!A:B,2,FALSE)</f>
        <v>https://dynamic-media-cdn.tripadvisor.com/media/photo-o/1c/e7/04/0d/front-of-the-local-easily.jpg</v>
      </c>
    </row>
    <row r="40" spans="1:13" x14ac:dyDescent="0.3">
      <c r="A40" t="s">
        <v>70</v>
      </c>
      <c r="B40" s="1">
        <v>45557</v>
      </c>
      <c r="C40" t="s">
        <v>43</v>
      </c>
      <c r="D40" t="s">
        <v>25</v>
      </c>
      <c r="E40">
        <v>38</v>
      </c>
      <c r="F40" t="s">
        <v>28</v>
      </c>
      <c r="G40">
        <v>192.64</v>
      </c>
      <c r="H40">
        <v>25</v>
      </c>
      <c r="I40" t="s">
        <v>22</v>
      </c>
      <c r="J40">
        <v>4.3</v>
      </c>
      <c r="K40" t="s">
        <v>29</v>
      </c>
      <c r="L40" t="s">
        <v>23</v>
      </c>
      <c r="M40" t="str">
        <f>VLOOKUP(D44,Restaurant_Master!A:B,2,FALSE)</f>
        <v>https://media-cdn.tripadvisor.com/media/photo-s/1c/c7/97/b6/photo6jpg.jpg</v>
      </c>
    </row>
    <row r="41" spans="1:13" x14ac:dyDescent="0.3">
      <c r="A41" t="s">
        <v>71</v>
      </c>
      <c r="B41" s="1">
        <v>45455</v>
      </c>
      <c r="C41" t="s">
        <v>36</v>
      </c>
      <c r="D41" t="s">
        <v>25</v>
      </c>
      <c r="E41">
        <v>48</v>
      </c>
      <c r="F41" t="s">
        <v>15</v>
      </c>
      <c r="G41">
        <v>992.42</v>
      </c>
      <c r="H41">
        <v>26</v>
      </c>
      <c r="I41" t="s">
        <v>22</v>
      </c>
      <c r="J41">
        <v>2.6</v>
      </c>
      <c r="K41" t="s">
        <v>41</v>
      </c>
      <c r="L41" t="s">
        <v>18</v>
      </c>
      <c r="M41" t="str">
        <f>VLOOKUP(D45,Restaurant_Master!A:B,2,FALSE)</f>
        <v>https://content.jdmagicbox.com/comp/deoria/g6/9999p5568.5568.200119143033.m4g6/catalogue/biryani-house-deoria-ho-deoria-mktc2xph0o.jpg</v>
      </c>
    </row>
    <row r="42" spans="1:13" x14ac:dyDescent="0.3">
      <c r="A42" t="s">
        <v>72</v>
      </c>
      <c r="B42" s="1">
        <v>45645</v>
      </c>
      <c r="C42" t="s">
        <v>43</v>
      </c>
      <c r="D42" t="s">
        <v>25</v>
      </c>
      <c r="E42">
        <v>43</v>
      </c>
      <c r="F42" t="s">
        <v>28</v>
      </c>
      <c r="G42">
        <v>729.05</v>
      </c>
      <c r="H42">
        <v>42</v>
      </c>
      <c r="I42" t="s">
        <v>16</v>
      </c>
      <c r="J42">
        <v>2.8</v>
      </c>
      <c r="K42" t="s">
        <v>29</v>
      </c>
      <c r="L42" t="s">
        <v>18</v>
      </c>
      <c r="M42" t="str">
        <f>VLOOKUP(D46,Restaurant_Master!A:B,2,FALSE)</f>
        <v>https://content.jdmagicbox.com/comp/deoria/g6/9999p5568.5568.200119143033.m4g6/catalogue/biryani-house-deoria-ho-deoria-mktc2xph0o.jpg</v>
      </c>
    </row>
    <row r="43" spans="1:13" x14ac:dyDescent="0.3">
      <c r="A43" t="s">
        <v>73</v>
      </c>
      <c r="B43" s="1">
        <v>45340</v>
      </c>
      <c r="C43" t="s">
        <v>13</v>
      </c>
      <c r="D43" t="s">
        <v>21</v>
      </c>
      <c r="E43">
        <v>31</v>
      </c>
      <c r="F43" t="s">
        <v>28</v>
      </c>
      <c r="G43">
        <v>714.08</v>
      </c>
      <c r="H43">
        <v>25</v>
      </c>
      <c r="I43" t="s">
        <v>22</v>
      </c>
      <c r="J43">
        <v>3.2</v>
      </c>
      <c r="K43" t="s">
        <v>29</v>
      </c>
      <c r="L43" t="s">
        <v>18</v>
      </c>
      <c r="M43" t="str">
        <f>VLOOKUP(D47,Restaurant_Master!A:B,2,FALSE)</f>
        <v>https://content.jdmagicbox.com/comp/deoria/g6/9999p5568.5568.200119143033.m4g6/catalogue/biryani-house-deoria-ho-deoria-mktc2xph0o.jpg</v>
      </c>
    </row>
    <row r="44" spans="1:13" x14ac:dyDescent="0.3">
      <c r="A44" t="s">
        <v>74</v>
      </c>
      <c r="B44" s="1">
        <v>45549</v>
      </c>
      <c r="C44" t="s">
        <v>13</v>
      </c>
      <c r="D44" t="s">
        <v>25</v>
      </c>
      <c r="E44">
        <v>18</v>
      </c>
      <c r="F44" t="s">
        <v>15</v>
      </c>
      <c r="G44">
        <v>1119.0999999999999</v>
      </c>
      <c r="H44">
        <v>46</v>
      </c>
      <c r="I44" t="s">
        <v>16</v>
      </c>
      <c r="J44">
        <v>4.3</v>
      </c>
      <c r="K44" t="s">
        <v>26</v>
      </c>
      <c r="L44" t="s">
        <v>18</v>
      </c>
      <c r="M44" t="str">
        <f>VLOOKUP(D48,Restaurant_Master!A:B,2,FALSE)</f>
        <v>https://www.chatswoodinterchange.com/storages/2018/08/Sushi-World_666x448.jpg</v>
      </c>
    </row>
    <row r="45" spans="1:13" x14ac:dyDescent="0.3">
      <c r="A45" t="s">
        <v>75</v>
      </c>
      <c r="B45" s="1">
        <v>45653</v>
      </c>
      <c r="C45" t="s">
        <v>34</v>
      </c>
      <c r="D45" t="s">
        <v>32</v>
      </c>
      <c r="E45">
        <v>47</v>
      </c>
      <c r="F45" t="s">
        <v>28</v>
      </c>
      <c r="G45">
        <v>682.96</v>
      </c>
      <c r="H45">
        <v>21</v>
      </c>
      <c r="I45" t="s">
        <v>22</v>
      </c>
      <c r="J45">
        <v>2.9</v>
      </c>
      <c r="K45" t="s">
        <v>41</v>
      </c>
      <c r="L45" t="s">
        <v>18</v>
      </c>
      <c r="M45" t="str">
        <f>VLOOKUP(D49,Restaurant_Master!A:B,2,FALSE)</f>
        <v>https://dynamic-media-cdn.tripadvisor.com/media/photo-o/1c/e7/04/0d/front-of-the-local-easily.jpg</v>
      </c>
    </row>
    <row r="46" spans="1:13" x14ac:dyDescent="0.3">
      <c r="A46" t="s">
        <v>76</v>
      </c>
      <c r="B46" s="1">
        <v>45393</v>
      </c>
      <c r="C46" t="s">
        <v>20</v>
      </c>
      <c r="D46" t="s">
        <v>32</v>
      </c>
      <c r="E46">
        <v>25</v>
      </c>
      <c r="F46" t="s">
        <v>15</v>
      </c>
      <c r="G46">
        <v>990.02</v>
      </c>
      <c r="H46">
        <v>26</v>
      </c>
      <c r="I46" t="s">
        <v>22</v>
      </c>
      <c r="J46">
        <v>4.4000000000000004</v>
      </c>
      <c r="K46" t="s">
        <v>26</v>
      </c>
      <c r="L46" t="s">
        <v>18</v>
      </c>
      <c r="M46" t="str">
        <f>VLOOKUP(D50,Restaurant_Master!A:B,2,FALSE)</f>
        <v>https://dineout-media-assets.swiggy.com/swiggy/image/upload/fl_lossy,f_auto,q_auto/v1660793737/fdqxvxcxg1wtdwvyv45v.jpg</v>
      </c>
    </row>
    <row r="47" spans="1:13" x14ac:dyDescent="0.3">
      <c r="A47" t="s">
        <v>77</v>
      </c>
      <c r="B47" s="1">
        <v>45448</v>
      </c>
      <c r="C47" t="s">
        <v>13</v>
      </c>
      <c r="D47" t="s">
        <v>32</v>
      </c>
      <c r="E47">
        <v>37</v>
      </c>
      <c r="F47" t="s">
        <v>28</v>
      </c>
      <c r="G47">
        <v>969.73</v>
      </c>
      <c r="H47">
        <v>56</v>
      </c>
      <c r="I47" t="s">
        <v>16</v>
      </c>
      <c r="J47">
        <v>3.7</v>
      </c>
      <c r="K47" t="s">
        <v>26</v>
      </c>
      <c r="L47" t="s">
        <v>18</v>
      </c>
      <c r="M47" t="str">
        <f>VLOOKUP(D51,Restaurant_Master!A:B,2,FALSE)</f>
        <v>https://dynamic-media-cdn.tripadvisor.com/media/photo-o/1c/e7/04/0d/front-of-the-local-easily.jpg</v>
      </c>
    </row>
    <row r="48" spans="1:13" x14ac:dyDescent="0.3">
      <c r="A48" t="s">
        <v>78</v>
      </c>
      <c r="B48" s="1">
        <v>45514</v>
      </c>
      <c r="C48" t="s">
        <v>13</v>
      </c>
      <c r="D48" t="s">
        <v>38</v>
      </c>
      <c r="E48">
        <v>23</v>
      </c>
      <c r="F48" t="s">
        <v>15</v>
      </c>
      <c r="G48">
        <v>592.03</v>
      </c>
      <c r="H48">
        <v>50</v>
      </c>
      <c r="I48" t="s">
        <v>16</v>
      </c>
      <c r="J48">
        <v>2.5</v>
      </c>
      <c r="K48" t="s">
        <v>26</v>
      </c>
      <c r="L48" t="s">
        <v>18</v>
      </c>
      <c r="M48" t="str">
        <f>VLOOKUP(D52,Restaurant_Master!A:B,2,FALSE)</f>
        <v>https://dynamic-media-cdn.tripadvisor.com/media/photo-o/1c/e7/04/0d/front-of-the-local-easily.jpg</v>
      </c>
    </row>
    <row r="49" spans="1:13" x14ac:dyDescent="0.3">
      <c r="A49" t="s">
        <v>79</v>
      </c>
      <c r="B49" s="1">
        <v>45529</v>
      </c>
      <c r="C49" t="s">
        <v>34</v>
      </c>
      <c r="D49" t="s">
        <v>21</v>
      </c>
      <c r="E49">
        <v>37</v>
      </c>
      <c r="F49" t="s">
        <v>15</v>
      </c>
      <c r="G49">
        <v>756.61</v>
      </c>
      <c r="H49">
        <v>40</v>
      </c>
      <c r="I49" t="s">
        <v>22</v>
      </c>
      <c r="J49">
        <v>4.4000000000000004</v>
      </c>
      <c r="K49" t="s">
        <v>17</v>
      </c>
      <c r="L49" t="s">
        <v>18</v>
      </c>
      <c r="M49" t="str">
        <f>VLOOKUP(D53,Restaurant_Master!A:B,2,FALSE)</f>
        <v>https://dynamic-media-cdn.tripadvisor.com/media/photo-o/1c/e7/04/0d/front-of-the-local-easily.jpg</v>
      </c>
    </row>
    <row r="50" spans="1:13" x14ac:dyDescent="0.3">
      <c r="A50" t="s">
        <v>80</v>
      </c>
      <c r="B50" s="1">
        <v>45547</v>
      </c>
      <c r="C50" t="s">
        <v>43</v>
      </c>
      <c r="D50" t="s">
        <v>14</v>
      </c>
      <c r="E50">
        <v>29</v>
      </c>
      <c r="F50" t="s">
        <v>15</v>
      </c>
      <c r="G50">
        <v>1004.45</v>
      </c>
      <c r="H50">
        <v>49</v>
      </c>
      <c r="I50" t="s">
        <v>16</v>
      </c>
      <c r="J50">
        <v>2.6</v>
      </c>
      <c r="K50" t="s">
        <v>26</v>
      </c>
      <c r="L50" t="s">
        <v>23</v>
      </c>
      <c r="M50" t="str">
        <f>VLOOKUP(D54,Restaurant_Master!A:B,2,FALSE)</f>
        <v>https://content.jdmagicbox.com/comp/deoria/g6/9999p5568.5568.200119143033.m4g6/catalogue/biryani-house-deoria-ho-deoria-mktc2xph0o.jpg</v>
      </c>
    </row>
    <row r="51" spans="1:13" x14ac:dyDescent="0.3">
      <c r="A51" t="s">
        <v>81</v>
      </c>
      <c r="B51" s="1">
        <v>45345</v>
      </c>
      <c r="C51" t="s">
        <v>36</v>
      </c>
      <c r="D51" t="s">
        <v>21</v>
      </c>
      <c r="E51">
        <v>54</v>
      </c>
      <c r="F51" t="s">
        <v>15</v>
      </c>
      <c r="G51">
        <v>380.99</v>
      </c>
      <c r="H51">
        <v>55</v>
      </c>
      <c r="I51" t="s">
        <v>16</v>
      </c>
      <c r="J51">
        <v>3.4</v>
      </c>
      <c r="K51" t="s">
        <v>41</v>
      </c>
      <c r="L51" t="s">
        <v>23</v>
      </c>
      <c r="M51" t="str">
        <f>VLOOKUP(D55,Restaurant_Master!A:B,2,FALSE)</f>
        <v>https://www.chatswoodinterchange.com/storages/2018/08/Sushi-World_666x448.jpg</v>
      </c>
    </row>
    <row r="52" spans="1:13" x14ac:dyDescent="0.3">
      <c r="A52" t="s">
        <v>82</v>
      </c>
      <c r="B52" s="1">
        <v>45597</v>
      </c>
      <c r="C52" t="s">
        <v>36</v>
      </c>
      <c r="D52" t="s">
        <v>21</v>
      </c>
      <c r="E52">
        <v>29</v>
      </c>
      <c r="F52" t="s">
        <v>15</v>
      </c>
      <c r="G52">
        <v>1109.54</v>
      </c>
      <c r="H52">
        <v>41</v>
      </c>
      <c r="I52" t="s">
        <v>16</v>
      </c>
      <c r="J52">
        <v>3</v>
      </c>
      <c r="K52" t="s">
        <v>26</v>
      </c>
      <c r="L52" t="s">
        <v>18</v>
      </c>
      <c r="M52" t="str">
        <f>VLOOKUP(D56,Restaurant_Master!A:B,2,FALSE)</f>
        <v>https://media-cdn.tripadvisor.com/media/photo-s/1c/c7/97/b6/photo6jpg.jpg</v>
      </c>
    </row>
    <row r="53" spans="1:13" x14ac:dyDescent="0.3">
      <c r="A53" t="s">
        <v>83</v>
      </c>
      <c r="B53" s="1">
        <v>45559</v>
      </c>
      <c r="C53" t="s">
        <v>43</v>
      </c>
      <c r="D53" t="s">
        <v>21</v>
      </c>
      <c r="E53">
        <v>45</v>
      </c>
      <c r="F53" t="s">
        <v>15</v>
      </c>
      <c r="G53">
        <v>747.95</v>
      </c>
      <c r="H53">
        <v>48</v>
      </c>
      <c r="I53" t="s">
        <v>16</v>
      </c>
      <c r="J53">
        <v>3.3</v>
      </c>
      <c r="K53" t="s">
        <v>17</v>
      </c>
      <c r="L53" t="s">
        <v>23</v>
      </c>
      <c r="M53" t="str">
        <f>VLOOKUP(D57,Restaurant_Master!A:B,2,FALSE)</f>
        <v>https://dineout-media-assets.swiggy.com/swiggy/image/upload/fl_lossy,f_auto,q_auto/v1660793737/fdqxvxcxg1wtdwvyv45v.jpg</v>
      </c>
    </row>
    <row r="54" spans="1:13" x14ac:dyDescent="0.3">
      <c r="A54" t="s">
        <v>84</v>
      </c>
      <c r="B54" s="1">
        <v>45651</v>
      </c>
      <c r="C54" t="s">
        <v>20</v>
      </c>
      <c r="D54" t="s">
        <v>32</v>
      </c>
      <c r="E54">
        <v>55</v>
      </c>
      <c r="F54" t="s">
        <v>15</v>
      </c>
      <c r="G54">
        <v>897.12</v>
      </c>
      <c r="H54">
        <v>30</v>
      </c>
      <c r="I54" t="s">
        <v>22</v>
      </c>
      <c r="J54">
        <v>3.2</v>
      </c>
      <c r="K54" t="s">
        <v>17</v>
      </c>
      <c r="L54" t="s">
        <v>23</v>
      </c>
      <c r="M54" t="str">
        <f>VLOOKUP(D58,Restaurant_Master!A:B,2,FALSE)</f>
        <v>https://content.jdmagicbox.com/comp/deoria/g6/9999p5568.5568.200119143033.m4g6/catalogue/biryani-house-deoria-ho-deoria-mktc2xph0o.jpg</v>
      </c>
    </row>
    <row r="55" spans="1:13" x14ac:dyDescent="0.3">
      <c r="A55" t="s">
        <v>85</v>
      </c>
      <c r="B55" s="1">
        <v>45373</v>
      </c>
      <c r="C55" t="s">
        <v>34</v>
      </c>
      <c r="D55" t="s">
        <v>38</v>
      </c>
      <c r="E55">
        <v>24</v>
      </c>
      <c r="F55" t="s">
        <v>28</v>
      </c>
      <c r="G55">
        <v>952.26</v>
      </c>
      <c r="H55">
        <v>52</v>
      </c>
      <c r="I55" t="s">
        <v>16</v>
      </c>
      <c r="J55">
        <v>4.2</v>
      </c>
      <c r="K55" t="s">
        <v>41</v>
      </c>
      <c r="L55" t="s">
        <v>18</v>
      </c>
      <c r="M55" t="str">
        <f>VLOOKUP(D59,Restaurant_Master!A:B,2,FALSE)</f>
        <v>https://dineout-media-assets.swiggy.com/swiggy/image/upload/fl_lossy,f_auto,q_auto/v1660793737/fdqxvxcxg1wtdwvyv45v.jpg</v>
      </c>
    </row>
    <row r="56" spans="1:13" x14ac:dyDescent="0.3">
      <c r="A56" t="s">
        <v>86</v>
      </c>
      <c r="B56" s="1">
        <v>45636</v>
      </c>
      <c r="C56" t="s">
        <v>13</v>
      </c>
      <c r="D56" t="s">
        <v>25</v>
      </c>
      <c r="E56">
        <v>24</v>
      </c>
      <c r="F56" t="s">
        <v>28</v>
      </c>
      <c r="G56">
        <v>386.16</v>
      </c>
      <c r="H56">
        <v>37</v>
      </c>
      <c r="I56" t="s">
        <v>22</v>
      </c>
      <c r="J56">
        <v>4</v>
      </c>
      <c r="K56" t="s">
        <v>29</v>
      </c>
      <c r="L56" t="s">
        <v>23</v>
      </c>
      <c r="M56" t="str">
        <f>VLOOKUP(D60,Restaurant_Master!A:B,2,FALSE)</f>
        <v>https://dineout-media-assets.swiggy.com/swiggy/image/upload/fl_lossy,f_auto,q_auto/v1660793737/fdqxvxcxg1wtdwvyv45v.jpg</v>
      </c>
    </row>
    <row r="57" spans="1:13" x14ac:dyDescent="0.3">
      <c r="A57" t="s">
        <v>87</v>
      </c>
      <c r="B57" s="1">
        <v>45365</v>
      </c>
      <c r="C57" t="s">
        <v>20</v>
      </c>
      <c r="D57" t="s">
        <v>14</v>
      </c>
      <c r="E57">
        <v>20</v>
      </c>
      <c r="F57" t="s">
        <v>15</v>
      </c>
      <c r="G57">
        <v>700.58</v>
      </c>
      <c r="H57">
        <v>26</v>
      </c>
      <c r="I57" t="s">
        <v>22</v>
      </c>
      <c r="J57">
        <v>4.5</v>
      </c>
      <c r="K57" t="s">
        <v>17</v>
      </c>
      <c r="L57" t="s">
        <v>18</v>
      </c>
      <c r="M57" t="str">
        <f>VLOOKUP(D61,Restaurant_Master!A:B,2,FALSE)</f>
        <v>https://media-cdn.tripadvisor.com/media/photo-s/1c/c7/97/b6/photo6jpg.jpg</v>
      </c>
    </row>
    <row r="58" spans="1:13" x14ac:dyDescent="0.3">
      <c r="A58" t="s">
        <v>88</v>
      </c>
      <c r="B58" s="1">
        <v>45471</v>
      </c>
      <c r="C58" t="s">
        <v>13</v>
      </c>
      <c r="D58" t="s">
        <v>32</v>
      </c>
      <c r="E58">
        <v>22</v>
      </c>
      <c r="F58" t="s">
        <v>15</v>
      </c>
      <c r="G58">
        <v>857.99</v>
      </c>
      <c r="H58">
        <v>27</v>
      </c>
      <c r="I58" t="s">
        <v>22</v>
      </c>
      <c r="J58">
        <v>3.9</v>
      </c>
      <c r="K58" t="s">
        <v>26</v>
      </c>
      <c r="L58" t="s">
        <v>23</v>
      </c>
      <c r="M58" t="str">
        <f>VLOOKUP(D62,Restaurant_Master!A:B,2,FALSE)</f>
        <v>https://content.jdmagicbox.com/comp/deoria/g6/9999p5568.5568.200119143033.m4g6/catalogue/biryani-house-deoria-ho-deoria-mktc2xph0o.jpg</v>
      </c>
    </row>
    <row r="59" spans="1:13" x14ac:dyDescent="0.3">
      <c r="A59" t="s">
        <v>89</v>
      </c>
      <c r="B59" s="1">
        <v>45396</v>
      </c>
      <c r="C59" t="s">
        <v>34</v>
      </c>
      <c r="D59" t="s">
        <v>14</v>
      </c>
      <c r="E59">
        <v>60</v>
      </c>
      <c r="F59" t="s">
        <v>15</v>
      </c>
      <c r="G59">
        <v>182.46</v>
      </c>
      <c r="H59">
        <v>41</v>
      </c>
      <c r="I59" t="s">
        <v>16</v>
      </c>
      <c r="J59">
        <v>2.7</v>
      </c>
      <c r="K59" t="s">
        <v>41</v>
      </c>
      <c r="L59" t="s">
        <v>23</v>
      </c>
      <c r="M59" t="str">
        <f>VLOOKUP(D63,Restaurant_Master!A:B,2,FALSE)</f>
        <v>https://dynamic-media-cdn.tripadvisor.com/media/photo-o/1c/e7/04/0d/front-of-the-local-easily.jpg</v>
      </c>
    </row>
    <row r="60" spans="1:13" x14ac:dyDescent="0.3">
      <c r="A60" t="s">
        <v>90</v>
      </c>
      <c r="B60" s="1">
        <v>45465</v>
      </c>
      <c r="C60" t="s">
        <v>13</v>
      </c>
      <c r="D60" t="s">
        <v>14</v>
      </c>
      <c r="E60">
        <v>39</v>
      </c>
      <c r="F60" t="s">
        <v>28</v>
      </c>
      <c r="G60">
        <v>199.56</v>
      </c>
      <c r="H60">
        <v>47</v>
      </c>
      <c r="I60" t="s">
        <v>16</v>
      </c>
      <c r="J60">
        <v>5</v>
      </c>
      <c r="K60" t="s">
        <v>26</v>
      </c>
      <c r="L60" t="s">
        <v>18</v>
      </c>
      <c r="M60" t="str">
        <f>VLOOKUP(D64,Restaurant_Master!A:B,2,FALSE)</f>
        <v>https://dynamic-media-cdn.tripadvisor.com/media/photo-o/1c/e7/04/0d/front-of-the-local-easily.jpg</v>
      </c>
    </row>
    <row r="61" spans="1:13" x14ac:dyDescent="0.3">
      <c r="A61" t="s">
        <v>91</v>
      </c>
      <c r="B61" s="1">
        <v>45459</v>
      </c>
      <c r="C61" t="s">
        <v>36</v>
      </c>
      <c r="D61" t="s">
        <v>25</v>
      </c>
      <c r="E61">
        <v>59</v>
      </c>
      <c r="F61" t="s">
        <v>28</v>
      </c>
      <c r="G61">
        <v>371.31</v>
      </c>
      <c r="H61">
        <v>24</v>
      </c>
      <c r="I61" t="s">
        <v>22</v>
      </c>
      <c r="J61">
        <v>3.7</v>
      </c>
      <c r="K61" t="s">
        <v>29</v>
      </c>
      <c r="L61" t="s">
        <v>23</v>
      </c>
      <c r="M61" t="str">
        <f>VLOOKUP(D65,Restaurant_Master!A:B,2,FALSE)</f>
        <v>https://dynamic-media-cdn.tripadvisor.com/media/photo-o/1c/e7/04/0d/front-of-the-local-easily.jpg</v>
      </c>
    </row>
    <row r="62" spans="1:13" x14ac:dyDescent="0.3">
      <c r="A62" t="s">
        <v>92</v>
      </c>
      <c r="B62" s="1">
        <v>45583</v>
      </c>
      <c r="C62" t="s">
        <v>43</v>
      </c>
      <c r="D62" t="s">
        <v>32</v>
      </c>
      <c r="E62">
        <v>37</v>
      </c>
      <c r="F62" t="s">
        <v>15</v>
      </c>
      <c r="G62">
        <v>499.88</v>
      </c>
      <c r="H62">
        <v>31</v>
      </c>
      <c r="I62" t="s">
        <v>22</v>
      </c>
      <c r="J62">
        <v>3</v>
      </c>
      <c r="K62" t="s">
        <v>41</v>
      </c>
      <c r="L62" t="s">
        <v>23</v>
      </c>
      <c r="M62" t="str">
        <f>VLOOKUP(D66,Restaurant_Master!A:B,2,FALSE)</f>
        <v>https://www.chatswoodinterchange.com/storages/2018/08/Sushi-World_666x448.jpg</v>
      </c>
    </row>
    <row r="63" spans="1:13" x14ac:dyDescent="0.3">
      <c r="A63" t="s">
        <v>93</v>
      </c>
      <c r="B63" s="1">
        <v>45349</v>
      </c>
      <c r="C63" t="s">
        <v>13</v>
      </c>
      <c r="D63" t="s">
        <v>21</v>
      </c>
      <c r="E63">
        <v>46</v>
      </c>
      <c r="F63" t="s">
        <v>28</v>
      </c>
      <c r="G63">
        <v>417.82</v>
      </c>
      <c r="H63">
        <v>52</v>
      </c>
      <c r="I63" t="s">
        <v>16</v>
      </c>
      <c r="J63">
        <v>2.8</v>
      </c>
      <c r="K63" t="s">
        <v>41</v>
      </c>
      <c r="L63" t="s">
        <v>23</v>
      </c>
      <c r="M63" t="str">
        <f>VLOOKUP(D67,Restaurant_Master!A:B,2,FALSE)</f>
        <v>https://media-cdn.tripadvisor.com/media/photo-s/1c/c7/97/b6/photo6jpg.jpg</v>
      </c>
    </row>
    <row r="64" spans="1:13" x14ac:dyDescent="0.3">
      <c r="A64" t="s">
        <v>94</v>
      </c>
      <c r="B64" s="1">
        <v>45467</v>
      </c>
      <c r="C64" t="s">
        <v>36</v>
      </c>
      <c r="D64" t="s">
        <v>21</v>
      </c>
      <c r="E64">
        <v>23</v>
      </c>
      <c r="F64" t="s">
        <v>28</v>
      </c>
      <c r="G64">
        <v>386.67</v>
      </c>
      <c r="H64">
        <v>44</v>
      </c>
      <c r="I64" t="s">
        <v>16</v>
      </c>
      <c r="J64">
        <v>2.9</v>
      </c>
      <c r="K64" t="s">
        <v>26</v>
      </c>
      <c r="L64" t="s">
        <v>23</v>
      </c>
      <c r="M64" t="str">
        <f>VLOOKUP(D68,Restaurant_Master!A:B,2,FALSE)</f>
        <v>https://media-cdn.tripadvisor.com/media/photo-s/1c/c7/97/b6/photo6jpg.jpg</v>
      </c>
    </row>
    <row r="65" spans="1:13" x14ac:dyDescent="0.3">
      <c r="A65" t="s">
        <v>95</v>
      </c>
      <c r="B65" s="1">
        <v>45577</v>
      </c>
      <c r="C65" t="s">
        <v>36</v>
      </c>
      <c r="D65" t="s">
        <v>21</v>
      </c>
      <c r="E65">
        <v>53</v>
      </c>
      <c r="F65" t="s">
        <v>28</v>
      </c>
      <c r="G65">
        <v>706.65</v>
      </c>
      <c r="H65">
        <v>58</v>
      </c>
      <c r="I65" t="s">
        <v>16</v>
      </c>
      <c r="J65">
        <v>3.5</v>
      </c>
      <c r="K65" t="s">
        <v>17</v>
      </c>
      <c r="L65" t="s">
        <v>18</v>
      </c>
      <c r="M65" t="str">
        <f>VLOOKUP(D69,Restaurant_Master!A:B,2,FALSE)</f>
        <v>https://media-cdn.tripadvisor.com/media/photo-s/1c/c7/97/b6/photo6jpg.jpg</v>
      </c>
    </row>
    <row r="66" spans="1:13" x14ac:dyDescent="0.3">
      <c r="A66" t="s">
        <v>96</v>
      </c>
      <c r="B66" s="1">
        <v>45494</v>
      </c>
      <c r="C66" t="s">
        <v>34</v>
      </c>
      <c r="D66" t="s">
        <v>38</v>
      </c>
      <c r="E66">
        <v>37</v>
      </c>
      <c r="F66" t="s">
        <v>28</v>
      </c>
      <c r="G66">
        <v>735.2</v>
      </c>
      <c r="H66">
        <v>51</v>
      </c>
      <c r="I66" t="s">
        <v>16</v>
      </c>
      <c r="J66">
        <v>3.4</v>
      </c>
      <c r="K66" t="s">
        <v>17</v>
      </c>
      <c r="L66" t="s">
        <v>23</v>
      </c>
      <c r="M66" t="str">
        <f>VLOOKUP(D70,Restaurant_Master!A:B,2,FALSE)</f>
        <v>https://content.jdmagicbox.com/comp/deoria/g6/9999p5568.5568.200119143033.m4g6/catalogue/biryani-house-deoria-ho-deoria-mktc2xph0o.jpg</v>
      </c>
    </row>
    <row r="67" spans="1:13" x14ac:dyDescent="0.3">
      <c r="A67" t="s">
        <v>97</v>
      </c>
      <c r="B67" s="1">
        <v>45537</v>
      </c>
      <c r="C67" t="s">
        <v>20</v>
      </c>
      <c r="D67" t="s">
        <v>25</v>
      </c>
      <c r="E67">
        <v>46</v>
      </c>
      <c r="F67" t="s">
        <v>28</v>
      </c>
      <c r="G67">
        <v>424.96</v>
      </c>
      <c r="H67">
        <v>36</v>
      </c>
      <c r="I67" t="s">
        <v>22</v>
      </c>
      <c r="J67">
        <v>3.1</v>
      </c>
      <c r="K67" t="s">
        <v>26</v>
      </c>
      <c r="L67" t="s">
        <v>18</v>
      </c>
      <c r="M67" t="str">
        <f>VLOOKUP(D71,Restaurant_Master!A:B,2,FALSE)</f>
        <v>https://content.jdmagicbox.com/comp/deoria/g6/9999p5568.5568.200119143033.m4g6/catalogue/biryani-house-deoria-ho-deoria-mktc2xph0o.jpg</v>
      </c>
    </row>
    <row r="68" spans="1:13" x14ac:dyDescent="0.3">
      <c r="A68" t="s">
        <v>98</v>
      </c>
      <c r="B68" s="1">
        <v>45656</v>
      </c>
      <c r="C68" t="s">
        <v>34</v>
      </c>
      <c r="D68" t="s">
        <v>25</v>
      </c>
      <c r="E68">
        <v>54</v>
      </c>
      <c r="F68" t="s">
        <v>28</v>
      </c>
      <c r="G68">
        <v>402.5</v>
      </c>
      <c r="H68">
        <v>40</v>
      </c>
      <c r="I68" t="s">
        <v>22</v>
      </c>
      <c r="J68">
        <v>3.3</v>
      </c>
      <c r="K68" t="s">
        <v>17</v>
      </c>
      <c r="L68" t="s">
        <v>18</v>
      </c>
      <c r="M68" t="str">
        <f>VLOOKUP(D72,Restaurant_Master!A:B,2,FALSE)</f>
        <v>https://dineout-media-assets.swiggy.com/swiggy/image/upload/fl_lossy,f_auto,q_auto/v1660793737/fdqxvxcxg1wtdwvyv45v.jpg</v>
      </c>
    </row>
    <row r="69" spans="1:13" x14ac:dyDescent="0.3">
      <c r="A69" t="s">
        <v>99</v>
      </c>
      <c r="B69" s="1">
        <v>45591</v>
      </c>
      <c r="C69" t="s">
        <v>20</v>
      </c>
      <c r="D69" t="s">
        <v>25</v>
      </c>
      <c r="E69">
        <v>57</v>
      </c>
      <c r="F69" t="s">
        <v>15</v>
      </c>
      <c r="G69">
        <v>488.79</v>
      </c>
      <c r="H69">
        <v>48</v>
      </c>
      <c r="I69" t="s">
        <v>16</v>
      </c>
      <c r="J69">
        <v>3.6</v>
      </c>
      <c r="K69" t="s">
        <v>17</v>
      </c>
      <c r="L69" t="s">
        <v>23</v>
      </c>
      <c r="M69" t="str">
        <f>VLOOKUP(D73,Restaurant_Master!A:B,2,FALSE)</f>
        <v>https://media-cdn.tripadvisor.com/media/photo-s/1c/c7/97/b6/photo6jpg.jpg</v>
      </c>
    </row>
    <row r="70" spans="1:13" x14ac:dyDescent="0.3">
      <c r="A70" t="s">
        <v>100</v>
      </c>
      <c r="B70" s="1">
        <v>45437</v>
      </c>
      <c r="C70" t="s">
        <v>36</v>
      </c>
      <c r="D70" t="s">
        <v>32</v>
      </c>
      <c r="E70">
        <v>60</v>
      </c>
      <c r="F70" t="s">
        <v>28</v>
      </c>
      <c r="G70">
        <v>1152.2</v>
      </c>
      <c r="H70">
        <v>57</v>
      </c>
      <c r="I70" t="s">
        <v>16</v>
      </c>
      <c r="J70">
        <v>3.7</v>
      </c>
      <c r="K70" t="s">
        <v>29</v>
      </c>
      <c r="L70" t="s">
        <v>23</v>
      </c>
      <c r="M70" t="str">
        <f>VLOOKUP(D74,Restaurant_Master!A:B,2,FALSE)</f>
        <v>https://www.chatswoodinterchange.com/storages/2018/08/Sushi-World_666x448.jpg</v>
      </c>
    </row>
    <row r="71" spans="1:13" x14ac:dyDescent="0.3">
      <c r="A71" t="s">
        <v>101</v>
      </c>
      <c r="B71" s="1">
        <v>45333</v>
      </c>
      <c r="C71" t="s">
        <v>13</v>
      </c>
      <c r="D71" t="s">
        <v>32</v>
      </c>
      <c r="E71">
        <v>37</v>
      </c>
      <c r="F71" t="s">
        <v>28</v>
      </c>
      <c r="G71">
        <v>164.23</v>
      </c>
      <c r="H71">
        <v>23</v>
      </c>
      <c r="I71" t="s">
        <v>22</v>
      </c>
      <c r="J71">
        <v>3.8</v>
      </c>
      <c r="K71" t="s">
        <v>26</v>
      </c>
      <c r="L71" t="s">
        <v>23</v>
      </c>
      <c r="M71" t="str">
        <f>VLOOKUP(D75,Restaurant_Master!A:B,2,FALSE)</f>
        <v>https://media-cdn.tripadvisor.com/media/photo-s/1c/c7/97/b6/photo6jpg.jpg</v>
      </c>
    </row>
    <row r="72" spans="1:13" x14ac:dyDescent="0.3">
      <c r="A72" t="s">
        <v>102</v>
      </c>
      <c r="B72" s="1">
        <v>45435</v>
      </c>
      <c r="C72" t="s">
        <v>20</v>
      </c>
      <c r="D72" t="s">
        <v>14</v>
      </c>
      <c r="E72">
        <v>42</v>
      </c>
      <c r="F72" t="s">
        <v>15</v>
      </c>
      <c r="G72">
        <v>185.07</v>
      </c>
      <c r="H72">
        <v>44</v>
      </c>
      <c r="I72" t="s">
        <v>16</v>
      </c>
      <c r="J72">
        <v>3</v>
      </c>
      <c r="K72" t="s">
        <v>41</v>
      </c>
      <c r="L72" t="s">
        <v>23</v>
      </c>
      <c r="M72" t="str">
        <f>VLOOKUP(D76,Restaurant_Master!A:B,2,FALSE)</f>
        <v>https://dineout-media-assets.swiggy.com/swiggy/image/upload/fl_lossy,f_auto,q_auto/v1660793737/fdqxvxcxg1wtdwvyv45v.jpg</v>
      </c>
    </row>
    <row r="73" spans="1:13" x14ac:dyDescent="0.3">
      <c r="A73" t="s">
        <v>103</v>
      </c>
      <c r="B73" s="1">
        <v>45304</v>
      </c>
      <c r="C73" t="s">
        <v>20</v>
      </c>
      <c r="D73" t="s">
        <v>25</v>
      </c>
      <c r="E73">
        <v>39</v>
      </c>
      <c r="F73" t="s">
        <v>15</v>
      </c>
      <c r="G73">
        <v>397.67</v>
      </c>
      <c r="H73">
        <v>59</v>
      </c>
      <c r="I73" t="s">
        <v>16</v>
      </c>
      <c r="J73">
        <v>4.3</v>
      </c>
      <c r="K73" t="s">
        <v>17</v>
      </c>
      <c r="L73" t="s">
        <v>23</v>
      </c>
      <c r="M73" t="str">
        <f>VLOOKUP(D77,Restaurant_Master!A:B,2,FALSE)</f>
        <v>https://media-cdn.tripadvisor.com/media/photo-s/1c/c7/97/b6/photo6jpg.jpg</v>
      </c>
    </row>
    <row r="74" spans="1:13" x14ac:dyDescent="0.3">
      <c r="A74" t="s">
        <v>104</v>
      </c>
      <c r="B74" s="1">
        <v>45562</v>
      </c>
      <c r="C74" t="s">
        <v>20</v>
      </c>
      <c r="D74" t="s">
        <v>38</v>
      </c>
      <c r="E74">
        <v>47</v>
      </c>
      <c r="F74" t="s">
        <v>15</v>
      </c>
      <c r="G74">
        <v>1189.72</v>
      </c>
      <c r="H74">
        <v>41</v>
      </c>
      <c r="I74" t="s">
        <v>16</v>
      </c>
      <c r="J74">
        <v>3.7</v>
      </c>
      <c r="K74" t="s">
        <v>26</v>
      </c>
      <c r="L74" t="s">
        <v>18</v>
      </c>
      <c r="M74" t="str">
        <f>VLOOKUP(D78,Restaurant_Master!A:B,2,FALSE)</f>
        <v>https://dineout-media-assets.swiggy.com/swiggy/image/upload/fl_lossy,f_auto,q_auto/v1660793737/fdqxvxcxg1wtdwvyv45v.jpg</v>
      </c>
    </row>
    <row r="75" spans="1:13" x14ac:dyDescent="0.3">
      <c r="A75" t="s">
        <v>105</v>
      </c>
      <c r="B75" s="1">
        <v>45402</v>
      </c>
      <c r="C75" t="s">
        <v>34</v>
      </c>
      <c r="D75" t="s">
        <v>25</v>
      </c>
      <c r="E75">
        <v>45</v>
      </c>
      <c r="F75" t="s">
        <v>15</v>
      </c>
      <c r="G75">
        <v>567.62</v>
      </c>
      <c r="H75">
        <v>46</v>
      </c>
      <c r="I75" t="s">
        <v>16</v>
      </c>
      <c r="J75">
        <v>3.7</v>
      </c>
      <c r="K75" t="s">
        <v>41</v>
      </c>
      <c r="L75" t="s">
        <v>23</v>
      </c>
      <c r="M75" t="str">
        <f>VLOOKUP(D79,Restaurant_Master!A:B,2,FALSE)</f>
        <v>https://dineout-media-assets.swiggy.com/swiggy/image/upload/fl_lossy,f_auto,q_auto/v1660793737/fdqxvxcxg1wtdwvyv45v.jpg</v>
      </c>
    </row>
    <row r="76" spans="1:13" x14ac:dyDescent="0.3">
      <c r="A76" t="s">
        <v>106</v>
      </c>
      <c r="B76" s="1">
        <v>45294</v>
      </c>
      <c r="C76" t="s">
        <v>20</v>
      </c>
      <c r="D76" t="s">
        <v>14</v>
      </c>
      <c r="E76">
        <v>23</v>
      </c>
      <c r="F76" t="s">
        <v>15</v>
      </c>
      <c r="G76">
        <v>590.19000000000005</v>
      </c>
      <c r="H76">
        <v>44</v>
      </c>
      <c r="I76" t="s">
        <v>16</v>
      </c>
      <c r="J76">
        <v>3.5</v>
      </c>
      <c r="K76" t="s">
        <v>17</v>
      </c>
      <c r="L76" t="s">
        <v>23</v>
      </c>
      <c r="M76" t="str">
        <f>VLOOKUP(D80,Restaurant_Master!A:B,2,FALSE)</f>
        <v>https://content.jdmagicbox.com/comp/deoria/g6/9999p5568.5568.200119143033.m4g6/catalogue/biryani-house-deoria-ho-deoria-mktc2xph0o.jpg</v>
      </c>
    </row>
    <row r="77" spans="1:13" x14ac:dyDescent="0.3">
      <c r="A77" t="s">
        <v>107</v>
      </c>
      <c r="B77" s="1">
        <v>45294</v>
      </c>
      <c r="C77" t="s">
        <v>34</v>
      </c>
      <c r="D77" t="s">
        <v>25</v>
      </c>
      <c r="E77">
        <v>25</v>
      </c>
      <c r="F77" t="s">
        <v>28</v>
      </c>
      <c r="G77">
        <v>401.17</v>
      </c>
      <c r="H77">
        <v>32</v>
      </c>
      <c r="I77" t="s">
        <v>22</v>
      </c>
      <c r="J77">
        <v>3.7</v>
      </c>
      <c r="K77" t="s">
        <v>26</v>
      </c>
      <c r="L77" t="s">
        <v>23</v>
      </c>
      <c r="M77" t="str">
        <f>VLOOKUP(D81,Restaurant_Master!A:B,2,FALSE)</f>
        <v>https://www.chatswoodinterchange.com/storages/2018/08/Sushi-World_666x448.jpg</v>
      </c>
    </row>
    <row r="78" spans="1:13" x14ac:dyDescent="0.3">
      <c r="A78" t="s">
        <v>108</v>
      </c>
      <c r="B78" s="1">
        <v>45629</v>
      </c>
      <c r="C78" t="s">
        <v>34</v>
      </c>
      <c r="D78" t="s">
        <v>14</v>
      </c>
      <c r="E78">
        <v>49</v>
      </c>
      <c r="F78" t="s">
        <v>15</v>
      </c>
      <c r="G78">
        <v>578.16</v>
      </c>
      <c r="H78">
        <v>24</v>
      </c>
      <c r="I78" t="s">
        <v>22</v>
      </c>
      <c r="J78">
        <v>3.9</v>
      </c>
      <c r="K78" t="s">
        <v>26</v>
      </c>
      <c r="L78" t="s">
        <v>23</v>
      </c>
      <c r="M78" t="str">
        <f>VLOOKUP(D82,Restaurant_Master!A:B,2,FALSE)</f>
        <v>https://www.chatswoodinterchange.com/storages/2018/08/Sushi-World_666x448.jpg</v>
      </c>
    </row>
    <row r="79" spans="1:13" x14ac:dyDescent="0.3">
      <c r="A79" t="s">
        <v>109</v>
      </c>
      <c r="B79" s="1">
        <v>45335</v>
      </c>
      <c r="C79" t="s">
        <v>43</v>
      </c>
      <c r="D79" t="s">
        <v>14</v>
      </c>
      <c r="E79">
        <v>59</v>
      </c>
      <c r="F79" t="s">
        <v>15</v>
      </c>
      <c r="G79">
        <v>661.39</v>
      </c>
      <c r="H79">
        <v>39</v>
      </c>
      <c r="I79" t="s">
        <v>22</v>
      </c>
      <c r="J79">
        <v>3.2</v>
      </c>
      <c r="K79" t="s">
        <v>29</v>
      </c>
      <c r="L79" t="s">
        <v>18</v>
      </c>
      <c r="M79" t="str">
        <f>VLOOKUP(D83,Restaurant_Master!A:B,2,FALSE)</f>
        <v>https://content.jdmagicbox.com/comp/deoria/g6/9999p5568.5568.200119143033.m4g6/catalogue/biryani-house-deoria-ho-deoria-mktc2xph0o.jpg</v>
      </c>
    </row>
    <row r="80" spans="1:13" x14ac:dyDescent="0.3">
      <c r="A80" t="s">
        <v>110</v>
      </c>
      <c r="B80" s="1">
        <v>45656</v>
      </c>
      <c r="C80" t="s">
        <v>36</v>
      </c>
      <c r="D80" t="s">
        <v>32</v>
      </c>
      <c r="E80">
        <v>54</v>
      </c>
      <c r="F80" t="s">
        <v>28</v>
      </c>
      <c r="G80">
        <v>803.07</v>
      </c>
      <c r="H80">
        <v>54</v>
      </c>
      <c r="I80" t="s">
        <v>16</v>
      </c>
      <c r="J80">
        <v>4.9000000000000004</v>
      </c>
      <c r="K80" t="s">
        <v>26</v>
      </c>
      <c r="L80" t="s">
        <v>18</v>
      </c>
      <c r="M80" t="str">
        <f>VLOOKUP(D84,Restaurant_Master!A:B,2,FALSE)</f>
        <v>https://media-cdn.tripadvisor.com/media/photo-s/1c/c7/97/b6/photo6jpg.jpg</v>
      </c>
    </row>
    <row r="81" spans="1:13" x14ac:dyDescent="0.3">
      <c r="A81" t="s">
        <v>111</v>
      </c>
      <c r="B81" s="1">
        <v>45638</v>
      </c>
      <c r="C81" t="s">
        <v>36</v>
      </c>
      <c r="D81" t="s">
        <v>38</v>
      </c>
      <c r="E81">
        <v>18</v>
      </c>
      <c r="F81" t="s">
        <v>15</v>
      </c>
      <c r="G81">
        <v>665.99</v>
      </c>
      <c r="H81">
        <v>20</v>
      </c>
      <c r="I81" t="s">
        <v>22</v>
      </c>
      <c r="J81">
        <v>2.9</v>
      </c>
      <c r="K81" t="s">
        <v>41</v>
      </c>
      <c r="L81" t="s">
        <v>18</v>
      </c>
      <c r="M81" t="str">
        <f>VLOOKUP(D85,Restaurant_Master!A:B,2,FALSE)</f>
        <v>https://content.jdmagicbox.com/comp/deoria/g6/9999p5568.5568.200119143033.m4g6/catalogue/biryani-house-deoria-ho-deoria-mktc2xph0o.jpg</v>
      </c>
    </row>
    <row r="82" spans="1:13" x14ac:dyDescent="0.3">
      <c r="A82" t="s">
        <v>112</v>
      </c>
      <c r="B82" s="1">
        <v>45299</v>
      </c>
      <c r="C82" t="s">
        <v>34</v>
      </c>
      <c r="D82" t="s">
        <v>38</v>
      </c>
      <c r="E82">
        <v>43</v>
      </c>
      <c r="F82" t="s">
        <v>28</v>
      </c>
      <c r="G82">
        <v>896.96</v>
      </c>
      <c r="H82">
        <v>60</v>
      </c>
      <c r="I82" t="s">
        <v>16</v>
      </c>
      <c r="J82">
        <v>4.3</v>
      </c>
      <c r="K82" t="s">
        <v>29</v>
      </c>
      <c r="L82" t="s">
        <v>23</v>
      </c>
      <c r="M82" t="str">
        <f>VLOOKUP(D86,Restaurant_Master!A:B,2,FALSE)</f>
        <v>https://dineout-media-assets.swiggy.com/swiggy/image/upload/fl_lossy,f_auto,q_auto/v1660793737/fdqxvxcxg1wtdwvyv45v.jpg</v>
      </c>
    </row>
    <row r="83" spans="1:13" x14ac:dyDescent="0.3">
      <c r="A83" t="s">
        <v>113</v>
      </c>
      <c r="B83" s="1">
        <v>45626</v>
      </c>
      <c r="C83" t="s">
        <v>43</v>
      </c>
      <c r="D83" t="s">
        <v>32</v>
      </c>
      <c r="E83">
        <v>37</v>
      </c>
      <c r="F83" t="s">
        <v>15</v>
      </c>
      <c r="G83">
        <v>294.86</v>
      </c>
      <c r="H83">
        <v>38</v>
      </c>
      <c r="I83" t="s">
        <v>22</v>
      </c>
      <c r="J83">
        <v>2.8</v>
      </c>
      <c r="K83" t="s">
        <v>41</v>
      </c>
      <c r="L83" t="s">
        <v>18</v>
      </c>
      <c r="M83" t="str">
        <f>VLOOKUP(D87,Restaurant_Master!A:B,2,FALSE)</f>
        <v>https://media-cdn.tripadvisor.com/media/photo-s/1c/c7/97/b6/photo6jpg.jpg</v>
      </c>
    </row>
    <row r="84" spans="1:13" x14ac:dyDescent="0.3">
      <c r="A84" t="s">
        <v>114</v>
      </c>
      <c r="B84" s="1">
        <v>45328</v>
      </c>
      <c r="C84" t="s">
        <v>34</v>
      </c>
      <c r="D84" t="s">
        <v>25</v>
      </c>
      <c r="E84">
        <v>52</v>
      </c>
      <c r="F84" t="s">
        <v>28</v>
      </c>
      <c r="G84">
        <v>1158.28</v>
      </c>
      <c r="H84">
        <v>43</v>
      </c>
      <c r="I84" t="s">
        <v>16</v>
      </c>
      <c r="J84">
        <v>3.1</v>
      </c>
      <c r="K84" t="s">
        <v>29</v>
      </c>
      <c r="L84" t="s">
        <v>23</v>
      </c>
      <c r="M84" t="str">
        <f>VLOOKUP(D88,Restaurant_Master!A:B,2,FALSE)</f>
        <v>https://dineout-media-assets.swiggy.com/swiggy/image/upload/fl_lossy,f_auto,q_auto/v1660793737/fdqxvxcxg1wtdwvyv45v.jpg</v>
      </c>
    </row>
    <row r="85" spans="1:13" x14ac:dyDescent="0.3">
      <c r="A85" t="s">
        <v>115</v>
      </c>
      <c r="B85" s="1">
        <v>45636</v>
      </c>
      <c r="C85" t="s">
        <v>34</v>
      </c>
      <c r="D85" t="s">
        <v>32</v>
      </c>
      <c r="E85">
        <v>45</v>
      </c>
      <c r="F85" t="s">
        <v>15</v>
      </c>
      <c r="G85">
        <v>392.44</v>
      </c>
      <c r="H85">
        <v>60</v>
      </c>
      <c r="I85" t="s">
        <v>16</v>
      </c>
      <c r="J85">
        <v>3</v>
      </c>
      <c r="K85" t="s">
        <v>41</v>
      </c>
      <c r="L85" t="s">
        <v>23</v>
      </c>
      <c r="M85" t="str">
        <f>VLOOKUP(D89,Restaurant_Master!A:B,2,FALSE)</f>
        <v>https://dineout-media-assets.swiggy.com/swiggy/image/upload/fl_lossy,f_auto,q_auto/v1660793737/fdqxvxcxg1wtdwvyv45v.jpg</v>
      </c>
    </row>
    <row r="86" spans="1:13" x14ac:dyDescent="0.3">
      <c r="A86" t="s">
        <v>116</v>
      </c>
      <c r="B86" s="1">
        <v>45455</v>
      </c>
      <c r="C86" t="s">
        <v>43</v>
      </c>
      <c r="D86" t="s">
        <v>14</v>
      </c>
      <c r="E86">
        <v>33</v>
      </c>
      <c r="F86" t="s">
        <v>15</v>
      </c>
      <c r="G86">
        <v>726.05</v>
      </c>
      <c r="H86">
        <v>31</v>
      </c>
      <c r="I86" t="s">
        <v>22</v>
      </c>
      <c r="J86">
        <v>3.6</v>
      </c>
      <c r="K86" t="s">
        <v>17</v>
      </c>
      <c r="L86" t="s">
        <v>23</v>
      </c>
      <c r="M86" t="str">
        <f>VLOOKUP(D90,Restaurant_Master!A:B,2,FALSE)</f>
        <v>https://media-cdn.tripadvisor.com/media/photo-s/1c/c7/97/b6/photo6jpg.jpg</v>
      </c>
    </row>
    <row r="87" spans="1:13" x14ac:dyDescent="0.3">
      <c r="A87" t="s">
        <v>117</v>
      </c>
      <c r="B87" s="1">
        <v>45483</v>
      </c>
      <c r="C87" t="s">
        <v>13</v>
      </c>
      <c r="D87" t="s">
        <v>25</v>
      </c>
      <c r="E87">
        <v>60</v>
      </c>
      <c r="F87" t="s">
        <v>28</v>
      </c>
      <c r="G87">
        <v>1088.78</v>
      </c>
      <c r="H87">
        <v>55</v>
      </c>
      <c r="I87" t="s">
        <v>16</v>
      </c>
      <c r="J87">
        <v>3.3</v>
      </c>
      <c r="K87" t="s">
        <v>17</v>
      </c>
      <c r="L87" t="s">
        <v>23</v>
      </c>
      <c r="M87" t="str">
        <f>VLOOKUP(D91,Restaurant_Master!A:B,2,FALSE)</f>
        <v>https://dineout-media-assets.swiggy.com/swiggy/image/upload/fl_lossy,f_auto,q_auto/v1660793737/fdqxvxcxg1wtdwvyv45v.jpg</v>
      </c>
    </row>
    <row r="88" spans="1:13" x14ac:dyDescent="0.3">
      <c r="A88" t="s">
        <v>118</v>
      </c>
      <c r="B88" s="1">
        <v>45294</v>
      </c>
      <c r="C88" t="s">
        <v>43</v>
      </c>
      <c r="D88" t="s">
        <v>14</v>
      </c>
      <c r="E88">
        <v>34</v>
      </c>
      <c r="F88" t="s">
        <v>15</v>
      </c>
      <c r="G88">
        <v>932.11</v>
      </c>
      <c r="H88">
        <v>20</v>
      </c>
      <c r="I88" t="s">
        <v>22</v>
      </c>
      <c r="J88">
        <v>3</v>
      </c>
      <c r="K88" t="s">
        <v>29</v>
      </c>
      <c r="L88" t="s">
        <v>23</v>
      </c>
      <c r="M88" t="str">
        <f>VLOOKUP(D92,Restaurant_Master!A:B,2,FALSE)</f>
        <v>https://dineout-media-assets.swiggy.com/swiggy/image/upload/fl_lossy,f_auto,q_auto/v1660793737/fdqxvxcxg1wtdwvyv45v.jpg</v>
      </c>
    </row>
    <row r="89" spans="1:13" x14ac:dyDescent="0.3">
      <c r="A89" t="s">
        <v>119</v>
      </c>
      <c r="B89" s="1">
        <v>45411</v>
      </c>
      <c r="C89" t="s">
        <v>43</v>
      </c>
      <c r="D89" t="s">
        <v>14</v>
      </c>
      <c r="E89">
        <v>18</v>
      </c>
      <c r="F89" t="s">
        <v>28</v>
      </c>
      <c r="G89">
        <v>509.44</v>
      </c>
      <c r="H89">
        <v>58</v>
      </c>
      <c r="I89" t="s">
        <v>16</v>
      </c>
      <c r="J89">
        <v>4.7</v>
      </c>
      <c r="K89" t="s">
        <v>29</v>
      </c>
      <c r="L89" t="s">
        <v>23</v>
      </c>
      <c r="M89" t="str">
        <f>VLOOKUP(D93,Restaurant_Master!A:B,2,FALSE)</f>
        <v>https://dineout-media-assets.swiggy.com/swiggy/image/upload/fl_lossy,f_auto,q_auto/v1660793737/fdqxvxcxg1wtdwvyv45v.jpg</v>
      </c>
    </row>
    <row r="90" spans="1:13" x14ac:dyDescent="0.3">
      <c r="A90" t="s">
        <v>120</v>
      </c>
      <c r="B90" s="1">
        <v>45463</v>
      </c>
      <c r="C90" t="s">
        <v>20</v>
      </c>
      <c r="D90" t="s">
        <v>25</v>
      </c>
      <c r="E90">
        <v>52</v>
      </c>
      <c r="F90" t="s">
        <v>28</v>
      </c>
      <c r="G90">
        <v>1172.46</v>
      </c>
      <c r="H90">
        <v>28</v>
      </c>
      <c r="I90" t="s">
        <v>22</v>
      </c>
      <c r="J90">
        <v>4.0999999999999996</v>
      </c>
      <c r="K90" t="s">
        <v>26</v>
      </c>
      <c r="L90" t="s">
        <v>18</v>
      </c>
      <c r="M90" t="str">
        <f>VLOOKUP(D94,Restaurant_Master!A:B,2,FALSE)</f>
        <v>https://dynamic-media-cdn.tripadvisor.com/media/photo-o/1c/e7/04/0d/front-of-the-local-easily.jpg</v>
      </c>
    </row>
    <row r="91" spans="1:13" x14ac:dyDescent="0.3">
      <c r="A91" t="s">
        <v>121</v>
      </c>
      <c r="B91" s="1">
        <v>45344</v>
      </c>
      <c r="C91" t="s">
        <v>13</v>
      </c>
      <c r="D91" t="s">
        <v>14</v>
      </c>
      <c r="E91">
        <v>20</v>
      </c>
      <c r="F91" t="s">
        <v>28</v>
      </c>
      <c r="G91">
        <v>1082.3499999999999</v>
      </c>
      <c r="H91">
        <v>34</v>
      </c>
      <c r="I91" t="s">
        <v>22</v>
      </c>
      <c r="J91">
        <v>4</v>
      </c>
      <c r="K91" t="s">
        <v>17</v>
      </c>
      <c r="L91" t="s">
        <v>18</v>
      </c>
      <c r="M91" t="str">
        <f>VLOOKUP(D95,Restaurant_Master!A:B,2,FALSE)</f>
        <v>https://dynamic-media-cdn.tripadvisor.com/media/photo-o/1c/e7/04/0d/front-of-the-local-easily.jpg</v>
      </c>
    </row>
    <row r="92" spans="1:13" x14ac:dyDescent="0.3">
      <c r="A92" t="s">
        <v>122</v>
      </c>
      <c r="B92" s="1">
        <v>45364</v>
      </c>
      <c r="C92" t="s">
        <v>20</v>
      </c>
      <c r="D92" t="s">
        <v>14</v>
      </c>
      <c r="E92">
        <v>21</v>
      </c>
      <c r="F92" t="s">
        <v>15</v>
      </c>
      <c r="G92">
        <v>494.97</v>
      </c>
      <c r="H92">
        <v>37</v>
      </c>
      <c r="I92" t="s">
        <v>22</v>
      </c>
      <c r="J92">
        <v>3.1</v>
      </c>
      <c r="K92" t="s">
        <v>26</v>
      </c>
      <c r="L92" t="s">
        <v>23</v>
      </c>
      <c r="M92" t="str">
        <f>VLOOKUP(D96,Restaurant_Master!A:B,2,FALSE)</f>
        <v>https://media-cdn.tripadvisor.com/media/photo-s/1c/c7/97/b6/photo6jpg.jpg</v>
      </c>
    </row>
    <row r="93" spans="1:13" x14ac:dyDescent="0.3">
      <c r="A93" t="s">
        <v>123</v>
      </c>
      <c r="B93" s="1">
        <v>45294</v>
      </c>
      <c r="C93" t="s">
        <v>34</v>
      </c>
      <c r="D93" t="s">
        <v>14</v>
      </c>
      <c r="E93">
        <v>47</v>
      </c>
      <c r="F93" t="s">
        <v>28</v>
      </c>
      <c r="G93">
        <v>501.23</v>
      </c>
      <c r="H93">
        <v>28</v>
      </c>
      <c r="I93" t="s">
        <v>22</v>
      </c>
      <c r="J93">
        <v>4.2</v>
      </c>
      <c r="K93" t="s">
        <v>17</v>
      </c>
      <c r="L93" t="s">
        <v>23</v>
      </c>
      <c r="M93" t="str">
        <f>VLOOKUP(D97,Restaurant_Master!A:B,2,FALSE)</f>
        <v>https://media-cdn.tripadvisor.com/media/photo-s/1c/c7/97/b6/photo6jpg.jpg</v>
      </c>
    </row>
    <row r="94" spans="1:13" x14ac:dyDescent="0.3">
      <c r="A94" t="s">
        <v>124</v>
      </c>
      <c r="B94" s="1">
        <v>45631</v>
      </c>
      <c r="C94" t="s">
        <v>34</v>
      </c>
      <c r="D94" t="s">
        <v>21</v>
      </c>
      <c r="E94">
        <v>46</v>
      </c>
      <c r="F94" t="s">
        <v>28</v>
      </c>
      <c r="G94">
        <v>907</v>
      </c>
      <c r="H94">
        <v>57</v>
      </c>
      <c r="I94" t="s">
        <v>16</v>
      </c>
      <c r="J94">
        <v>4.0999999999999996</v>
      </c>
      <c r="K94" t="s">
        <v>29</v>
      </c>
      <c r="L94" t="s">
        <v>18</v>
      </c>
      <c r="M94" t="str">
        <f>VLOOKUP(D98,Restaurant_Master!A:B,2,FALSE)</f>
        <v>https://content.jdmagicbox.com/comp/deoria/g6/9999p5568.5568.200119143033.m4g6/catalogue/biryani-house-deoria-ho-deoria-mktc2xph0o.jpg</v>
      </c>
    </row>
    <row r="95" spans="1:13" x14ac:dyDescent="0.3">
      <c r="A95" t="s">
        <v>125</v>
      </c>
      <c r="B95" s="1">
        <v>45391</v>
      </c>
      <c r="C95" t="s">
        <v>43</v>
      </c>
      <c r="D95" t="s">
        <v>21</v>
      </c>
      <c r="E95">
        <v>58</v>
      </c>
      <c r="F95" t="s">
        <v>28</v>
      </c>
      <c r="G95">
        <v>549.74</v>
      </c>
      <c r="H95">
        <v>45</v>
      </c>
      <c r="I95" t="s">
        <v>16</v>
      </c>
      <c r="J95">
        <v>3</v>
      </c>
      <c r="K95" t="s">
        <v>17</v>
      </c>
      <c r="L95" t="s">
        <v>18</v>
      </c>
      <c r="M95" t="str">
        <f>VLOOKUP(D99,Restaurant_Master!A:B,2,FALSE)</f>
        <v>https://content.jdmagicbox.com/comp/deoria/g6/9999p5568.5568.200119143033.m4g6/catalogue/biryani-house-deoria-ho-deoria-mktc2xph0o.jpg</v>
      </c>
    </row>
    <row r="96" spans="1:13" x14ac:dyDescent="0.3">
      <c r="A96" t="s">
        <v>126</v>
      </c>
      <c r="B96" s="1">
        <v>45508</v>
      </c>
      <c r="C96" t="s">
        <v>13</v>
      </c>
      <c r="D96" t="s">
        <v>25</v>
      </c>
      <c r="E96">
        <v>26</v>
      </c>
      <c r="F96" t="s">
        <v>28</v>
      </c>
      <c r="G96">
        <v>930.11</v>
      </c>
      <c r="H96">
        <v>27</v>
      </c>
      <c r="I96" t="s">
        <v>22</v>
      </c>
      <c r="J96">
        <v>3.4</v>
      </c>
      <c r="K96" t="s">
        <v>41</v>
      </c>
      <c r="L96" t="s">
        <v>23</v>
      </c>
      <c r="M96" t="str">
        <f>VLOOKUP(D100,Restaurant_Master!A:B,2,FALSE)</f>
        <v>https://content.jdmagicbox.com/comp/deoria/g6/9999p5568.5568.200119143033.m4g6/catalogue/biryani-house-deoria-ho-deoria-mktc2xph0o.jpg</v>
      </c>
    </row>
    <row r="97" spans="1:13" x14ac:dyDescent="0.3">
      <c r="A97" t="s">
        <v>127</v>
      </c>
      <c r="B97" s="1">
        <v>45626</v>
      </c>
      <c r="C97" t="s">
        <v>20</v>
      </c>
      <c r="D97" t="s">
        <v>25</v>
      </c>
      <c r="E97">
        <v>40</v>
      </c>
      <c r="F97" t="s">
        <v>15</v>
      </c>
      <c r="G97">
        <v>633.25</v>
      </c>
      <c r="H97">
        <v>35</v>
      </c>
      <c r="I97" t="s">
        <v>22</v>
      </c>
      <c r="J97">
        <v>4.8</v>
      </c>
      <c r="K97" t="s">
        <v>29</v>
      </c>
      <c r="L97" t="s">
        <v>23</v>
      </c>
      <c r="M97" t="str">
        <f>VLOOKUP(D101,Restaurant_Master!A:B,2,FALSE)</f>
        <v>https://media-cdn.tripadvisor.com/media/photo-s/1c/c7/97/b6/photo6jpg.jpg</v>
      </c>
    </row>
    <row r="98" spans="1:13" x14ac:dyDescent="0.3">
      <c r="A98" t="s">
        <v>128</v>
      </c>
      <c r="B98" s="1">
        <v>45391</v>
      </c>
      <c r="C98" t="s">
        <v>34</v>
      </c>
      <c r="D98" t="s">
        <v>32</v>
      </c>
      <c r="E98">
        <v>30</v>
      </c>
      <c r="F98" t="s">
        <v>28</v>
      </c>
      <c r="G98">
        <v>210.41</v>
      </c>
      <c r="H98">
        <v>46</v>
      </c>
      <c r="I98" t="s">
        <v>16</v>
      </c>
      <c r="J98">
        <v>4.9000000000000004</v>
      </c>
      <c r="K98" t="s">
        <v>41</v>
      </c>
      <c r="L98" t="s">
        <v>23</v>
      </c>
      <c r="M98" t="str">
        <f>VLOOKUP(D102,Restaurant_Master!A:B,2,FALSE)</f>
        <v>https://dineout-media-assets.swiggy.com/swiggy/image/upload/fl_lossy,f_auto,q_auto/v1660793737/fdqxvxcxg1wtdwvyv45v.jpg</v>
      </c>
    </row>
    <row r="99" spans="1:13" x14ac:dyDescent="0.3">
      <c r="A99" t="s">
        <v>129</v>
      </c>
      <c r="B99" s="1">
        <v>45579</v>
      </c>
      <c r="C99" t="s">
        <v>43</v>
      </c>
      <c r="D99" t="s">
        <v>32</v>
      </c>
      <c r="E99">
        <v>46</v>
      </c>
      <c r="F99" t="s">
        <v>28</v>
      </c>
      <c r="G99">
        <v>1078.08</v>
      </c>
      <c r="H99">
        <v>54</v>
      </c>
      <c r="I99" t="s">
        <v>16</v>
      </c>
      <c r="J99">
        <v>3.8</v>
      </c>
      <c r="K99" t="s">
        <v>17</v>
      </c>
      <c r="L99" t="s">
        <v>18</v>
      </c>
      <c r="M99" t="str">
        <f>VLOOKUP(D103,Restaurant_Master!A:B,2,FALSE)</f>
        <v>https://www.chatswoodinterchange.com/storages/2018/08/Sushi-World_666x448.jpg</v>
      </c>
    </row>
    <row r="100" spans="1:13" x14ac:dyDescent="0.3">
      <c r="A100" t="s">
        <v>130</v>
      </c>
      <c r="B100" s="1">
        <v>45463</v>
      </c>
      <c r="C100" t="s">
        <v>43</v>
      </c>
      <c r="D100" t="s">
        <v>32</v>
      </c>
      <c r="E100">
        <v>48</v>
      </c>
      <c r="F100" t="s">
        <v>28</v>
      </c>
      <c r="G100">
        <v>685.16</v>
      </c>
      <c r="H100">
        <v>28</v>
      </c>
      <c r="I100" t="s">
        <v>22</v>
      </c>
      <c r="J100">
        <v>4.5999999999999996</v>
      </c>
      <c r="K100" t="s">
        <v>26</v>
      </c>
      <c r="L100" t="s">
        <v>23</v>
      </c>
      <c r="M100" t="str">
        <f>VLOOKUP(D104,Restaurant_Master!A:B,2,FALSE)</f>
        <v>https://dineout-media-assets.swiggy.com/swiggy/image/upload/fl_lossy,f_auto,q_auto/v1660793737/fdqxvxcxg1wtdwvyv45v.jpg</v>
      </c>
    </row>
    <row r="101" spans="1:13" x14ac:dyDescent="0.3">
      <c r="A101" t="s">
        <v>131</v>
      </c>
      <c r="B101" s="1">
        <v>45366</v>
      </c>
      <c r="C101" t="s">
        <v>13</v>
      </c>
      <c r="D101" t="s">
        <v>25</v>
      </c>
      <c r="E101">
        <v>31</v>
      </c>
      <c r="F101" t="s">
        <v>15</v>
      </c>
      <c r="G101">
        <v>1127.03</v>
      </c>
      <c r="H101">
        <v>44</v>
      </c>
      <c r="I101" t="s">
        <v>16</v>
      </c>
      <c r="J101">
        <v>2.7</v>
      </c>
      <c r="K101" t="s">
        <v>26</v>
      </c>
      <c r="L101" t="s">
        <v>23</v>
      </c>
      <c r="M101" t="str">
        <f>VLOOKUP(D105,Restaurant_Master!A:B,2,FALSE)</f>
        <v>https://dineout-media-assets.swiggy.com/swiggy/image/upload/fl_lossy,f_auto,q_auto/v1660793737/fdqxvxcxg1wtdwvyv45v.jpg</v>
      </c>
    </row>
    <row r="102" spans="1:13" x14ac:dyDescent="0.3">
      <c r="A102" t="s">
        <v>132</v>
      </c>
      <c r="B102" s="1">
        <v>45629</v>
      </c>
      <c r="C102" t="s">
        <v>13</v>
      </c>
      <c r="D102" t="s">
        <v>14</v>
      </c>
      <c r="E102">
        <v>47</v>
      </c>
      <c r="F102" t="s">
        <v>15</v>
      </c>
      <c r="G102">
        <v>1069.6500000000001</v>
      </c>
      <c r="H102">
        <v>29</v>
      </c>
      <c r="I102" t="s">
        <v>22</v>
      </c>
      <c r="J102">
        <v>2.5</v>
      </c>
      <c r="K102" t="s">
        <v>41</v>
      </c>
      <c r="L102" t="s">
        <v>23</v>
      </c>
      <c r="M102" t="str">
        <f>VLOOKUP(D106,Restaurant_Master!A:B,2,FALSE)</f>
        <v>https://dynamic-media-cdn.tripadvisor.com/media/photo-o/1c/e7/04/0d/front-of-the-local-easily.jpg</v>
      </c>
    </row>
    <row r="103" spans="1:13" x14ac:dyDescent="0.3">
      <c r="A103" t="s">
        <v>133</v>
      </c>
      <c r="B103" s="1">
        <v>45434</v>
      </c>
      <c r="C103" t="s">
        <v>20</v>
      </c>
      <c r="D103" t="s">
        <v>38</v>
      </c>
      <c r="E103">
        <v>51</v>
      </c>
      <c r="F103" t="s">
        <v>28</v>
      </c>
      <c r="G103">
        <v>179.26</v>
      </c>
      <c r="H103">
        <v>21</v>
      </c>
      <c r="I103" t="s">
        <v>22</v>
      </c>
      <c r="J103">
        <v>3.3</v>
      </c>
      <c r="K103" t="s">
        <v>29</v>
      </c>
      <c r="L103" t="s">
        <v>23</v>
      </c>
      <c r="M103" t="str">
        <f>VLOOKUP(D107,Restaurant_Master!A:B,2,FALSE)</f>
        <v>https://media-cdn.tripadvisor.com/media/photo-s/1c/c7/97/b6/photo6jpg.jpg</v>
      </c>
    </row>
    <row r="104" spans="1:13" x14ac:dyDescent="0.3">
      <c r="A104" t="s">
        <v>134</v>
      </c>
      <c r="B104" s="1">
        <v>45597</v>
      </c>
      <c r="C104" t="s">
        <v>20</v>
      </c>
      <c r="D104" t="s">
        <v>14</v>
      </c>
      <c r="E104">
        <v>22</v>
      </c>
      <c r="F104" t="s">
        <v>15</v>
      </c>
      <c r="G104">
        <v>397.79</v>
      </c>
      <c r="H104">
        <v>60</v>
      </c>
      <c r="I104" t="s">
        <v>16</v>
      </c>
      <c r="J104">
        <v>4.3</v>
      </c>
      <c r="K104" t="s">
        <v>41</v>
      </c>
      <c r="L104" t="s">
        <v>23</v>
      </c>
      <c r="M104" t="str">
        <f>VLOOKUP(D108,Restaurant_Master!A:B,2,FALSE)</f>
        <v>https://media-cdn.tripadvisor.com/media/photo-s/1c/c7/97/b6/photo6jpg.jpg</v>
      </c>
    </row>
    <row r="105" spans="1:13" x14ac:dyDescent="0.3">
      <c r="A105" t="s">
        <v>135</v>
      </c>
      <c r="B105" s="1">
        <v>45541</v>
      </c>
      <c r="C105" t="s">
        <v>20</v>
      </c>
      <c r="D105" t="s">
        <v>14</v>
      </c>
      <c r="E105">
        <v>43</v>
      </c>
      <c r="F105" t="s">
        <v>28</v>
      </c>
      <c r="G105">
        <v>588.80999999999995</v>
      </c>
      <c r="H105">
        <v>30</v>
      </c>
      <c r="I105" t="s">
        <v>22</v>
      </c>
      <c r="J105">
        <v>4.8</v>
      </c>
      <c r="K105" t="s">
        <v>41</v>
      </c>
      <c r="L105" t="s">
        <v>23</v>
      </c>
      <c r="M105" t="str">
        <f>VLOOKUP(D109,Restaurant_Master!A:B,2,FALSE)</f>
        <v>https://dineout-media-assets.swiggy.com/swiggy/image/upload/fl_lossy,f_auto,q_auto/v1660793737/fdqxvxcxg1wtdwvyv45v.jpg</v>
      </c>
    </row>
    <row r="106" spans="1:13" x14ac:dyDescent="0.3">
      <c r="A106" t="s">
        <v>136</v>
      </c>
      <c r="B106" s="1">
        <v>45373</v>
      </c>
      <c r="C106" t="s">
        <v>13</v>
      </c>
      <c r="D106" t="s">
        <v>21</v>
      </c>
      <c r="E106">
        <v>38</v>
      </c>
      <c r="F106" t="s">
        <v>15</v>
      </c>
      <c r="G106">
        <v>701.7</v>
      </c>
      <c r="H106">
        <v>59</v>
      </c>
      <c r="I106" t="s">
        <v>16</v>
      </c>
      <c r="J106">
        <v>3.8</v>
      </c>
      <c r="K106" t="s">
        <v>17</v>
      </c>
      <c r="L106" t="s">
        <v>18</v>
      </c>
      <c r="M106" t="str">
        <f>VLOOKUP(D110,Restaurant_Master!A:B,2,FALSE)</f>
        <v>https://content.jdmagicbox.com/comp/deoria/g6/9999p5568.5568.200119143033.m4g6/catalogue/biryani-house-deoria-ho-deoria-mktc2xph0o.jpg</v>
      </c>
    </row>
    <row r="107" spans="1:13" x14ac:dyDescent="0.3">
      <c r="A107" t="s">
        <v>137</v>
      </c>
      <c r="B107" s="1">
        <v>45628</v>
      </c>
      <c r="C107" t="s">
        <v>20</v>
      </c>
      <c r="D107" t="s">
        <v>25</v>
      </c>
      <c r="E107">
        <v>20</v>
      </c>
      <c r="F107" t="s">
        <v>15</v>
      </c>
      <c r="G107">
        <v>654.91999999999996</v>
      </c>
      <c r="H107">
        <v>60</v>
      </c>
      <c r="I107" t="s">
        <v>16</v>
      </c>
      <c r="J107">
        <v>2.5</v>
      </c>
      <c r="K107" t="s">
        <v>17</v>
      </c>
      <c r="L107" t="s">
        <v>23</v>
      </c>
      <c r="M107" t="str">
        <f>VLOOKUP(D111,Restaurant_Master!A:B,2,FALSE)</f>
        <v>https://dynamic-media-cdn.tripadvisor.com/media/photo-o/1c/e7/04/0d/front-of-the-local-easily.jpg</v>
      </c>
    </row>
    <row r="108" spans="1:13" x14ac:dyDescent="0.3">
      <c r="A108" t="s">
        <v>138</v>
      </c>
      <c r="B108" s="1">
        <v>45421</v>
      </c>
      <c r="C108" t="s">
        <v>43</v>
      </c>
      <c r="D108" t="s">
        <v>25</v>
      </c>
      <c r="E108">
        <v>28</v>
      </c>
      <c r="F108" t="s">
        <v>28</v>
      </c>
      <c r="G108">
        <v>868.07</v>
      </c>
      <c r="H108">
        <v>36</v>
      </c>
      <c r="I108" t="s">
        <v>22</v>
      </c>
      <c r="J108">
        <v>5</v>
      </c>
      <c r="K108" t="s">
        <v>17</v>
      </c>
      <c r="L108" t="s">
        <v>18</v>
      </c>
      <c r="M108" t="str">
        <f>VLOOKUP(D112,Restaurant_Master!A:B,2,FALSE)</f>
        <v>https://dynamic-media-cdn.tripadvisor.com/media/photo-o/1c/e7/04/0d/front-of-the-local-easily.jpg</v>
      </c>
    </row>
    <row r="109" spans="1:13" x14ac:dyDescent="0.3">
      <c r="A109" t="s">
        <v>139</v>
      </c>
      <c r="B109" s="1">
        <v>45518</v>
      </c>
      <c r="C109" t="s">
        <v>36</v>
      </c>
      <c r="D109" t="s">
        <v>14</v>
      </c>
      <c r="E109">
        <v>26</v>
      </c>
      <c r="F109" t="s">
        <v>28</v>
      </c>
      <c r="G109">
        <v>700.51</v>
      </c>
      <c r="H109">
        <v>44</v>
      </c>
      <c r="I109" t="s">
        <v>16</v>
      </c>
      <c r="J109">
        <v>4.5999999999999996</v>
      </c>
      <c r="K109" t="s">
        <v>29</v>
      </c>
      <c r="L109" t="s">
        <v>23</v>
      </c>
      <c r="M109" t="str">
        <f>VLOOKUP(D113,Restaurant_Master!A:B,2,FALSE)</f>
        <v>https://media-cdn.tripadvisor.com/media/photo-s/1c/c7/97/b6/photo6jpg.jpg</v>
      </c>
    </row>
    <row r="110" spans="1:13" x14ac:dyDescent="0.3">
      <c r="A110" t="s">
        <v>140</v>
      </c>
      <c r="B110" s="1">
        <v>45301</v>
      </c>
      <c r="C110" t="s">
        <v>43</v>
      </c>
      <c r="D110" t="s">
        <v>32</v>
      </c>
      <c r="E110">
        <v>25</v>
      </c>
      <c r="F110" t="s">
        <v>28</v>
      </c>
      <c r="G110">
        <v>168.47</v>
      </c>
      <c r="H110">
        <v>32</v>
      </c>
      <c r="I110" t="s">
        <v>22</v>
      </c>
      <c r="J110">
        <v>4.9000000000000004</v>
      </c>
      <c r="K110" t="s">
        <v>41</v>
      </c>
      <c r="L110" t="s">
        <v>23</v>
      </c>
      <c r="M110" t="str">
        <f>VLOOKUP(D114,Restaurant_Master!A:B,2,FALSE)</f>
        <v>https://www.chatswoodinterchange.com/storages/2018/08/Sushi-World_666x448.jpg</v>
      </c>
    </row>
    <row r="111" spans="1:13" x14ac:dyDescent="0.3">
      <c r="A111" t="s">
        <v>141</v>
      </c>
      <c r="B111" s="1">
        <v>45525</v>
      </c>
      <c r="C111" t="s">
        <v>34</v>
      </c>
      <c r="D111" t="s">
        <v>21</v>
      </c>
      <c r="E111">
        <v>50</v>
      </c>
      <c r="F111" t="s">
        <v>15</v>
      </c>
      <c r="G111">
        <v>700.04</v>
      </c>
      <c r="H111">
        <v>51</v>
      </c>
      <c r="I111" t="s">
        <v>16</v>
      </c>
      <c r="J111">
        <v>4</v>
      </c>
      <c r="K111" t="s">
        <v>41</v>
      </c>
      <c r="L111" t="s">
        <v>23</v>
      </c>
      <c r="M111" t="str">
        <f>VLOOKUP(D115,Restaurant_Master!A:B,2,FALSE)</f>
        <v>https://www.chatswoodinterchange.com/storages/2018/08/Sushi-World_666x448.jpg</v>
      </c>
    </row>
    <row r="112" spans="1:13" x14ac:dyDescent="0.3">
      <c r="A112" t="s">
        <v>142</v>
      </c>
      <c r="B112" s="1">
        <v>45565</v>
      </c>
      <c r="C112" t="s">
        <v>36</v>
      </c>
      <c r="D112" t="s">
        <v>21</v>
      </c>
      <c r="E112">
        <v>51</v>
      </c>
      <c r="F112" t="s">
        <v>15</v>
      </c>
      <c r="G112">
        <v>481.23</v>
      </c>
      <c r="H112">
        <v>47</v>
      </c>
      <c r="I112" t="s">
        <v>16</v>
      </c>
      <c r="J112">
        <v>2.7</v>
      </c>
      <c r="K112" t="s">
        <v>29</v>
      </c>
      <c r="L112" t="s">
        <v>18</v>
      </c>
      <c r="M112" t="str">
        <f>VLOOKUP(D116,Restaurant_Master!A:B,2,FALSE)</f>
        <v>https://www.chatswoodinterchange.com/storages/2018/08/Sushi-World_666x448.jpg</v>
      </c>
    </row>
    <row r="113" spans="1:13" x14ac:dyDescent="0.3">
      <c r="A113" t="s">
        <v>143</v>
      </c>
      <c r="B113" s="1">
        <v>45635</v>
      </c>
      <c r="C113" t="s">
        <v>34</v>
      </c>
      <c r="D113" t="s">
        <v>25</v>
      </c>
      <c r="E113">
        <v>52</v>
      </c>
      <c r="F113" t="s">
        <v>15</v>
      </c>
      <c r="G113">
        <v>602.25</v>
      </c>
      <c r="H113">
        <v>51</v>
      </c>
      <c r="I113" t="s">
        <v>16</v>
      </c>
      <c r="J113">
        <v>4.8</v>
      </c>
      <c r="K113" t="s">
        <v>26</v>
      </c>
      <c r="L113" t="s">
        <v>18</v>
      </c>
      <c r="M113" t="str">
        <f>VLOOKUP(D117,Restaurant_Master!A:B,2,FALSE)</f>
        <v>https://media-cdn.tripadvisor.com/media/photo-s/1c/c7/97/b6/photo6jpg.jpg</v>
      </c>
    </row>
    <row r="114" spans="1:13" x14ac:dyDescent="0.3">
      <c r="A114" t="s">
        <v>144</v>
      </c>
      <c r="B114" s="1">
        <v>45578</v>
      </c>
      <c r="C114" t="s">
        <v>36</v>
      </c>
      <c r="D114" t="s">
        <v>38</v>
      </c>
      <c r="E114">
        <v>32</v>
      </c>
      <c r="F114" t="s">
        <v>15</v>
      </c>
      <c r="G114">
        <v>390.25</v>
      </c>
      <c r="H114">
        <v>47</v>
      </c>
      <c r="I114" t="s">
        <v>16</v>
      </c>
      <c r="J114">
        <v>2.8</v>
      </c>
      <c r="K114" t="s">
        <v>29</v>
      </c>
      <c r="L114" t="s">
        <v>18</v>
      </c>
      <c r="M114" t="str">
        <f>VLOOKUP(D118,Restaurant_Master!A:B,2,FALSE)</f>
        <v>https://media-cdn.tripadvisor.com/media/photo-s/1c/c7/97/b6/photo6jpg.jpg</v>
      </c>
    </row>
    <row r="115" spans="1:13" x14ac:dyDescent="0.3">
      <c r="A115" t="s">
        <v>145</v>
      </c>
      <c r="B115" s="1">
        <v>45436</v>
      </c>
      <c r="C115" t="s">
        <v>13</v>
      </c>
      <c r="D115" t="s">
        <v>38</v>
      </c>
      <c r="E115">
        <v>48</v>
      </c>
      <c r="F115" t="s">
        <v>15</v>
      </c>
      <c r="G115">
        <v>624.9</v>
      </c>
      <c r="H115">
        <v>22</v>
      </c>
      <c r="I115" t="s">
        <v>22</v>
      </c>
      <c r="J115">
        <v>3.8</v>
      </c>
      <c r="K115" t="s">
        <v>17</v>
      </c>
      <c r="L115" t="s">
        <v>23</v>
      </c>
      <c r="M115" t="str">
        <f>VLOOKUP(D119,Restaurant_Master!A:B,2,FALSE)</f>
        <v>https://www.chatswoodinterchange.com/storages/2018/08/Sushi-World_666x448.jpg</v>
      </c>
    </row>
    <row r="116" spans="1:13" x14ac:dyDescent="0.3">
      <c r="A116" t="s">
        <v>146</v>
      </c>
      <c r="B116" s="1">
        <v>45654</v>
      </c>
      <c r="C116" t="s">
        <v>43</v>
      </c>
      <c r="D116" t="s">
        <v>38</v>
      </c>
      <c r="E116">
        <v>20</v>
      </c>
      <c r="F116" t="s">
        <v>28</v>
      </c>
      <c r="G116">
        <v>957.18</v>
      </c>
      <c r="H116">
        <v>48</v>
      </c>
      <c r="I116" t="s">
        <v>16</v>
      </c>
      <c r="J116">
        <v>4.7</v>
      </c>
      <c r="K116" t="s">
        <v>26</v>
      </c>
      <c r="L116" t="s">
        <v>18</v>
      </c>
      <c r="M116" t="str">
        <f>VLOOKUP(D120,Restaurant_Master!A:B,2,FALSE)</f>
        <v>https://dineout-media-assets.swiggy.com/swiggy/image/upload/fl_lossy,f_auto,q_auto/v1660793737/fdqxvxcxg1wtdwvyv45v.jpg</v>
      </c>
    </row>
    <row r="117" spans="1:13" x14ac:dyDescent="0.3">
      <c r="A117" t="s">
        <v>147</v>
      </c>
      <c r="B117" s="1">
        <v>45603</v>
      </c>
      <c r="C117" t="s">
        <v>36</v>
      </c>
      <c r="D117" t="s">
        <v>25</v>
      </c>
      <c r="E117">
        <v>44</v>
      </c>
      <c r="F117" t="s">
        <v>15</v>
      </c>
      <c r="G117">
        <v>355.52</v>
      </c>
      <c r="H117">
        <v>52</v>
      </c>
      <c r="I117" t="s">
        <v>16</v>
      </c>
      <c r="J117">
        <v>4.9000000000000004</v>
      </c>
      <c r="K117" t="s">
        <v>26</v>
      </c>
      <c r="L117" t="s">
        <v>23</v>
      </c>
      <c r="M117" t="str">
        <f>VLOOKUP(D121,Restaurant_Master!A:B,2,FALSE)</f>
        <v>https://content.jdmagicbox.com/comp/deoria/g6/9999p5568.5568.200119143033.m4g6/catalogue/biryani-house-deoria-ho-deoria-mktc2xph0o.jpg</v>
      </c>
    </row>
    <row r="118" spans="1:13" x14ac:dyDescent="0.3">
      <c r="A118" t="s">
        <v>148</v>
      </c>
      <c r="B118" s="1">
        <v>45432</v>
      </c>
      <c r="C118" t="s">
        <v>36</v>
      </c>
      <c r="D118" t="s">
        <v>25</v>
      </c>
      <c r="E118">
        <v>23</v>
      </c>
      <c r="F118" t="s">
        <v>28</v>
      </c>
      <c r="G118">
        <v>239.49</v>
      </c>
      <c r="H118">
        <v>53</v>
      </c>
      <c r="I118" t="s">
        <v>16</v>
      </c>
      <c r="J118">
        <v>4.3</v>
      </c>
      <c r="K118" t="s">
        <v>29</v>
      </c>
      <c r="L118" t="s">
        <v>18</v>
      </c>
      <c r="M118" t="str">
        <f>VLOOKUP(D122,Restaurant_Master!A:B,2,FALSE)</f>
        <v>https://dynamic-media-cdn.tripadvisor.com/media/photo-o/1c/e7/04/0d/front-of-the-local-easily.jpg</v>
      </c>
    </row>
    <row r="119" spans="1:13" x14ac:dyDescent="0.3">
      <c r="A119" t="s">
        <v>149</v>
      </c>
      <c r="B119" s="1">
        <v>45482</v>
      </c>
      <c r="C119" t="s">
        <v>34</v>
      </c>
      <c r="D119" t="s">
        <v>38</v>
      </c>
      <c r="E119">
        <v>49</v>
      </c>
      <c r="F119" t="s">
        <v>28</v>
      </c>
      <c r="G119">
        <v>408.61</v>
      </c>
      <c r="H119">
        <v>20</v>
      </c>
      <c r="I119" t="s">
        <v>22</v>
      </c>
      <c r="J119">
        <v>3.2</v>
      </c>
      <c r="K119" t="s">
        <v>17</v>
      </c>
      <c r="L119" t="s">
        <v>23</v>
      </c>
      <c r="M119" t="str">
        <f>VLOOKUP(D123,Restaurant_Master!A:B,2,FALSE)</f>
        <v>https://media-cdn.tripadvisor.com/media/photo-s/1c/c7/97/b6/photo6jpg.jpg</v>
      </c>
    </row>
    <row r="120" spans="1:13" x14ac:dyDescent="0.3">
      <c r="A120" t="s">
        <v>150</v>
      </c>
      <c r="B120" s="1">
        <v>45419</v>
      </c>
      <c r="C120" t="s">
        <v>43</v>
      </c>
      <c r="D120" t="s">
        <v>14</v>
      </c>
      <c r="E120">
        <v>28</v>
      </c>
      <c r="F120" t="s">
        <v>28</v>
      </c>
      <c r="G120">
        <v>562.28</v>
      </c>
      <c r="H120">
        <v>30</v>
      </c>
      <c r="I120" t="s">
        <v>22</v>
      </c>
      <c r="J120">
        <v>4.5999999999999996</v>
      </c>
      <c r="K120" t="s">
        <v>17</v>
      </c>
      <c r="L120" t="s">
        <v>18</v>
      </c>
      <c r="M120" t="str">
        <f>VLOOKUP(D124,Restaurant_Master!A:B,2,FALSE)</f>
        <v>https://media-cdn.tripadvisor.com/media/photo-s/1c/c7/97/b6/photo6jpg.jpg</v>
      </c>
    </row>
    <row r="121" spans="1:13" x14ac:dyDescent="0.3">
      <c r="A121" t="s">
        <v>151</v>
      </c>
      <c r="B121" s="1">
        <v>45515</v>
      </c>
      <c r="C121" t="s">
        <v>13</v>
      </c>
      <c r="D121" t="s">
        <v>32</v>
      </c>
      <c r="E121">
        <v>56</v>
      </c>
      <c r="F121" t="s">
        <v>15</v>
      </c>
      <c r="G121">
        <v>805.51</v>
      </c>
      <c r="H121">
        <v>37</v>
      </c>
      <c r="I121" t="s">
        <v>22</v>
      </c>
      <c r="J121">
        <v>3</v>
      </c>
      <c r="K121" t="s">
        <v>26</v>
      </c>
      <c r="L121" t="s">
        <v>23</v>
      </c>
      <c r="M121" t="str">
        <f>VLOOKUP(D125,Restaurant_Master!A:B,2,FALSE)</f>
        <v>https://www.chatswoodinterchange.com/storages/2018/08/Sushi-World_666x448.jpg</v>
      </c>
    </row>
    <row r="122" spans="1:13" x14ac:dyDescent="0.3">
      <c r="A122" t="s">
        <v>152</v>
      </c>
      <c r="B122" s="1">
        <v>45642</v>
      </c>
      <c r="C122" t="s">
        <v>13</v>
      </c>
      <c r="D122" t="s">
        <v>21</v>
      </c>
      <c r="E122">
        <v>24</v>
      </c>
      <c r="F122" t="s">
        <v>28</v>
      </c>
      <c r="G122">
        <v>877.65</v>
      </c>
      <c r="H122">
        <v>26</v>
      </c>
      <c r="I122" t="s">
        <v>22</v>
      </c>
      <c r="J122">
        <v>2.8</v>
      </c>
      <c r="K122" t="s">
        <v>41</v>
      </c>
      <c r="L122" t="s">
        <v>23</v>
      </c>
      <c r="M122" t="str">
        <f>VLOOKUP(D126,Restaurant_Master!A:B,2,FALSE)</f>
        <v>https://dynamic-media-cdn.tripadvisor.com/media/photo-o/1c/e7/04/0d/front-of-the-local-easily.jpg</v>
      </c>
    </row>
    <row r="123" spans="1:13" x14ac:dyDescent="0.3">
      <c r="A123" t="s">
        <v>153</v>
      </c>
      <c r="B123" s="1">
        <v>45554</v>
      </c>
      <c r="C123" t="s">
        <v>13</v>
      </c>
      <c r="D123" t="s">
        <v>25</v>
      </c>
      <c r="E123">
        <v>36</v>
      </c>
      <c r="F123" t="s">
        <v>15</v>
      </c>
      <c r="G123">
        <v>454.97</v>
      </c>
      <c r="H123">
        <v>48</v>
      </c>
      <c r="I123" t="s">
        <v>16</v>
      </c>
      <c r="J123">
        <v>2.9</v>
      </c>
      <c r="K123" t="s">
        <v>29</v>
      </c>
      <c r="L123" t="s">
        <v>23</v>
      </c>
      <c r="M123" t="str">
        <f>VLOOKUP(D127,Restaurant_Master!A:B,2,FALSE)</f>
        <v>https://dynamic-media-cdn.tripadvisor.com/media/photo-o/1c/e7/04/0d/front-of-the-local-easily.jpg</v>
      </c>
    </row>
    <row r="124" spans="1:13" x14ac:dyDescent="0.3">
      <c r="A124" t="s">
        <v>154</v>
      </c>
      <c r="B124" s="1">
        <v>45547</v>
      </c>
      <c r="C124" t="s">
        <v>20</v>
      </c>
      <c r="D124" t="s">
        <v>25</v>
      </c>
      <c r="E124">
        <v>27</v>
      </c>
      <c r="F124" t="s">
        <v>15</v>
      </c>
      <c r="G124">
        <v>1152.07</v>
      </c>
      <c r="H124">
        <v>47</v>
      </c>
      <c r="I124" t="s">
        <v>16</v>
      </c>
      <c r="J124">
        <v>4.8</v>
      </c>
      <c r="K124" t="s">
        <v>29</v>
      </c>
      <c r="L124" t="s">
        <v>23</v>
      </c>
      <c r="M124" t="str">
        <f>VLOOKUP(D128,Restaurant_Master!A:B,2,FALSE)</f>
        <v>https://dynamic-media-cdn.tripadvisor.com/media/photo-o/1c/e7/04/0d/front-of-the-local-easily.jpg</v>
      </c>
    </row>
    <row r="125" spans="1:13" x14ac:dyDescent="0.3">
      <c r="A125" t="s">
        <v>155</v>
      </c>
      <c r="B125" s="1">
        <v>45563</v>
      </c>
      <c r="C125" t="s">
        <v>20</v>
      </c>
      <c r="D125" t="s">
        <v>38</v>
      </c>
      <c r="E125">
        <v>40</v>
      </c>
      <c r="F125" t="s">
        <v>15</v>
      </c>
      <c r="G125">
        <v>468.63</v>
      </c>
      <c r="H125">
        <v>36</v>
      </c>
      <c r="I125" t="s">
        <v>22</v>
      </c>
      <c r="J125">
        <v>4</v>
      </c>
      <c r="K125" t="s">
        <v>29</v>
      </c>
      <c r="L125" t="s">
        <v>23</v>
      </c>
      <c r="M125" t="str">
        <f>VLOOKUP(D129,Restaurant_Master!A:B,2,FALSE)</f>
        <v>https://media-cdn.tripadvisor.com/media/photo-s/1c/c7/97/b6/photo6jpg.jpg</v>
      </c>
    </row>
    <row r="126" spans="1:13" x14ac:dyDescent="0.3">
      <c r="A126" t="s">
        <v>156</v>
      </c>
      <c r="B126" s="1">
        <v>45302</v>
      </c>
      <c r="C126" t="s">
        <v>34</v>
      </c>
      <c r="D126" t="s">
        <v>21</v>
      </c>
      <c r="E126">
        <v>22</v>
      </c>
      <c r="F126" t="s">
        <v>28</v>
      </c>
      <c r="G126">
        <v>1034.08</v>
      </c>
      <c r="H126">
        <v>56</v>
      </c>
      <c r="I126" t="s">
        <v>16</v>
      </c>
      <c r="J126">
        <v>3.5</v>
      </c>
      <c r="K126" t="s">
        <v>17</v>
      </c>
      <c r="L126" t="s">
        <v>18</v>
      </c>
      <c r="M126" t="str">
        <f>VLOOKUP(D130,Restaurant_Master!A:B,2,FALSE)</f>
        <v>https://media-cdn.tripadvisor.com/media/photo-s/1c/c7/97/b6/photo6jpg.jpg</v>
      </c>
    </row>
    <row r="127" spans="1:13" x14ac:dyDescent="0.3">
      <c r="A127" t="s">
        <v>157</v>
      </c>
      <c r="B127" s="1">
        <v>45359</v>
      </c>
      <c r="C127" t="s">
        <v>43</v>
      </c>
      <c r="D127" t="s">
        <v>21</v>
      </c>
      <c r="E127">
        <v>56</v>
      </c>
      <c r="F127" t="s">
        <v>15</v>
      </c>
      <c r="G127">
        <v>475.3</v>
      </c>
      <c r="H127">
        <v>42</v>
      </c>
      <c r="I127" t="s">
        <v>16</v>
      </c>
      <c r="J127">
        <v>3.6</v>
      </c>
      <c r="K127" t="s">
        <v>26</v>
      </c>
      <c r="L127" t="s">
        <v>23</v>
      </c>
      <c r="M127" t="str">
        <f>VLOOKUP(D131,Restaurant_Master!A:B,2,FALSE)</f>
        <v>https://www.chatswoodinterchange.com/storages/2018/08/Sushi-World_666x448.jpg</v>
      </c>
    </row>
    <row r="128" spans="1:13" x14ac:dyDescent="0.3">
      <c r="A128" t="s">
        <v>158</v>
      </c>
      <c r="B128" s="1">
        <v>45484</v>
      </c>
      <c r="C128" t="s">
        <v>43</v>
      </c>
      <c r="D128" t="s">
        <v>21</v>
      </c>
      <c r="E128">
        <v>27</v>
      </c>
      <c r="F128" t="s">
        <v>15</v>
      </c>
      <c r="G128">
        <v>1195.94</v>
      </c>
      <c r="H128">
        <v>46</v>
      </c>
      <c r="I128" t="s">
        <v>16</v>
      </c>
      <c r="J128">
        <v>2.9</v>
      </c>
      <c r="K128" t="s">
        <v>41</v>
      </c>
      <c r="L128" t="s">
        <v>23</v>
      </c>
      <c r="M128" t="str">
        <f>VLOOKUP(D132,Restaurant_Master!A:B,2,FALSE)</f>
        <v>https://media-cdn.tripadvisor.com/media/photo-s/1c/c7/97/b6/photo6jpg.jpg</v>
      </c>
    </row>
    <row r="129" spans="1:13" x14ac:dyDescent="0.3">
      <c r="A129" t="s">
        <v>159</v>
      </c>
      <c r="B129" s="1">
        <v>45343</v>
      </c>
      <c r="C129" t="s">
        <v>36</v>
      </c>
      <c r="D129" t="s">
        <v>25</v>
      </c>
      <c r="E129">
        <v>37</v>
      </c>
      <c r="F129" t="s">
        <v>15</v>
      </c>
      <c r="G129">
        <v>1119.8900000000001</v>
      </c>
      <c r="H129">
        <v>39</v>
      </c>
      <c r="I129" t="s">
        <v>22</v>
      </c>
      <c r="J129">
        <v>2.8</v>
      </c>
      <c r="K129" t="s">
        <v>17</v>
      </c>
      <c r="L129" t="s">
        <v>23</v>
      </c>
      <c r="M129" t="str">
        <f>VLOOKUP(D133,Restaurant_Master!A:B,2,FALSE)</f>
        <v>https://content.jdmagicbox.com/comp/deoria/g6/9999p5568.5568.200119143033.m4g6/catalogue/biryani-house-deoria-ho-deoria-mktc2xph0o.jpg</v>
      </c>
    </row>
    <row r="130" spans="1:13" x14ac:dyDescent="0.3">
      <c r="A130" t="s">
        <v>160</v>
      </c>
      <c r="B130" s="1">
        <v>45301</v>
      </c>
      <c r="C130" t="s">
        <v>43</v>
      </c>
      <c r="D130" t="s">
        <v>25</v>
      </c>
      <c r="E130">
        <v>24</v>
      </c>
      <c r="F130" t="s">
        <v>28</v>
      </c>
      <c r="G130">
        <v>229.28</v>
      </c>
      <c r="H130">
        <v>36</v>
      </c>
      <c r="I130" t="s">
        <v>22</v>
      </c>
      <c r="J130">
        <v>2.7</v>
      </c>
      <c r="K130" t="s">
        <v>41</v>
      </c>
      <c r="L130" t="s">
        <v>23</v>
      </c>
      <c r="M130" t="str">
        <f>VLOOKUP(D134,Restaurant_Master!A:B,2,FALSE)</f>
        <v>https://dynamic-media-cdn.tripadvisor.com/media/photo-o/1c/e7/04/0d/front-of-the-local-easily.jpg</v>
      </c>
    </row>
    <row r="131" spans="1:13" x14ac:dyDescent="0.3">
      <c r="A131" t="s">
        <v>161</v>
      </c>
      <c r="B131" s="1">
        <v>45348</v>
      </c>
      <c r="C131" t="s">
        <v>20</v>
      </c>
      <c r="D131" t="s">
        <v>38</v>
      </c>
      <c r="E131">
        <v>22</v>
      </c>
      <c r="F131" t="s">
        <v>15</v>
      </c>
      <c r="G131">
        <v>556.54</v>
      </c>
      <c r="H131">
        <v>30</v>
      </c>
      <c r="I131" t="s">
        <v>22</v>
      </c>
      <c r="J131">
        <v>2.8</v>
      </c>
      <c r="K131" t="s">
        <v>41</v>
      </c>
      <c r="L131" t="s">
        <v>23</v>
      </c>
      <c r="M131" t="str">
        <f>VLOOKUP(D135,Restaurant_Master!A:B,2,FALSE)</f>
        <v>https://content.jdmagicbox.com/comp/deoria/g6/9999p5568.5568.200119143033.m4g6/catalogue/biryani-house-deoria-ho-deoria-mktc2xph0o.jpg</v>
      </c>
    </row>
    <row r="132" spans="1:13" x14ac:dyDescent="0.3">
      <c r="A132" t="s">
        <v>162</v>
      </c>
      <c r="B132" s="1">
        <v>45477</v>
      </c>
      <c r="C132" t="s">
        <v>13</v>
      </c>
      <c r="D132" t="s">
        <v>25</v>
      </c>
      <c r="E132">
        <v>50</v>
      </c>
      <c r="F132" t="s">
        <v>28</v>
      </c>
      <c r="G132">
        <v>1167.8800000000001</v>
      </c>
      <c r="H132">
        <v>48</v>
      </c>
      <c r="I132" t="s">
        <v>16</v>
      </c>
      <c r="J132">
        <v>4</v>
      </c>
      <c r="K132" t="s">
        <v>29</v>
      </c>
      <c r="L132" t="s">
        <v>18</v>
      </c>
      <c r="M132" t="str">
        <f>VLOOKUP(D136,Restaurant_Master!A:B,2,FALSE)</f>
        <v>https://www.chatswoodinterchange.com/storages/2018/08/Sushi-World_666x448.jpg</v>
      </c>
    </row>
    <row r="133" spans="1:13" x14ac:dyDescent="0.3">
      <c r="A133" t="s">
        <v>163</v>
      </c>
      <c r="B133" s="1">
        <v>45535</v>
      </c>
      <c r="C133" t="s">
        <v>43</v>
      </c>
      <c r="D133" t="s">
        <v>32</v>
      </c>
      <c r="E133">
        <v>20</v>
      </c>
      <c r="F133" t="s">
        <v>15</v>
      </c>
      <c r="G133">
        <v>301.52</v>
      </c>
      <c r="H133">
        <v>21</v>
      </c>
      <c r="I133" t="s">
        <v>22</v>
      </c>
      <c r="J133">
        <v>2.5</v>
      </c>
      <c r="K133" t="s">
        <v>17</v>
      </c>
      <c r="L133" t="s">
        <v>23</v>
      </c>
      <c r="M133" t="str">
        <f>VLOOKUP(D137,Restaurant_Master!A:B,2,FALSE)</f>
        <v>https://www.chatswoodinterchange.com/storages/2018/08/Sushi-World_666x448.jpg</v>
      </c>
    </row>
    <row r="134" spans="1:13" x14ac:dyDescent="0.3">
      <c r="A134" t="s">
        <v>164</v>
      </c>
      <c r="B134" s="1">
        <v>45647</v>
      </c>
      <c r="C134" t="s">
        <v>43</v>
      </c>
      <c r="D134" t="s">
        <v>21</v>
      </c>
      <c r="E134">
        <v>24</v>
      </c>
      <c r="F134" t="s">
        <v>15</v>
      </c>
      <c r="G134">
        <v>517.61</v>
      </c>
      <c r="H134">
        <v>36</v>
      </c>
      <c r="I134" t="s">
        <v>22</v>
      </c>
      <c r="J134">
        <v>2.8</v>
      </c>
      <c r="K134" t="s">
        <v>29</v>
      </c>
      <c r="L134" t="s">
        <v>23</v>
      </c>
      <c r="M134" t="str">
        <f>VLOOKUP(D138,Restaurant_Master!A:B,2,FALSE)</f>
        <v>https://media-cdn.tripadvisor.com/media/photo-s/1c/c7/97/b6/photo6jpg.jpg</v>
      </c>
    </row>
    <row r="135" spans="1:13" x14ac:dyDescent="0.3">
      <c r="A135" t="s">
        <v>165</v>
      </c>
      <c r="B135" s="1">
        <v>45356</v>
      </c>
      <c r="C135" t="s">
        <v>34</v>
      </c>
      <c r="D135" t="s">
        <v>32</v>
      </c>
      <c r="E135">
        <v>60</v>
      </c>
      <c r="F135" t="s">
        <v>28</v>
      </c>
      <c r="G135">
        <v>306.13</v>
      </c>
      <c r="H135">
        <v>34</v>
      </c>
      <c r="I135" t="s">
        <v>22</v>
      </c>
      <c r="J135">
        <v>3.3</v>
      </c>
      <c r="K135" t="s">
        <v>41</v>
      </c>
      <c r="L135" t="s">
        <v>23</v>
      </c>
      <c r="M135" t="str">
        <f>VLOOKUP(D139,Restaurant_Master!A:B,2,FALSE)</f>
        <v>https://dineout-media-assets.swiggy.com/swiggy/image/upload/fl_lossy,f_auto,q_auto/v1660793737/fdqxvxcxg1wtdwvyv45v.jpg</v>
      </c>
    </row>
    <row r="136" spans="1:13" x14ac:dyDescent="0.3">
      <c r="A136" t="s">
        <v>166</v>
      </c>
      <c r="B136" s="1">
        <v>45645</v>
      </c>
      <c r="C136" t="s">
        <v>43</v>
      </c>
      <c r="D136" t="s">
        <v>38</v>
      </c>
      <c r="E136">
        <v>19</v>
      </c>
      <c r="F136" t="s">
        <v>28</v>
      </c>
      <c r="G136">
        <v>938.78</v>
      </c>
      <c r="H136">
        <v>29</v>
      </c>
      <c r="I136" t="s">
        <v>22</v>
      </c>
      <c r="J136">
        <v>3.4</v>
      </c>
      <c r="K136" t="s">
        <v>41</v>
      </c>
      <c r="L136" t="s">
        <v>18</v>
      </c>
      <c r="M136" t="str">
        <f>VLOOKUP(D140,Restaurant_Master!A:B,2,FALSE)</f>
        <v>https://media-cdn.tripadvisor.com/media/photo-s/1c/c7/97/b6/photo6jpg.jpg</v>
      </c>
    </row>
    <row r="137" spans="1:13" x14ac:dyDescent="0.3">
      <c r="A137" t="s">
        <v>167</v>
      </c>
      <c r="B137" s="1">
        <v>45521</v>
      </c>
      <c r="C137" t="s">
        <v>36</v>
      </c>
      <c r="D137" t="s">
        <v>38</v>
      </c>
      <c r="E137">
        <v>21</v>
      </c>
      <c r="F137" t="s">
        <v>28</v>
      </c>
      <c r="G137">
        <v>313.33</v>
      </c>
      <c r="H137">
        <v>24</v>
      </c>
      <c r="I137" t="s">
        <v>22</v>
      </c>
      <c r="J137">
        <v>4.9000000000000004</v>
      </c>
      <c r="K137" t="s">
        <v>29</v>
      </c>
      <c r="L137" t="s">
        <v>18</v>
      </c>
      <c r="M137" t="str">
        <f>VLOOKUP(D141,Restaurant_Master!A:B,2,FALSE)</f>
        <v>https://www.chatswoodinterchange.com/storages/2018/08/Sushi-World_666x448.jpg</v>
      </c>
    </row>
    <row r="138" spans="1:13" x14ac:dyDescent="0.3">
      <c r="A138" t="s">
        <v>168</v>
      </c>
      <c r="B138" s="1">
        <v>45549</v>
      </c>
      <c r="C138" t="s">
        <v>43</v>
      </c>
      <c r="D138" t="s">
        <v>25</v>
      </c>
      <c r="E138">
        <v>27</v>
      </c>
      <c r="F138" t="s">
        <v>15</v>
      </c>
      <c r="G138">
        <v>1070.53</v>
      </c>
      <c r="H138">
        <v>47</v>
      </c>
      <c r="I138" t="s">
        <v>16</v>
      </c>
      <c r="J138">
        <v>2.6</v>
      </c>
      <c r="K138" t="s">
        <v>26</v>
      </c>
      <c r="L138" t="s">
        <v>23</v>
      </c>
      <c r="M138" t="str">
        <f>VLOOKUP(D142,Restaurant_Master!A:B,2,FALSE)</f>
        <v>https://content.jdmagicbox.com/comp/deoria/g6/9999p5568.5568.200119143033.m4g6/catalogue/biryani-house-deoria-ho-deoria-mktc2xph0o.jpg</v>
      </c>
    </row>
    <row r="139" spans="1:13" x14ac:dyDescent="0.3">
      <c r="A139" t="s">
        <v>169</v>
      </c>
      <c r="B139" s="1">
        <v>45538</v>
      </c>
      <c r="C139" t="s">
        <v>20</v>
      </c>
      <c r="D139" t="s">
        <v>14</v>
      </c>
      <c r="E139">
        <v>28</v>
      </c>
      <c r="F139" t="s">
        <v>28</v>
      </c>
      <c r="G139">
        <v>648.21</v>
      </c>
      <c r="H139">
        <v>27</v>
      </c>
      <c r="I139" t="s">
        <v>22</v>
      </c>
      <c r="J139">
        <v>2.5</v>
      </c>
      <c r="K139" t="s">
        <v>26</v>
      </c>
      <c r="L139" t="s">
        <v>23</v>
      </c>
      <c r="M139" t="str">
        <f>VLOOKUP(D143,Restaurant_Master!A:B,2,FALSE)</f>
        <v>https://dineout-media-assets.swiggy.com/swiggy/image/upload/fl_lossy,f_auto,q_auto/v1660793737/fdqxvxcxg1wtdwvyv45v.jpg</v>
      </c>
    </row>
    <row r="140" spans="1:13" x14ac:dyDescent="0.3">
      <c r="A140" t="s">
        <v>170</v>
      </c>
      <c r="B140" s="1">
        <v>45383</v>
      </c>
      <c r="C140" t="s">
        <v>20</v>
      </c>
      <c r="D140" t="s">
        <v>25</v>
      </c>
      <c r="E140">
        <v>26</v>
      </c>
      <c r="F140" t="s">
        <v>15</v>
      </c>
      <c r="G140">
        <v>1193.43</v>
      </c>
      <c r="H140">
        <v>29</v>
      </c>
      <c r="I140" t="s">
        <v>22</v>
      </c>
      <c r="J140">
        <v>3.9</v>
      </c>
      <c r="K140" t="s">
        <v>29</v>
      </c>
      <c r="L140" t="s">
        <v>18</v>
      </c>
      <c r="M140" t="str">
        <f>VLOOKUP(D144,Restaurant_Master!A:B,2,FALSE)</f>
        <v>https://content.jdmagicbox.com/comp/deoria/g6/9999p5568.5568.200119143033.m4g6/catalogue/biryani-house-deoria-ho-deoria-mktc2xph0o.jpg</v>
      </c>
    </row>
    <row r="141" spans="1:13" x14ac:dyDescent="0.3">
      <c r="A141" t="s">
        <v>171</v>
      </c>
      <c r="B141" s="1">
        <v>45473</v>
      </c>
      <c r="C141" t="s">
        <v>20</v>
      </c>
      <c r="D141" t="s">
        <v>38</v>
      </c>
      <c r="E141">
        <v>39</v>
      </c>
      <c r="F141" t="s">
        <v>28</v>
      </c>
      <c r="G141">
        <v>668.15</v>
      </c>
      <c r="H141">
        <v>31</v>
      </c>
      <c r="I141" t="s">
        <v>22</v>
      </c>
      <c r="J141">
        <v>4.5999999999999996</v>
      </c>
      <c r="K141" t="s">
        <v>29</v>
      </c>
      <c r="L141" t="s">
        <v>18</v>
      </c>
      <c r="M141" t="str">
        <f>VLOOKUP(D145,Restaurant_Master!A:B,2,FALSE)</f>
        <v>https://media-cdn.tripadvisor.com/media/photo-s/1c/c7/97/b6/photo6jpg.jpg</v>
      </c>
    </row>
    <row r="142" spans="1:13" x14ac:dyDescent="0.3">
      <c r="A142" t="s">
        <v>172</v>
      </c>
      <c r="B142" s="1">
        <v>45460</v>
      </c>
      <c r="C142" t="s">
        <v>34</v>
      </c>
      <c r="D142" t="s">
        <v>32</v>
      </c>
      <c r="E142">
        <v>56</v>
      </c>
      <c r="F142" t="s">
        <v>28</v>
      </c>
      <c r="G142">
        <v>658.79</v>
      </c>
      <c r="H142">
        <v>32</v>
      </c>
      <c r="I142" t="s">
        <v>22</v>
      </c>
      <c r="J142">
        <v>4</v>
      </c>
      <c r="K142" t="s">
        <v>26</v>
      </c>
      <c r="L142" t="s">
        <v>23</v>
      </c>
      <c r="M142" t="str">
        <f>VLOOKUP(D146,Restaurant_Master!A:B,2,FALSE)</f>
        <v>https://www.chatswoodinterchange.com/storages/2018/08/Sushi-World_666x448.jpg</v>
      </c>
    </row>
    <row r="143" spans="1:13" x14ac:dyDescent="0.3">
      <c r="A143" t="s">
        <v>173</v>
      </c>
      <c r="B143" s="1">
        <v>45539</v>
      </c>
      <c r="C143" t="s">
        <v>43</v>
      </c>
      <c r="D143" t="s">
        <v>14</v>
      </c>
      <c r="E143">
        <v>52</v>
      </c>
      <c r="F143" t="s">
        <v>15</v>
      </c>
      <c r="G143">
        <v>758</v>
      </c>
      <c r="H143">
        <v>40</v>
      </c>
      <c r="I143" t="s">
        <v>22</v>
      </c>
      <c r="J143">
        <v>3.8</v>
      </c>
      <c r="K143" t="s">
        <v>17</v>
      </c>
      <c r="L143" t="s">
        <v>18</v>
      </c>
      <c r="M143" t="str">
        <f>VLOOKUP(D147,Restaurant_Master!A:B,2,FALSE)</f>
        <v>https://dineout-media-assets.swiggy.com/swiggy/image/upload/fl_lossy,f_auto,q_auto/v1660793737/fdqxvxcxg1wtdwvyv45v.jpg</v>
      </c>
    </row>
    <row r="144" spans="1:13" x14ac:dyDescent="0.3">
      <c r="A144" t="s">
        <v>174</v>
      </c>
      <c r="B144" s="1">
        <v>45624</v>
      </c>
      <c r="C144" t="s">
        <v>20</v>
      </c>
      <c r="D144" t="s">
        <v>32</v>
      </c>
      <c r="E144">
        <v>50</v>
      </c>
      <c r="F144" t="s">
        <v>15</v>
      </c>
      <c r="G144">
        <v>478.34</v>
      </c>
      <c r="H144">
        <v>28</v>
      </c>
      <c r="I144" t="s">
        <v>22</v>
      </c>
      <c r="J144">
        <v>2.5</v>
      </c>
      <c r="K144" t="s">
        <v>29</v>
      </c>
      <c r="L144" t="s">
        <v>23</v>
      </c>
      <c r="M144" t="str">
        <f>VLOOKUP(D148,Restaurant_Master!A:B,2,FALSE)</f>
        <v>https://content.jdmagicbox.com/comp/deoria/g6/9999p5568.5568.200119143033.m4g6/catalogue/biryani-house-deoria-ho-deoria-mktc2xph0o.jpg</v>
      </c>
    </row>
    <row r="145" spans="1:13" x14ac:dyDescent="0.3">
      <c r="A145" t="s">
        <v>175</v>
      </c>
      <c r="B145" s="1">
        <v>45397</v>
      </c>
      <c r="C145" t="s">
        <v>20</v>
      </c>
      <c r="D145" t="s">
        <v>25</v>
      </c>
      <c r="E145">
        <v>36</v>
      </c>
      <c r="F145" t="s">
        <v>15</v>
      </c>
      <c r="G145">
        <v>336.33</v>
      </c>
      <c r="H145">
        <v>30</v>
      </c>
      <c r="I145" t="s">
        <v>22</v>
      </c>
      <c r="J145">
        <v>3</v>
      </c>
      <c r="K145" t="s">
        <v>41</v>
      </c>
      <c r="L145" t="s">
        <v>18</v>
      </c>
      <c r="M145" t="str">
        <f>VLOOKUP(D149,Restaurant_Master!A:B,2,FALSE)</f>
        <v>https://media-cdn.tripadvisor.com/media/photo-s/1c/c7/97/b6/photo6jpg.jpg</v>
      </c>
    </row>
    <row r="146" spans="1:13" x14ac:dyDescent="0.3">
      <c r="A146" t="s">
        <v>176</v>
      </c>
      <c r="B146" s="1">
        <v>45453</v>
      </c>
      <c r="C146" t="s">
        <v>36</v>
      </c>
      <c r="D146" t="s">
        <v>38</v>
      </c>
      <c r="E146">
        <v>33</v>
      </c>
      <c r="F146" t="s">
        <v>15</v>
      </c>
      <c r="G146">
        <v>874.33</v>
      </c>
      <c r="H146">
        <v>51</v>
      </c>
      <c r="I146" t="s">
        <v>16</v>
      </c>
      <c r="J146">
        <v>4.5999999999999996</v>
      </c>
      <c r="K146" t="s">
        <v>26</v>
      </c>
      <c r="L146" t="s">
        <v>23</v>
      </c>
      <c r="M146" t="str">
        <f>VLOOKUP(D150,Restaurant_Master!A:B,2,FALSE)</f>
        <v>https://dynamic-media-cdn.tripadvisor.com/media/photo-o/1c/e7/04/0d/front-of-the-local-easily.jpg</v>
      </c>
    </row>
    <row r="147" spans="1:13" x14ac:dyDescent="0.3">
      <c r="A147" t="s">
        <v>177</v>
      </c>
      <c r="B147" s="1">
        <v>45460</v>
      </c>
      <c r="C147" t="s">
        <v>36</v>
      </c>
      <c r="D147" t="s">
        <v>14</v>
      </c>
      <c r="E147">
        <v>35</v>
      </c>
      <c r="F147" t="s">
        <v>15</v>
      </c>
      <c r="G147">
        <v>649.49</v>
      </c>
      <c r="H147">
        <v>44</v>
      </c>
      <c r="I147" t="s">
        <v>16</v>
      </c>
      <c r="J147">
        <v>4.9000000000000004</v>
      </c>
      <c r="K147" t="s">
        <v>29</v>
      </c>
      <c r="L147" t="s">
        <v>18</v>
      </c>
      <c r="M147" t="str">
        <f>VLOOKUP(D151,Restaurant_Master!A:B,2,FALSE)</f>
        <v>https://dynamic-media-cdn.tripadvisor.com/media/photo-o/1c/e7/04/0d/front-of-the-local-easily.jpg</v>
      </c>
    </row>
    <row r="148" spans="1:13" x14ac:dyDescent="0.3">
      <c r="A148" t="s">
        <v>178</v>
      </c>
      <c r="B148" s="1">
        <v>45301</v>
      </c>
      <c r="C148" t="s">
        <v>43</v>
      </c>
      <c r="D148" t="s">
        <v>32</v>
      </c>
      <c r="E148">
        <v>18</v>
      </c>
      <c r="F148" t="s">
        <v>28</v>
      </c>
      <c r="G148">
        <v>451.2</v>
      </c>
      <c r="H148">
        <v>44</v>
      </c>
      <c r="I148" t="s">
        <v>16</v>
      </c>
      <c r="J148">
        <v>3.2</v>
      </c>
      <c r="K148" t="s">
        <v>17</v>
      </c>
      <c r="L148" t="s">
        <v>18</v>
      </c>
      <c r="M148" t="str">
        <f>VLOOKUP(D152,Restaurant_Master!A:B,2,FALSE)</f>
        <v>https://media-cdn.tripadvisor.com/media/photo-s/1c/c7/97/b6/photo6jpg.jpg</v>
      </c>
    </row>
    <row r="149" spans="1:13" x14ac:dyDescent="0.3">
      <c r="A149" t="s">
        <v>179</v>
      </c>
      <c r="B149" s="1">
        <v>45491</v>
      </c>
      <c r="C149" t="s">
        <v>34</v>
      </c>
      <c r="D149" t="s">
        <v>25</v>
      </c>
      <c r="E149">
        <v>46</v>
      </c>
      <c r="F149" t="s">
        <v>28</v>
      </c>
      <c r="G149">
        <v>502.08</v>
      </c>
      <c r="H149">
        <v>34</v>
      </c>
      <c r="I149" t="s">
        <v>22</v>
      </c>
      <c r="J149">
        <v>4.2</v>
      </c>
      <c r="K149" t="s">
        <v>41</v>
      </c>
      <c r="L149" t="s">
        <v>23</v>
      </c>
      <c r="M149" t="str">
        <f>VLOOKUP(D153,Restaurant_Master!A:B,2,FALSE)</f>
        <v>https://content.jdmagicbox.com/comp/deoria/g6/9999p5568.5568.200119143033.m4g6/catalogue/biryani-house-deoria-ho-deoria-mktc2xph0o.jpg</v>
      </c>
    </row>
    <row r="150" spans="1:13" x14ac:dyDescent="0.3">
      <c r="A150" t="s">
        <v>180</v>
      </c>
      <c r="B150" s="1">
        <v>45345</v>
      </c>
      <c r="C150" t="s">
        <v>13</v>
      </c>
      <c r="D150" t="s">
        <v>21</v>
      </c>
      <c r="E150">
        <v>37</v>
      </c>
      <c r="F150" t="s">
        <v>15</v>
      </c>
      <c r="G150">
        <v>377.07</v>
      </c>
      <c r="H150">
        <v>25</v>
      </c>
      <c r="I150" t="s">
        <v>22</v>
      </c>
      <c r="J150">
        <v>3.2</v>
      </c>
      <c r="K150" t="s">
        <v>17</v>
      </c>
      <c r="L150" t="s">
        <v>18</v>
      </c>
      <c r="M150" t="str">
        <f>VLOOKUP(D154,Restaurant_Master!A:B,2,FALSE)</f>
        <v>https://dineout-media-assets.swiggy.com/swiggy/image/upload/fl_lossy,f_auto,q_auto/v1660793737/fdqxvxcxg1wtdwvyv45v.jpg</v>
      </c>
    </row>
    <row r="151" spans="1:13" x14ac:dyDescent="0.3">
      <c r="A151" t="s">
        <v>181</v>
      </c>
      <c r="B151" s="1">
        <v>45547</v>
      </c>
      <c r="C151" t="s">
        <v>13</v>
      </c>
      <c r="D151" t="s">
        <v>21</v>
      </c>
      <c r="E151">
        <v>47</v>
      </c>
      <c r="F151" t="s">
        <v>15</v>
      </c>
      <c r="G151">
        <v>715.12</v>
      </c>
      <c r="H151">
        <v>33</v>
      </c>
      <c r="I151" t="s">
        <v>22</v>
      </c>
      <c r="J151">
        <v>3.3</v>
      </c>
      <c r="K151" t="s">
        <v>17</v>
      </c>
      <c r="L151" t="s">
        <v>18</v>
      </c>
      <c r="M151" t="str">
        <f>VLOOKUP(D155,Restaurant_Master!A:B,2,FALSE)</f>
        <v>https://media-cdn.tripadvisor.com/media/photo-s/1c/c7/97/b6/photo6jpg.jpg</v>
      </c>
    </row>
    <row r="152" spans="1:13" x14ac:dyDescent="0.3">
      <c r="A152" t="s">
        <v>182</v>
      </c>
      <c r="B152" s="1">
        <v>45406</v>
      </c>
      <c r="C152" t="s">
        <v>20</v>
      </c>
      <c r="D152" t="s">
        <v>25</v>
      </c>
      <c r="E152">
        <v>37</v>
      </c>
      <c r="F152" t="s">
        <v>15</v>
      </c>
      <c r="G152">
        <v>543.59</v>
      </c>
      <c r="H152">
        <v>36</v>
      </c>
      <c r="I152" t="s">
        <v>22</v>
      </c>
      <c r="J152">
        <v>4.3</v>
      </c>
      <c r="K152" t="s">
        <v>26</v>
      </c>
      <c r="L152" t="s">
        <v>23</v>
      </c>
      <c r="M152" t="str">
        <f>VLOOKUP(D156,Restaurant_Master!A:B,2,FALSE)</f>
        <v>https://www.chatswoodinterchange.com/storages/2018/08/Sushi-World_666x448.jpg</v>
      </c>
    </row>
    <row r="153" spans="1:13" x14ac:dyDescent="0.3">
      <c r="A153" t="s">
        <v>183</v>
      </c>
      <c r="B153" s="1">
        <v>45511</v>
      </c>
      <c r="C153" t="s">
        <v>20</v>
      </c>
      <c r="D153" t="s">
        <v>32</v>
      </c>
      <c r="E153">
        <v>42</v>
      </c>
      <c r="F153" t="s">
        <v>15</v>
      </c>
      <c r="G153">
        <v>454.27</v>
      </c>
      <c r="H153">
        <v>28</v>
      </c>
      <c r="I153" t="s">
        <v>22</v>
      </c>
      <c r="J153">
        <v>3.3</v>
      </c>
      <c r="K153" t="s">
        <v>29</v>
      </c>
      <c r="L153" t="s">
        <v>18</v>
      </c>
      <c r="M153" t="str">
        <f>VLOOKUP(D157,Restaurant_Master!A:B,2,FALSE)</f>
        <v>https://www.chatswoodinterchange.com/storages/2018/08/Sushi-World_666x448.jpg</v>
      </c>
    </row>
    <row r="154" spans="1:13" x14ac:dyDescent="0.3">
      <c r="A154" t="s">
        <v>184</v>
      </c>
      <c r="B154" s="1">
        <v>45322</v>
      </c>
      <c r="C154" t="s">
        <v>20</v>
      </c>
      <c r="D154" t="s">
        <v>14</v>
      </c>
      <c r="E154">
        <v>18</v>
      </c>
      <c r="F154" t="s">
        <v>15</v>
      </c>
      <c r="G154">
        <v>905.5</v>
      </c>
      <c r="H154">
        <v>21</v>
      </c>
      <c r="I154" t="s">
        <v>22</v>
      </c>
      <c r="J154">
        <v>4.5999999999999996</v>
      </c>
      <c r="K154" t="s">
        <v>26</v>
      </c>
      <c r="L154" t="s">
        <v>23</v>
      </c>
      <c r="M154" t="str">
        <f>VLOOKUP(D158,Restaurant_Master!A:B,2,FALSE)</f>
        <v>https://dineout-media-assets.swiggy.com/swiggy/image/upload/fl_lossy,f_auto,q_auto/v1660793737/fdqxvxcxg1wtdwvyv45v.jpg</v>
      </c>
    </row>
    <row r="155" spans="1:13" x14ac:dyDescent="0.3">
      <c r="A155" t="s">
        <v>185</v>
      </c>
      <c r="B155" s="1">
        <v>45538</v>
      </c>
      <c r="C155" t="s">
        <v>34</v>
      </c>
      <c r="D155" t="s">
        <v>25</v>
      </c>
      <c r="E155">
        <v>54</v>
      </c>
      <c r="F155" t="s">
        <v>28</v>
      </c>
      <c r="G155">
        <v>525.05999999999995</v>
      </c>
      <c r="H155">
        <v>29</v>
      </c>
      <c r="I155" t="s">
        <v>22</v>
      </c>
      <c r="J155">
        <v>3.2</v>
      </c>
      <c r="K155" t="s">
        <v>17</v>
      </c>
      <c r="L155" t="s">
        <v>18</v>
      </c>
      <c r="M155" t="str">
        <f>VLOOKUP(D159,Restaurant_Master!A:B,2,FALSE)</f>
        <v>https://media-cdn.tripadvisor.com/media/photo-s/1c/c7/97/b6/photo6jpg.jpg</v>
      </c>
    </row>
    <row r="156" spans="1:13" x14ac:dyDescent="0.3">
      <c r="A156" t="s">
        <v>186</v>
      </c>
      <c r="B156" s="1">
        <v>45555</v>
      </c>
      <c r="C156" t="s">
        <v>34</v>
      </c>
      <c r="D156" t="s">
        <v>38</v>
      </c>
      <c r="E156">
        <v>28</v>
      </c>
      <c r="F156" t="s">
        <v>28</v>
      </c>
      <c r="G156">
        <v>546.36</v>
      </c>
      <c r="H156">
        <v>59</v>
      </c>
      <c r="I156" t="s">
        <v>16</v>
      </c>
      <c r="J156">
        <v>3.1</v>
      </c>
      <c r="K156" t="s">
        <v>26</v>
      </c>
      <c r="L156" t="s">
        <v>23</v>
      </c>
      <c r="M156" t="str">
        <f>VLOOKUP(D160,Restaurant_Master!A:B,2,FALSE)</f>
        <v>https://dynamic-media-cdn.tripadvisor.com/media/photo-o/1c/e7/04/0d/front-of-the-local-easily.jpg</v>
      </c>
    </row>
    <row r="157" spans="1:13" x14ac:dyDescent="0.3">
      <c r="A157" t="s">
        <v>187</v>
      </c>
      <c r="B157" s="1">
        <v>45429</v>
      </c>
      <c r="C157" t="s">
        <v>13</v>
      </c>
      <c r="D157" t="s">
        <v>38</v>
      </c>
      <c r="E157">
        <v>35</v>
      </c>
      <c r="F157" t="s">
        <v>15</v>
      </c>
      <c r="G157">
        <v>543.61</v>
      </c>
      <c r="H157">
        <v>41</v>
      </c>
      <c r="I157" t="s">
        <v>16</v>
      </c>
      <c r="J157">
        <v>4.5999999999999996</v>
      </c>
      <c r="K157" t="s">
        <v>29</v>
      </c>
      <c r="L157" t="s">
        <v>23</v>
      </c>
      <c r="M157" t="str">
        <f>VLOOKUP(D161,Restaurant_Master!A:B,2,FALSE)</f>
        <v>https://www.chatswoodinterchange.com/storages/2018/08/Sushi-World_666x448.jpg</v>
      </c>
    </row>
    <row r="158" spans="1:13" x14ac:dyDescent="0.3">
      <c r="A158" t="s">
        <v>188</v>
      </c>
      <c r="B158" s="1">
        <v>45633</v>
      </c>
      <c r="C158" t="s">
        <v>34</v>
      </c>
      <c r="D158" t="s">
        <v>14</v>
      </c>
      <c r="E158">
        <v>57</v>
      </c>
      <c r="F158" t="s">
        <v>15</v>
      </c>
      <c r="G158">
        <v>738.36</v>
      </c>
      <c r="H158">
        <v>26</v>
      </c>
      <c r="I158" t="s">
        <v>22</v>
      </c>
      <c r="J158">
        <v>4.3</v>
      </c>
      <c r="K158" t="s">
        <v>17</v>
      </c>
      <c r="L158" t="s">
        <v>18</v>
      </c>
      <c r="M158" t="str">
        <f>VLOOKUP(D162,Restaurant_Master!A:B,2,FALSE)</f>
        <v>https://media-cdn.tripadvisor.com/media/photo-s/1c/c7/97/b6/photo6jpg.jpg</v>
      </c>
    </row>
    <row r="159" spans="1:13" x14ac:dyDescent="0.3">
      <c r="A159" t="s">
        <v>189</v>
      </c>
      <c r="B159" s="1">
        <v>45356</v>
      </c>
      <c r="C159" t="s">
        <v>36</v>
      </c>
      <c r="D159" t="s">
        <v>25</v>
      </c>
      <c r="E159">
        <v>20</v>
      </c>
      <c r="F159" t="s">
        <v>28</v>
      </c>
      <c r="G159">
        <v>448.06</v>
      </c>
      <c r="H159">
        <v>54</v>
      </c>
      <c r="I159" t="s">
        <v>16</v>
      </c>
      <c r="J159">
        <v>4.2</v>
      </c>
      <c r="K159" t="s">
        <v>29</v>
      </c>
      <c r="L159" t="s">
        <v>18</v>
      </c>
      <c r="M159" t="str">
        <f>VLOOKUP(D163,Restaurant_Master!A:B,2,FALSE)</f>
        <v>https://media-cdn.tripadvisor.com/media/photo-s/1c/c7/97/b6/photo6jpg.jpg</v>
      </c>
    </row>
    <row r="160" spans="1:13" x14ac:dyDescent="0.3">
      <c r="A160" t="s">
        <v>190</v>
      </c>
      <c r="B160" s="1">
        <v>45500</v>
      </c>
      <c r="C160" t="s">
        <v>20</v>
      </c>
      <c r="D160" t="s">
        <v>21</v>
      </c>
      <c r="E160">
        <v>60</v>
      </c>
      <c r="F160" t="s">
        <v>15</v>
      </c>
      <c r="G160">
        <v>443.62</v>
      </c>
      <c r="H160">
        <v>44</v>
      </c>
      <c r="I160" t="s">
        <v>16</v>
      </c>
      <c r="J160">
        <v>4.9000000000000004</v>
      </c>
      <c r="K160" t="s">
        <v>41</v>
      </c>
      <c r="L160" t="s">
        <v>23</v>
      </c>
      <c r="M160" t="str">
        <f>VLOOKUP(D164,Restaurant_Master!A:B,2,FALSE)</f>
        <v>https://www.chatswoodinterchange.com/storages/2018/08/Sushi-World_666x448.jpg</v>
      </c>
    </row>
    <row r="161" spans="1:13" x14ac:dyDescent="0.3">
      <c r="A161" t="s">
        <v>191</v>
      </c>
      <c r="B161" s="1">
        <v>45593</v>
      </c>
      <c r="C161" t="s">
        <v>20</v>
      </c>
      <c r="D161" t="s">
        <v>38</v>
      </c>
      <c r="E161">
        <v>27</v>
      </c>
      <c r="F161" t="s">
        <v>15</v>
      </c>
      <c r="G161">
        <v>833.96</v>
      </c>
      <c r="H161">
        <v>24</v>
      </c>
      <c r="I161" t="s">
        <v>22</v>
      </c>
      <c r="J161">
        <v>2.6</v>
      </c>
      <c r="K161" t="s">
        <v>17</v>
      </c>
      <c r="L161" t="s">
        <v>18</v>
      </c>
      <c r="M161" t="str">
        <f>VLOOKUP(D165,Restaurant_Master!A:B,2,FALSE)</f>
        <v>https://media-cdn.tripadvisor.com/media/photo-s/1c/c7/97/b6/photo6jpg.jpg</v>
      </c>
    </row>
    <row r="162" spans="1:13" x14ac:dyDescent="0.3">
      <c r="A162" t="s">
        <v>192</v>
      </c>
      <c r="B162" s="1">
        <v>45344</v>
      </c>
      <c r="C162" t="s">
        <v>20</v>
      </c>
      <c r="D162" t="s">
        <v>25</v>
      </c>
      <c r="E162">
        <v>27</v>
      </c>
      <c r="F162" t="s">
        <v>28</v>
      </c>
      <c r="G162">
        <v>927.87</v>
      </c>
      <c r="H162">
        <v>54</v>
      </c>
      <c r="I162" t="s">
        <v>16</v>
      </c>
      <c r="J162">
        <v>3</v>
      </c>
      <c r="K162" t="s">
        <v>26</v>
      </c>
      <c r="L162" t="s">
        <v>18</v>
      </c>
      <c r="M162" t="str">
        <f>VLOOKUP(D166,Restaurant_Master!A:B,2,FALSE)</f>
        <v>https://media-cdn.tripadvisor.com/media/photo-s/1c/c7/97/b6/photo6jpg.jpg</v>
      </c>
    </row>
    <row r="163" spans="1:13" x14ac:dyDescent="0.3">
      <c r="A163" t="s">
        <v>193</v>
      </c>
      <c r="B163" s="1">
        <v>45541</v>
      </c>
      <c r="C163" t="s">
        <v>20</v>
      </c>
      <c r="D163" t="s">
        <v>25</v>
      </c>
      <c r="E163">
        <v>32</v>
      </c>
      <c r="F163" t="s">
        <v>15</v>
      </c>
      <c r="G163">
        <v>343.27</v>
      </c>
      <c r="H163">
        <v>54</v>
      </c>
      <c r="I163" t="s">
        <v>16</v>
      </c>
      <c r="J163">
        <v>4.9000000000000004</v>
      </c>
      <c r="K163" t="s">
        <v>29</v>
      </c>
      <c r="L163" t="s">
        <v>18</v>
      </c>
      <c r="M163" t="str">
        <f>VLOOKUP(D167,Restaurant_Master!A:B,2,FALSE)</f>
        <v>https://www.chatswoodinterchange.com/storages/2018/08/Sushi-World_666x448.jpg</v>
      </c>
    </row>
    <row r="164" spans="1:13" x14ac:dyDescent="0.3">
      <c r="A164" t="s">
        <v>194</v>
      </c>
      <c r="B164" s="1">
        <v>45495</v>
      </c>
      <c r="C164" t="s">
        <v>43</v>
      </c>
      <c r="D164" t="s">
        <v>38</v>
      </c>
      <c r="E164">
        <v>52</v>
      </c>
      <c r="F164" t="s">
        <v>15</v>
      </c>
      <c r="G164">
        <v>848.15</v>
      </c>
      <c r="H164">
        <v>50</v>
      </c>
      <c r="I164" t="s">
        <v>16</v>
      </c>
      <c r="J164">
        <v>4.7</v>
      </c>
      <c r="K164" t="s">
        <v>41</v>
      </c>
      <c r="L164" t="s">
        <v>18</v>
      </c>
      <c r="M164" t="str">
        <f>VLOOKUP(D168,Restaurant_Master!A:B,2,FALSE)</f>
        <v>https://dineout-media-assets.swiggy.com/swiggy/image/upload/fl_lossy,f_auto,q_auto/v1660793737/fdqxvxcxg1wtdwvyv45v.jpg</v>
      </c>
    </row>
    <row r="165" spans="1:13" x14ac:dyDescent="0.3">
      <c r="A165" t="s">
        <v>195</v>
      </c>
      <c r="B165" s="1">
        <v>45377</v>
      </c>
      <c r="C165" t="s">
        <v>34</v>
      </c>
      <c r="D165" t="s">
        <v>25</v>
      </c>
      <c r="E165">
        <v>60</v>
      </c>
      <c r="F165" t="s">
        <v>28</v>
      </c>
      <c r="G165">
        <v>157.9</v>
      </c>
      <c r="H165">
        <v>31</v>
      </c>
      <c r="I165" t="s">
        <v>22</v>
      </c>
      <c r="J165">
        <v>4.5999999999999996</v>
      </c>
      <c r="K165" t="s">
        <v>41</v>
      </c>
      <c r="L165" t="s">
        <v>18</v>
      </c>
      <c r="M165" t="str">
        <f>VLOOKUP(D169,Restaurant_Master!A:B,2,FALSE)</f>
        <v>https://dynamic-media-cdn.tripadvisor.com/media/photo-o/1c/e7/04/0d/front-of-the-local-easily.jpg</v>
      </c>
    </row>
    <row r="166" spans="1:13" x14ac:dyDescent="0.3">
      <c r="A166" t="s">
        <v>196</v>
      </c>
      <c r="B166" s="1">
        <v>45405</v>
      </c>
      <c r="C166" t="s">
        <v>36</v>
      </c>
      <c r="D166" t="s">
        <v>25</v>
      </c>
      <c r="E166">
        <v>60</v>
      </c>
      <c r="F166" t="s">
        <v>15</v>
      </c>
      <c r="G166">
        <v>1182.3599999999999</v>
      </c>
      <c r="H166">
        <v>24</v>
      </c>
      <c r="I166" t="s">
        <v>22</v>
      </c>
      <c r="J166">
        <v>4.2</v>
      </c>
      <c r="K166" t="s">
        <v>17</v>
      </c>
      <c r="L166" t="s">
        <v>23</v>
      </c>
      <c r="M166" t="str">
        <f>VLOOKUP(D170,Restaurant_Master!A:B,2,FALSE)</f>
        <v>https://content.jdmagicbox.com/comp/deoria/g6/9999p5568.5568.200119143033.m4g6/catalogue/biryani-house-deoria-ho-deoria-mktc2xph0o.jpg</v>
      </c>
    </row>
    <row r="167" spans="1:13" x14ac:dyDescent="0.3">
      <c r="A167" t="s">
        <v>197</v>
      </c>
      <c r="B167" s="1">
        <v>45625</v>
      </c>
      <c r="C167" t="s">
        <v>34</v>
      </c>
      <c r="D167" t="s">
        <v>38</v>
      </c>
      <c r="E167">
        <v>52</v>
      </c>
      <c r="F167" t="s">
        <v>15</v>
      </c>
      <c r="G167">
        <v>159.24</v>
      </c>
      <c r="H167">
        <v>60</v>
      </c>
      <c r="I167" t="s">
        <v>16</v>
      </c>
      <c r="J167">
        <v>2.8</v>
      </c>
      <c r="K167" t="s">
        <v>41</v>
      </c>
      <c r="L167" t="s">
        <v>23</v>
      </c>
      <c r="M167" t="str">
        <f>VLOOKUP(D171,Restaurant_Master!A:B,2,FALSE)</f>
        <v>https://media-cdn.tripadvisor.com/media/photo-s/1c/c7/97/b6/photo6jpg.jpg</v>
      </c>
    </row>
    <row r="168" spans="1:13" x14ac:dyDescent="0.3">
      <c r="A168" t="s">
        <v>198</v>
      </c>
      <c r="B168" s="1">
        <v>45614</v>
      </c>
      <c r="C168" t="s">
        <v>34</v>
      </c>
      <c r="D168" t="s">
        <v>14</v>
      </c>
      <c r="E168">
        <v>46</v>
      </c>
      <c r="F168" t="s">
        <v>28</v>
      </c>
      <c r="G168">
        <v>885.43</v>
      </c>
      <c r="H168">
        <v>22</v>
      </c>
      <c r="I168" t="s">
        <v>22</v>
      </c>
      <c r="J168">
        <v>4.5999999999999996</v>
      </c>
      <c r="K168" t="s">
        <v>29</v>
      </c>
      <c r="L168" t="s">
        <v>18</v>
      </c>
      <c r="M168" t="str">
        <f>VLOOKUP(D172,Restaurant_Master!A:B,2,FALSE)</f>
        <v>https://dineout-media-assets.swiggy.com/swiggy/image/upload/fl_lossy,f_auto,q_auto/v1660793737/fdqxvxcxg1wtdwvyv45v.jpg</v>
      </c>
    </row>
    <row r="169" spans="1:13" x14ac:dyDescent="0.3">
      <c r="A169" t="s">
        <v>199</v>
      </c>
      <c r="B169" s="1">
        <v>45318</v>
      </c>
      <c r="C169" t="s">
        <v>43</v>
      </c>
      <c r="D169" t="s">
        <v>21</v>
      </c>
      <c r="E169">
        <v>55</v>
      </c>
      <c r="F169" t="s">
        <v>28</v>
      </c>
      <c r="G169">
        <v>968.21</v>
      </c>
      <c r="H169">
        <v>52</v>
      </c>
      <c r="I169" t="s">
        <v>16</v>
      </c>
      <c r="J169">
        <v>4.2</v>
      </c>
      <c r="K169" t="s">
        <v>26</v>
      </c>
      <c r="L169" t="s">
        <v>23</v>
      </c>
      <c r="M169" t="str">
        <f>VLOOKUP(D173,Restaurant_Master!A:B,2,FALSE)</f>
        <v>https://content.jdmagicbox.com/comp/deoria/g6/9999p5568.5568.200119143033.m4g6/catalogue/biryani-house-deoria-ho-deoria-mktc2xph0o.jpg</v>
      </c>
    </row>
    <row r="170" spans="1:13" x14ac:dyDescent="0.3">
      <c r="A170" t="s">
        <v>200</v>
      </c>
      <c r="B170" s="1">
        <v>45349</v>
      </c>
      <c r="C170" t="s">
        <v>34</v>
      </c>
      <c r="D170" t="s">
        <v>32</v>
      </c>
      <c r="E170">
        <v>40</v>
      </c>
      <c r="F170" t="s">
        <v>15</v>
      </c>
      <c r="G170">
        <v>401.62</v>
      </c>
      <c r="H170">
        <v>36</v>
      </c>
      <c r="I170" t="s">
        <v>22</v>
      </c>
      <c r="J170">
        <v>3.1</v>
      </c>
      <c r="K170" t="s">
        <v>17</v>
      </c>
      <c r="L170" t="s">
        <v>23</v>
      </c>
      <c r="M170" t="str">
        <f>VLOOKUP(D174,Restaurant_Master!A:B,2,FALSE)</f>
        <v>https://www.chatswoodinterchange.com/storages/2018/08/Sushi-World_666x448.jpg</v>
      </c>
    </row>
    <row r="171" spans="1:13" x14ac:dyDescent="0.3">
      <c r="A171" t="s">
        <v>201</v>
      </c>
      <c r="B171" s="1">
        <v>45611</v>
      </c>
      <c r="C171" t="s">
        <v>20</v>
      </c>
      <c r="D171" t="s">
        <v>25</v>
      </c>
      <c r="E171">
        <v>43</v>
      </c>
      <c r="F171" t="s">
        <v>15</v>
      </c>
      <c r="G171">
        <v>310.22000000000003</v>
      </c>
      <c r="H171">
        <v>56</v>
      </c>
      <c r="I171" t="s">
        <v>16</v>
      </c>
      <c r="J171">
        <v>4.5</v>
      </c>
      <c r="K171" t="s">
        <v>29</v>
      </c>
      <c r="L171" t="s">
        <v>18</v>
      </c>
      <c r="M171" t="str">
        <f>VLOOKUP(D175,Restaurant_Master!A:B,2,FALSE)</f>
        <v>https://content.jdmagicbox.com/comp/deoria/g6/9999p5568.5568.200119143033.m4g6/catalogue/biryani-house-deoria-ho-deoria-mktc2xph0o.jpg</v>
      </c>
    </row>
    <row r="172" spans="1:13" x14ac:dyDescent="0.3">
      <c r="A172" t="s">
        <v>202</v>
      </c>
      <c r="B172" s="1">
        <v>45399</v>
      </c>
      <c r="C172" t="s">
        <v>36</v>
      </c>
      <c r="D172" t="s">
        <v>14</v>
      </c>
      <c r="E172">
        <v>44</v>
      </c>
      <c r="F172" t="s">
        <v>28</v>
      </c>
      <c r="G172">
        <v>301.93</v>
      </c>
      <c r="H172">
        <v>31</v>
      </c>
      <c r="I172" t="s">
        <v>22</v>
      </c>
      <c r="J172">
        <v>4.9000000000000004</v>
      </c>
      <c r="K172" t="s">
        <v>29</v>
      </c>
      <c r="L172" t="s">
        <v>23</v>
      </c>
      <c r="M172" t="str">
        <f>VLOOKUP(D176,Restaurant_Master!A:B,2,FALSE)</f>
        <v>https://media-cdn.tripadvisor.com/media/photo-s/1c/c7/97/b6/photo6jpg.jpg</v>
      </c>
    </row>
    <row r="173" spans="1:13" x14ac:dyDescent="0.3">
      <c r="A173" t="s">
        <v>203</v>
      </c>
      <c r="B173" s="1">
        <v>45379</v>
      </c>
      <c r="C173" t="s">
        <v>34</v>
      </c>
      <c r="D173" t="s">
        <v>32</v>
      </c>
      <c r="E173">
        <v>23</v>
      </c>
      <c r="F173" t="s">
        <v>28</v>
      </c>
      <c r="G173">
        <v>348.5</v>
      </c>
      <c r="H173">
        <v>22</v>
      </c>
      <c r="I173" t="s">
        <v>22</v>
      </c>
      <c r="J173">
        <v>4.9000000000000004</v>
      </c>
      <c r="K173" t="s">
        <v>29</v>
      </c>
      <c r="L173" t="s">
        <v>18</v>
      </c>
      <c r="M173" t="str">
        <f>VLOOKUP(D177,Restaurant_Master!A:B,2,FALSE)</f>
        <v>https://dynamic-media-cdn.tripadvisor.com/media/photo-o/1c/e7/04/0d/front-of-the-local-easily.jpg</v>
      </c>
    </row>
    <row r="174" spans="1:13" x14ac:dyDescent="0.3">
      <c r="A174" t="s">
        <v>204</v>
      </c>
      <c r="B174" s="1">
        <v>45311</v>
      </c>
      <c r="C174" t="s">
        <v>13</v>
      </c>
      <c r="D174" t="s">
        <v>38</v>
      </c>
      <c r="E174">
        <v>56</v>
      </c>
      <c r="F174" t="s">
        <v>28</v>
      </c>
      <c r="G174">
        <v>765.95</v>
      </c>
      <c r="H174">
        <v>33</v>
      </c>
      <c r="I174" t="s">
        <v>22</v>
      </c>
      <c r="J174">
        <v>4.8</v>
      </c>
      <c r="K174" t="s">
        <v>29</v>
      </c>
      <c r="L174" t="s">
        <v>23</v>
      </c>
      <c r="M174" t="str">
        <f>VLOOKUP(D178,Restaurant_Master!A:B,2,FALSE)</f>
        <v>https://dynamic-media-cdn.tripadvisor.com/media/photo-o/1c/e7/04/0d/front-of-the-local-easily.jpg</v>
      </c>
    </row>
    <row r="175" spans="1:13" x14ac:dyDescent="0.3">
      <c r="A175" t="s">
        <v>205</v>
      </c>
      <c r="B175" s="1">
        <v>45367</v>
      </c>
      <c r="C175" t="s">
        <v>13</v>
      </c>
      <c r="D175" t="s">
        <v>32</v>
      </c>
      <c r="E175">
        <v>28</v>
      </c>
      <c r="F175" t="s">
        <v>15</v>
      </c>
      <c r="G175">
        <v>256.45</v>
      </c>
      <c r="H175">
        <v>60</v>
      </c>
      <c r="I175" t="s">
        <v>16</v>
      </c>
      <c r="J175">
        <v>4.8</v>
      </c>
      <c r="K175" t="s">
        <v>29</v>
      </c>
      <c r="L175" t="s">
        <v>18</v>
      </c>
      <c r="M175" t="str">
        <f>VLOOKUP(D179,Restaurant_Master!A:B,2,FALSE)</f>
        <v>https://content.jdmagicbox.com/comp/deoria/g6/9999p5568.5568.200119143033.m4g6/catalogue/biryani-house-deoria-ho-deoria-mktc2xph0o.jpg</v>
      </c>
    </row>
    <row r="176" spans="1:13" x14ac:dyDescent="0.3">
      <c r="A176" t="s">
        <v>206</v>
      </c>
      <c r="B176" s="1">
        <v>45303</v>
      </c>
      <c r="C176" t="s">
        <v>43</v>
      </c>
      <c r="D176" t="s">
        <v>25</v>
      </c>
      <c r="E176">
        <v>22</v>
      </c>
      <c r="F176" t="s">
        <v>15</v>
      </c>
      <c r="G176">
        <v>1004.55</v>
      </c>
      <c r="H176">
        <v>57</v>
      </c>
      <c r="I176" t="s">
        <v>16</v>
      </c>
      <c r="J176">
        <v>4.5999999999999996</v>
      </c>
      <c r="K176" t="s">
        <v>41</v>
      </c>
      <c r="L176" t="s">
        <v>18</v>
      </c>
      <c r="M176" t="str">
        <f>VLOOKUP(D180,Restaurant_Master!A:B,2,FALSE)</f>
        <v>https://dynamic-media-cdn.tripadvisor.com/media/photo-o/1c/e7/04/0d/front-of-the-local-easily.jpg</v>
      </c>
    </row>
    <row r="177" spans="1:13" x14ac:dyDescent="0.3">
      <c r="A177" t="s">
        <v>207</v>
      </c>
      <c r="B177" s="1">
        <v>45402</v>
      </c>
      <c r="C177" t="s">
        <v>20</v>
      </c>
      <c r="D177" t="s">
        <v>21</v>
      </c>
      <c r="E177">
        <v>26</v>
      </c>
      <c r="F177" t="s">
        <v>15</v>
      </c>
      <c r="G177">
        <v>957.01</v>
      </c>
      <c r="H177">
        <v>42</v>
      </c>
      <c r="I177" t="s">
        <v>16</v>
      </c>
      <c r="J177">
        <v>3.5</v>
      </c>
      <c r="K177" t="s">
        <v>29</v>
      </c>
      <c r="L177" t="s">
        <v>18</v>
      </c>
      <c r="M177" t="str">
        <f>VLOOKUP(D181,Restaurant_Master!A:B,2,FALSE)</f>
        <v>https://content.jdmagicbox.com/comp/deoria/g6/9999p5568.5568.200119143033.m4g6/catalogue/biryani-house-deoria-ho-deoria-mktc2xph0o.jpg</v>
      </c>
    </row>
    <row r="178" spans="1:13" x14ac:dyDescent="0.3">
      <c r="A178" t="s">
        <v>208</v>
      </c>
      <c r="B178" s="1">
        <v>45444</v>
      </c>
      <c r="C178" t="s">
        <v>34</v>
      </c>
      <c r="D178" t="s">
        <v>21</v>
      </c>
      <c r="E178">
        <v>43</v>
      </c>
      <c r="F178" t="s">
        <v>28</v>
      </c>
      <c r="G178">
        <v>765.32</v>
      </c>
      <c r="H178">
        <v>49</v>
      </c>
      <c r="I178" t="s">
        <v>16</v>
      </c>
      <c r="J178">
        <v>2.7</v>
      </c>
      <c r="K178" t="s">
        <v>41</v>
      </c>
      <c r="L178" t="s">
        <v>23</v>
      </c>
      <c r="M178" t="str">
        <f>VLOOKUP(D182,Restaurant_Master!A:B,2,FALSE)</f>
        <v>https://dynamic-media-cdn.tripadvisor.com/media/photo-o/1c/e7/04/0d/front-of-the-local-easily.jpg</v>
      </c>
    </row>
    <row r="179" spans="1:13" x14ac:dyDescent="0.3">
      <c r="A179" t="s">
        <v>209</v>
      </c>
      <c r="B179" s="1">
        <v>45483</v>
      </c>
      <c r="C179" t="s">
        <v>13</v>
      </c>
      <c r="D179" t="s">
        <v>32</v>
      </c>
      <c r="E179">
        <v>20</v>
      </c>
      <c r="F179" t="s">
        <v>15</v>
      </c>
      <c r="G179">
        <v>894.9</v>
      </c>
      <c r="H179">
        <v>34</v>
      </c>
      <c r="I179" t="s">
        <v>22</v>
      </c>
      <c r="J179">
        <v>3.1</v>
      </c>
      <c r="K179" t="s">
        <v>29</v>
      </c>
      <c r="L179" t="s">
        <v>23</v>
      </c>
      <c r="M179" t="str">
        <f>VLOOKUP(D183,Restaurant_Master!A:B,2,FALSE)</f>
        <v>https://dineout-media-assets.swiggy.com/swiggy/image/upload/fl_lossy,f_auto,q_auto/v1660793737/fdqxvxcxg1wtdwvyv45v.jpg</v>
      </c>
    </row>
    <row r="180" spans="1:13" x14ac:dyDescent="0.3">
      <c r="A180" t="s">
        <v>210</v>
      </c>
      <c r="B180" s="1">
        <v>45462</v>
      </c>
      <c r="C180" t="s">
        <v>43</v>
      </c>
      <c r="D180" t="s">
        <v>21</v>
      </c>
      <c r="E180">
        <v>24</v>
      </c>
      <c r="F180" t="s">
        <v>28</v>
      </c>
      <c r="G180">
        <v>672.09</v>
      </c>
      <c r="H180">
        <v>26</v>
      </c>
      <c r="I180" t="s">
        <v>22</v>
      </c>
      <c r="J180">
        <v>4.7</v>
      </c>
      <c r="K180" t="s">
        <v>26</v>
      </c>
      <c r="L180" t="s">
        <v>23</v>
      </c>
      <c r="M180" t="str">
        <f>VLOOKUP(D184,Restaurant_Master!A:B,2,FALSE)</f>
        <v>https://dynamic-media-cdn.tripadvisor.com/media/photo-o/1c/e7/04/0d/front-of-the-local-easily.jpg</v>
      </c>
    </row>
    <row r="181" spans="1:13" x14ac:dyDescent="0.3">
      <c r="A181" t="s">
        <v>211</v>
      </c>
      <c r="B181" s="1">
        <v>45299</v>
      </c>
      <c r="C181" t="s">
        <v>34</v>
      </c>
      <c r="D181" t="s">
        <v>32</v>
      </c>
      <c r="E181">
        <v>20</v>
      </c>
      <c r="F181" t="s">
        <v>15</v>
      </c>
      <c r="G181">
        <v>518.71</v>
      </c>
      <c r="H181">
        <v>31</v>
      </c>
      <c r="I181" t="s">
        <v>22</v>
      </c>
      <c r="J181">
        <v>4.4000000000000004</v>
      </c>
      <c r="K181" t="s">
        <v>29</v>
      </c>
      <c r="L181" t="s">
        <v>23</v>
      </c>
      <c r="M181" t="str">
        <f>VLOOKUP(D185,Restaurant_Master!A:B,2,FALSE)</f>
        <v>https://content.jdmagicbox.com/comp/deoria/g6/9999p5568.5568.200119143033.m4g6/catalogue/biryani-house-deoria-ho-deoria-mktc2xph0o.jpg</v>
      </c>
    </row>
    <row r="182" spans="1:13" x14ac:dyDescent="0.3">
      <c r="A182" t="s">
        <v>212</v>
      </c>
      <c r="B182" s="1">
        <v>45656</v>
      </c>
      <c r="C182" t="s">
        <v>36</v>
      </c>
      <c r="D182" t="s">
        <v>21</v>
      </c>
      <c r="E182">
        <v>39</v>
      </c>
      <c r="F182" t="s">
        <v>28</v>
      </c>
      <c r="G182">
        <v>422.85</v>
      </c>
      <c r="H182">
        <v>49</v>
      </c>
      <c r="I182" t="s">
        <v>16</v>
      </c>
      <c r="J182">
        <v>3.5</v>
      </c>
      <c r="K182" t="s">
        <v>26</v>
      </c>
      <c r="L182" t="s">
        <v>18</v>
      </c>
      <c r="M182" t="str">
        <f>VLOOKUP(D186,Restaurant_Master!A:B,2,FALSE)</f>
        <v>https://content.jdmagicbox.com/comp/deoria/g6/9999p5568.5568.200119143033.m4g6/catalogue/biryani-house-deoria-ho-deoria-mktc2xph0o.jpg</v>
      </c>
    </row>
    <row r="183" spans="1:13" x14ac:dyDescent="0.3">
      <c r="A183" t="s">
        <v>213</v>
      </c>
      <c r="B183" s="1">
        <v>45533</v>
      </c>
      <c r="C183" t="s">
        <v>20</v>
      </c>
      <c r="D183" t="s">
        <v>14</v>
      </c>
      <c r="E183">
        <v>40</v>
      </c>
      <c r="F183" t="s">
        <v>28</v>
      </c>
      <c r="G183">
        <v>744.22</v>
      </c>
      <c r="H183">
        <v>24</v>
      </c>
      <c r="I183" t="s">
        <v>22</v>
      </c>
      <c r="J183">
        <v>3.5</v>
      </c>
      <c r="K183" t="s">
        <v>29</v>
      </c>
      <c r="L183" t="s">
        <v>18</v>
      </c>
      <c r="M183" t="str">
        <f>VLOOKUP(D187,Restaurant_Master!A:B,2,FALSE)</f>
        <v>https://content.jdmagicbox.com/comp/deoria/g6/9999p5568.5568.200119143033.m4g6/catalogue/biryani-house-deoria-ho-deoria-mktc2xph0o.jpg</v>
      </c>
    </row>
    <row r="184" spans="1:13" x14ac:dyDescent="0.3">
      <c r="A184" t="s">
        <v>214</v>
      </c>
      <c r="B184" s="1">
        <v>45340</v>
      </c>
      <c r="C184" t="s">
        <v>43</v>
      </c>
      <c r="D184" t="s">
        <v>21</v>
      </c>
      <c r="E184">
        <v>28</v>
      </c>
      <c r="F184" t="s">
        <v>15</v>
      </c>
      <c r="G184">
        <v>799.79</v>
      </c>
      <c r="H184">
        <v>40</v>
      </c>
      <c r="I184" t="s">
        <v>22</v>
      </c>
      <c r="J184">
        <v>3.8</v>
      </c>
      <c r="K184" t="s">
        <v>41</v>
      </c>
      <c r="L184" t="s">
        <v>23</v>
      </c>
      <c r="M184" t="str">
        <f>VLOOKUP(D188,Restaurant_Master!A:B,2,FALSE)</f>
        <v>https://dineout-media-assets.swiggy.com/swiggy/image/upload/fl_lossy,f_auto,q_auto/v1660793737/fdqxvxcxg1wtdwvyv45v.jpg</v>
      </c>
    </row>
    <row r="185" spans="1:13" x14ac:dyDescent="0.3">
      <c r="A185" t="s">
        <v>215</v>
      </c>
      <c r="B185" s="1">
        <v>45601</v>
      </c>
      <c r="C185" t="s">
        <v>34</v>
      </c>
      <c r="D185" t="s">
        <v>32</v>
      </c>
      <c r="E185">
        <v>21</v>
      </c>
      <c r="F185" t="s">
        <v>28</v>
      </c>
      <c r="G185">
        <v>956.08</v>
      </c>
      <c r="H185">
        <v>60</v>
      </c>
      <c r="I185" t="s">
        <v>16</v>
      </c>
      <c r="J185">
        <v>3.8</v>
      </c>
      <c r="K185" t="s">
        <v>17</v>
      </c>
      <c r="L185" t="s">
        <v>23</v>
      </c>
      <c r="M185" t="str">
        <f>VLOOKUP(D189,Restaurant_Master!A:B,2,FALSE)</f>
        <v>https://media-cdn.tripadvisor.com/media/photo-s/1c/c7/97/b6/photo6jpg.jpg</v>
      </c>
    </row>
    <row r="186" spans="1:13" x14ac:dyDescent="0.3">
      <c r="A186" t="s">
        <v>216</v>
      </c>
      <c r="B186" s="1">
        <v>45601</v>
      </c>
      <c r="C186" t="s">
        <v>20</v>
      </c>
      <c r="D186" t="s">
        <v>32</v>
      </c>
      <c r="E186">
        <v>38</v>
      </c>
      <c r="F186" t="s">
        <v>15</v>
      </c>
      <c r="G186">
        <v>871.44</v>
      </c>
      <c r="H186">
        <v>43</v>
      </c>
      <c r="I186" t="s">
        <v>16</v>
      </c>
      <c r="J186">
        <v>2.8</v>
      </c>
      <c r="K186" t="s">
        <v>26</v>
      </c>
      <c r="L186" t="s">
        <v>23</v>
      </c>
      <c r="M186" t="str">
        <f>VLOOKUP(D190,Restaurant_Master!A:B,2,FALSE)</f>
        <v>https://dynamic-media-cdn.tripadvisor.com/media/photo-o/1c/e7/04/0d/front-of-the-local-easily.jpg</v>
      </c>
    </row>
    <row r="187" spans="1:13" x14ac:dyDescent="0.3">
      <c r="A187" t="s">
        <v>217</v>
      </c>
      <c r="B187" s="1">
        <v>45395</v>
      </c>
      <c r="C187" t="s">
        <v>34</v>
      </c>
      <c r="D187" t="s">
        <v>32</v>
      </c>
      <c r="E187">
        <v>20</v>
      </c>
      <c r="F187" t="s">
        <v>15</v>
      </c>
      <c r="G187">
        <v>440.48</v>
      </c>
      <c r="H187">
        <v>51</v>
      </c>
      <c r="I187" t="s">
        <v>16</v>
      </c>
      <c r="J187">
        <v>2.6</v>
      </c>
      <c r="K187" t="s">
        <v>26</v>
      </c>
      <c r="L187" t="s">
        <v>23</v>
      </c>
      <c r="M187" t="str">
        <f>VLOOKUP(D191,Restaurant_Master!A:B,2,FALSE)</f>
        <v>https://content.jdmagicbox.com/comp/deoria/g6/9999p5568.5568.200119143033.m4g6/catalogue/biryani-house-deoria-ho-deoria-mktc2xph0o.jpg</v>
      </c>
    </row>
    <row r="188" spans="1:13" x14ac:dyDescent="0.3">
      <c r="A188" t="s">
        <v>218</v>
      </c>
      <c r="B188" s="1">
        <v>45314</v>
      </c>
      <c r="C188" t="s">
        <v>20</v>
      </c>
      <c r="D188" t="s">
        <v>14</v>
      </c>
      <c r="E188">
        <v>23</v>
      </c>
      <c r="F188" t="s">
        <v>28</v>
      </c>
      <c r="G188">
        <v>880.02</v>
      </c>
      <c r="H188">
        <v>21</v>
      </c>
      <c r="I188" t="s">
        <v>22</v>
      </c>
      <c r="J188">
        <v>4.4000000000000004</v>
      </c>
      <c r="K188" t="s">
        <v>26</v>
      </c>
      <c r="L188" t="s">
        <v>18</v>
      </c>
      <c r="M188" t="str">
        <f>VLOOKUP(D192,Restaurant_Master!A:B,2,FALSE)</f>
        <v>https://www.chatswoodinterchange.com/storages/2018/08/Sushi-World_666x448.jpg</v>
      </c>
    </row>
    <row r="189" spans="1:13" x14ac:dyDescent="0.3">
      <c r="A189" t="s">
        <v>219</v>
      </c>
      <c r="B189" s="1">
        <v>45334</v>
      </c>
      <c r="C189" t="s">
        <v>34</v>
      </c>
      <c r="D189" t="s">
        <v>25</v>
      </c>
      <c r="E189">
        <v>57</v>
      </c>
      <c r="F189" t="s">
        <v>28</v>
      </c>
      <c r="G189">
        <v>1182.56</v>
      </c>
      <c r="H189">
        <v>55</v>
      </c>
      <c r="I189" t="s">
        <v>16</v>
      </c>
      <c r="J189">
        <v>3.1</v>
      </c>
      <c r="K189" t="s">
        <v>29</v>
      </c>
      <c r="L189" t="s">
        <v>23</v>
      </c>
      <c r="M189" t="str">
        <f>VLOOKUP(D193,Restaurant_Master!A:B,2,FALSE)</f>
        <v>https://content.jdmagicbox.com/comp/deoria/g6/9999p5568.5568.200119143033.m4g6/catalogue/biryani-house-deoria-ho-deoria-mktc2xph0o.jpg</v>
      </c>
    </row>
    <row r="190" spans="1:13" x14ac:dyDescent="0.3">
      <c r="A190" t="s">
        <v>220</v>
      </c>
      <c r="B190" s="1">
        <v>45428</v>
      </c>
      <c r="C190" t="s">
        <v>20</v>
      </c>
      <c r="D190" t="s">
        <v>21</v>
      </c>
      <c r="E190">
        <v>23</v>
      </c>
      <c r="F190" t="s">
        <v>28</v>
      </c>
      <c r="G190">
        <v>377.8</v>
      </c>
      <c r="H190">
        <v>38</v>
      </c>
      <c r="I190" t="s">
        <v>22</v>
      </c>
      <c r="J190">
        <v>2.8</v>
      </c>
      <c r="K190" t="s">
        <v>26</v>
      </c>
      <c r="L190" t="s">
        <v>18</v>
      </c>
      <c r="M190" t="str">
        <f>VLOOKUP(D194,Restaurant_Master!A:B,2,FALSE)</f>
        <v>https://dynamic-media-cdn.tripadvisor.com/media/photo-o/1c/e7/04/0d/front-of-the-local-easily.jpg</v>
      </c>
    </row>
    <row r="191" spans="1:13" x14ac:dyDescent="0.3">
      <c r="A191" t="s">
        <v>221</v>
      </c>
      <c r="B191" s="1">
        <v>45341</v>
      </c>
      <c r="C191" t="s">
        <v>43</v>
      </c>
      <c r="D191" t="s">
        <v>32</v>
      </c>
      <c r="E191">
        <v>33</v>
      </c>
      <c r="F191" t="s">
        <v>15</v>
      </c>
      <c r="G191">
        <v>654.13</v>
      </c>
      <c r="H191">
        <v>25</v>
      </c>
      <c r="I191" t="s">
        <v>22</v>
      </c>
      <c r="J191">
        <v>4.5999999999999996</v>
      </c>
      <c r="K191" t="s">
        <v>41</v>
      </c>
      <c r="L191" t="s">
        <v>18</v>
      </c>
      <c r="M191" t="str">
        <f>VLOOKUP(D195,Restaurant_Master!A:B,2,FALSE)</f>
        <v>https://dineout-media-assets.swiggy.com/swiggy/image/upload/fl_lossy,f_auto,q_auto/v1660793737/fdqxvxcxg1wtdwvyv45v.jpg</v>
      </c>
    </row>
    <row r="192" spans="1:13" x14ac:dyDescent="0.3">
      <c r="A192" t="s">
        <v>222</v>
      </c>
      <c r="B192" s="1">
        <v>45300</v>
      </c>
      <c r="C192" t="s">
        <v>20</v>
      </c>
      <c r="D192" t="s">
        <v>38</v>
      </c>
      <c r="E192">
        <v>22</v>
      </c>
      <c r="F192" t="s">
        <v>28</v>
      </c>
      <c r="G192">
        <v>1015.23</v>
      </c>
      <c r="H192">
        <v>57</v>
      </c>
      <c r="I192" t="s">
        <v>16</v>
      </c>
      <c r="J192">
        <v>3.1</v>
      </c>
      <c r="K192" t="s">
        <v>17</v>
      </c>
      <c r="L192" t="s">
        <v>23</v>
      </c>
      <c r="M192" t="str">
        <f>VLOOKUP(D196,Restaurant_Master!A:B,2,FALSE)</f>
        <v>https://content.jdmagicbox.com/comp/deoria/g6/9999p5568.5568.200119143033.m4g6/catalogue/biryani-house-deoria-ho-deoria-mktc2xph0o.jpg</v>
      </c>
    </row>
    <row r="193" spans="1:13" x14ac:dyDescent="0.3">
      <c r="A193" t="s">
        <v>223</v>
      </c>
      <c r="B193" s="1">
        <v>45572</v>
      </c>
      <c r="C193" t="s">
        <v>43</v>
      </c>
      <c r="D193" t="s">
        <v>32</v>
      </c>
      <c r="E193">
        <v>39</v>
      </c>
      <c r="F193" t="s">
        <v>15</v>
      </c>
      <c r="G193">
        <v>899.19</v>
      </c>
      <c r="H193">
        <v>56</v>
      </c>
      <c r="I193" t="s">
        <v>16</v>
      </c>
      <c r="J193">
        <v>4.9000000000000004</v>
      </c>
      <c r="K193" t="s">
        <v>29</v>
      </c>
      <c r="L193" t="s">
        <v>18</v>
      </c>
      <c r="M193" t="str">
        <f>VLOOKUP(D197,Restaurant_Master!A:B,2,FALSE)</f>
        <v>https://dynamic-media-cdn.tripadvisor.com/media/photo-o/1c/e7/04/0d/front-of-the-local-easily.jpg</v>
      </c>
    </row>
    <row r="194" spans="1:13" x14ac:dyDescent="0.3">
      <c r="A194" t="s">
        <v>224</v>
      </c>
      <c r="B194" s="1">
        <v>45447</v>
      </c>
      <c r="C194" t="s">
        <v>13</v>
      </c>
      <c r="D194" t="s">
        <v>21</v>
      </c>
      <c r="E194">
        <v>40</v>
      </c>
      <c r="F194" t="s">
        <v>28</v>
      </c>
      <c r="G194">
        <v>517.92999999999995</v>
      </c>
      <c r="H194">
        <v>58</v>
      </c>
      <c r="I194" t="s">
        <v>16</v>
      </c>
      <c r="J194">
        <v>3.4</v>
      </c>
      <c r="K194" t="s">
        <v>26</v>
      </c>
      <c r="L194" t="s">
        <v>23</v>
      </c>
      <c r="M194" t="str">
        <f>VLOOKUP(D198,Restaurant_Master!A:B,2,FALSE)</f>
        <v>https://dineout-media-assets.swiggy.com/swiggy/image/upload/fl_lossy,f_auto,q_auto/v1660793737/fdqxvxcxg1wtdwvyv45v.jpg</v>
      </c>
    </row>
    <row r="195" spans="1:13" x14ac:dyDescent="0.3">
      <c r="A195" t="s">
        <v>225</v>
      </c>
      <c r="B195" s="1">
        <v>45465</v>
      </c>
      <c r="C195" t="s">
        <v>36</v>
      </c>
      <c r="D195" t="s">
        <v>14</v>
      </c>
      <c r="E195">
        <v>21</v>
      </c>
      <c r="F195" t="s">
        <v>28</v>
      </c>
      <c r="G195">
        <v>264.69</v>
      </c>
      <c r="H195">
        <v>27</v>
      </c>
      <c r="I195" t="s">
        <v>22</v>
      </c>
      <c r="J195">
        <v>4.8</v>
      </c>
      <c r="K195" t="s">
        <v>29</v>
      </c>
      <c r="L195" t="s">
        <v>23</v>
      </c>
      <c r="M195" t="str">
        <f>VLOOKUP(D199,Restaurant_Master!A:B,2,FALSE)</f>
        <v>https://content.jdmagicbox.com/comp/deoria/g6/9999p5568.5568.200119143033.m4g6/catalogue/biryani-house-deoria-ho-deoria-mktc2xph0o.jpg</v>
      </c>
    </row>
    <row r="196" spans="1:13" x14ac:dyDescent="0.3">
      <c r="A196" t="s">
        <v>226</v>
      </c>
      <c r="B196" s="1">
        <v>45462</v>
      </c>
      <c r="C196" t="s">
        <v>43</v>
      </c>
      <c r="D196" t="s">
        <v>32</v>
      </c>
      <c r="E196">
        <v>37</v>
      </c>
      <c r="F196" t="s">
        <v>28</v>
      </c>
      <c r="G196">
        <v>1074.94</v>
      </c>
      <c r="H196">
        <v>20</v>
      </c>
      <c r="I196" t="s">
        <v>22</v>
      </c>
      <c r="J196">
        <v>3.8</v>
      </c>
      <c r="K196" t="s">
        <v>29</v>
      </c>
      <c r="L196" t="s">
        <v>23</v>
      </c>
      <c r="M196" t="str">
        <f>VLOOKUP(D200,Restaurant_Master!A:B,2,FALSE)</f>
        <v>https://media-cdn.tripadvisor.com/media/photo-s/1c/c7/97/b6/photo6jpg.jpg</v>
      </c>
    </row>
    <row r="197" spans="1:13" x14ac:dyDescent="0.3">
      <c r="A197" t="s">
        <v>227</v>
      </c>
      <c r="B197" s="1">
        <v>45580</v>
      </c>
      <c r="C197" t="s">
        <v>36</v>
      </c>
      <c r="D197" t="s">
        <v>21</v>
      </c>
      <c r="E197">
        <v>57</v>
      </c>
      <c r="F197" t="s">
        <v>28</v>
      </c>
      <c r="G197">
        <v>318.3</v>
      </c>
      <c r="H197">
        <v>43</v>
      </c>
      <c r="I197" t="s">
        <v>16</v>
      </c>
      <c r="J197">
        <v>4.4000000000000004</v>
      </c>
      <c r="K197" t="s">
        <v>29</v>
      </c>
      <c r="L197" t="s">
        <v>23</v>
      </c>
      <c r="M197" t="str">
        <f>VLOOKUP(D201,Restaurant_Master!A:B,2,FALSE)</f>
        <v>https://dineout-media-assets.swiggy.com/swiggy/image/upload/fl_lossy,f_auto,q_auto/v1660793737/fdqxvxcxg1wtdwvyv45v.jpg</v>
      </c>
    </row>
    <row r="198" spans="1:13" x14ac:dyDescent="0.3">
      <c r="A198" t="s">
        <v>228</v>
      </c>
      <c r="B198" s="1">
        <v>45588</v>
      </c>
      <c r="C198" t="s">
        <v>20</v>
      </c>
      <c r="D198" t="s">
        <v>14</v>
      </c>
      <c r="E198">
        <v>59</v>
      </c>
      <c r="F198" t="s">
        <v>15</v>
      </c>
      <c r="G198">
        <v>689.68</v>
      </c>
      <c r="H198">
        <v>31</v>
      </c>
      <c r="I198" t="s">
        <v>22</v>
      </c>
      <c r="J198">
        <v>2.9</v>
      </c>
      <c r="K198" t="s">
        <v>29</v>
      </c>
      <c r="L198" t="s">
        <v>18</v>
      </c>
      <c r="M198" t="str">
        <f>VLOOKUP(D202,Restaurant_Master!A:B,2,FALSE)</f>
        <v>https://www.chatswoodinterchange.com/storages/2018/08/Sushi-World_666x448.jpg</v>
      </c>
    </row>
    <row r="199" spans="1:13" x14ac:dyDescent="0.3">
      <c r="A199" t="s">
        <v>229</v>
      </c>
      <c r="B199" s="1">
        <v>45556</v>
      </c>
      <c r="C199" t="s">
        <v>43</v>
      </c>
      <c r="D199" t="s">
        <v>32</v>
      </c>
      <c r="E199">
        <v>50</v>
      </c>
      <c r="F199" t="s">
        <v>15</v>
      </c>
      <c r="G199">
        <v>916.93</v>
      </c>
      <c r="H199">
        <v>37</v>
      </c>
      <c r="I199" t="s">
        <v>22</v>
      </c>
      <c r="J199">
        <v>4.8</v>
      </c>
      <c r="K199" t="s">
        <v>41</v>
      </c>
      <c r="L199" t="s">
        <v>23</v>
      </c>
      <c r="M199" t="str">
        <f>VLOOKUP(D203,Restaurant_Master!A:B,2,FALSE)</f>
        <v>https://content.jdmagicbox.com/comp/deoria/g6/9999p5568.5568.200119143033.m4g6/catalogue/biryani-house-deoria-ho-deoria-mktc2xph0o.jpg</v>
      </c>
    </row>
    <row r="200" spans="1:13" x14ac:dyDescent="0.3">
      <c r="A200" t="s">
        <v>230</v>
      </c>
      <c r="B200" s="1">
        <v>45504</v>
      </c>
      <c r="C200" t="s">
        <v>36</v>
      </c>
      <c r="D200" t="s">
        <v>25</v>
      </c>
      <c r="E200">
        <v>39</v>
      </c>
      <c r="F200" t="s">
        <v>15</v>
      </c>
      <c r="G200">
        <v>694.78</v>
      </c>
      <c r="H200">
        <v>58</v>
      </c>
      <c r="I200" t="s">
        <v>16</v>
      </c>
      <c r="J200">
        <v>3.7</v>
      </c>
      <c r="K200" t="s">
        <v>29</v>
      </c>
      <c r="L200" t="s">
        <v>18</v>
      </c>
      <c r="M200" t="str">
        <f>VLOOKUP(D204,Restaurant_Master!A:B,2,FALSE)</f>
        <v>https://dynamic-media-cdn.tripadvisor.com/media/photo-o/1c/e7/04/0d/front-of-the-local-easily.jpg</v>
      </c>
    </row>
    <row r="201" spans="1:13" x14ac:dyDescent="0.3">
      <c r="A201" t="s">
        <v>231</v>
      </c>
      <c r="B201" s="1">
        <v>45474</v>
      </c>
      <c r="C201" t="s">
        <v>36</v>
      </c>
      <c r="D201" t="s">
        <v>14</v>
      </c>
      <c r="E201">
        <v>32</v>
      </c>
      <c r="F201" t="s">
        <v>15</v>
      </c>
      <c r="G201">
        <v>347.83</v>
      </c>
      <c r="H201">
        <v>36</v>
      </c>
      <c r="I201" t="s">
        <v>22</v>
      </c>
      <c r="J201">
        <v>3.6</v>
      </c>
      <c r="K201" t="s">
        <v>17</v>
      </c>
      <c r="L201" t="s">
        <v>23</v>
      </c>
      <c r="M201" t="str">
        <f>VLOOKUP(D205,Restaurant_Master!A:B,2,FALSE)</f>
        <v>https://dynamic-media-cdn.tripadvisor.com/media/photo-o/1c/e7/04/0d/front-of-the-local-easily.jpg</v>
      </c>
    </row>
    <row r="202" spans="1:13" x14ac:dyDescent="0.3">
      <c r="A202" t="s">
        <v>232</v>
      </c>
      <c r="B202" s="1">
        <v>45317</v>
      </c>
      <c r="C202" t="s">
        <v>43</v>
      </c>
      <c r="D202" t="s">
        <v>38</v>
      </c>
      <c r="E202">
        <v>50</v>
      </c>
      <c r="F202" t="s">
        <v>28</v>
      </c>
      <c r="G202">
        <v>931.85</v>
      </c>
      <c r="H202">
        <v>58</v>
      </c>
      <c r="I202" t="s">
        <v>16</v>
      </c>
      <c r="J202">
        <v>3.3</v>
      </c>
      <c r="K202" t="s">
        <v>26</v>
      </c>
      <c r="L202" t="s">
        <v>23</v>
      </c>
      <c r="M202" t="str">
        <f>VLOOKUP(D206,Restaurant_Master!A:B,2,FALSE)</f>
        <v>https://content.jdmagicbox.com/comp/deoria/g6/9999p5568.5568.200119143033.m4g6/catalogue/biryani-house-deoria-ho-deoria-mktc2xph0o.jpg</v>
      </c>
    </row>
    <row r="203" spans="1:13" x14ac:dyDescent="0.3">
      <c r="A203" t="s">
        <v>233</v>
      </c>
      <c r="B203" s="1">
        <v>45342</v>
      </c>
      <c r="C203" t="s">
        <v>36</v>
      </c>
      <c r="D203" t="s">
        <v>32</v>
      </c>
      <c r="E203">
        <v>46</v>
      </c>
      <c r="F203" t="s">
        <v>15</v>
      </c>
      <c r="G203">
        <v>898.59</v>
      </c>
      <c r="H203">
        <v>23</v>
      </c>
      <c r="I203" t="s">
        <v>22</v>
      </c>
      <c r="J203">
        <v>4.9000000000000004</v>
      </c>
      <c r="K203" t="s">
        <v>29</v>
      </c>
      <c r="L203" t="s">
        <v>18</v>
      </c>
      <c r="M203" t="str">
        <f>VLOOKUP(D207,Restaurant_Master!A:B,2,FALSE)</f>
        <v>https://dineout-media-assets.swiggy.com/swiggy/image/upload/fl_lossy,f_auto,q_auto/v1660793737/fdqxvxcxg1wtdwvyv45v.jpg</v>
      </c>
    </row>
    <row r="204" spans="1:13" x14ac:dyDescent="0.3">
      <c r="A204" t="s">
        <v>234</v>
      </c>
      <c r="B204" s="1">
        <v>45349</v>
      </c>
      <c r="C204" t="s">
        <v>36</v>
      </c>
      <c r="D204" t="s">
        <v>21</v>
      </c>
      <c r="E204">
        <v>31</v>
      </c>
      <c r="F204" t="s">
        <v>28</v>
      </c>
      <c r="G204">
        <v>937.68</v>
      </c>
      <c r="H204">
        <v>46</v>
      </c>
      <c r="I204" t="s">
        <v>16</v>
      </c>
      <c r="J204">
        <v>2.7</v>
      </c>
      <c r="K204" t="s">
        <v>17</v>
      </c>
      <c r="L204" t="s">
        <v>18</v>
      </c>
      <c r="M204" t="str">
        <f>VLOOKUP(D208,Restaurant_Master!A:B,2,FALSE)</f>
        <v>https://dynamic-media-cdn.tripadvisor.com/media/photo-o/1c/e7/04/0d/front-of-the-local-easily.jpg</v>
      </c>
    </row>
    <row r="205" spans="1:13" x14ac:dyDescent="0.3">
      <c r="A205" t="s">
        <v>235</v>
      </c>
      <c r="B205" s="1">
        <v>45453</v>
      </c>
      <c r="C205" t="s">
        <v>36</v>
      </c>
      <c r="D205" t="s">
        <v>21</v>
      </c>
      <c r="E205">
        <v>22</v>
      </c>
      <c r="F205" t="s">
        <v>15</v>
      </c>
      <c r="G205">
        <v>155.34</v>
      </c>
      <c r="H205">
        <v>60</v>
      </c>
      <c r="I205" t="s">
        <v>16</v>
      </c>
      <c r="J205">
        <v>4.5999999999999996</v>
      </c>
      <c r="K205" t="s">
        <v>26</v>
      </c>
      <c r="L205" t="s">
        <v>18</v>
      </c>
      <c r="M205" t="str">
        <f>VLOOKUP(D209,Restaurant_Master!A:B,2,FALSE)</f>
        <v>https://dynamic-media-cdn.tripadvisor.com/media/photo-o/1c/e7/04/0d/front-of-the-local-easily.jpg</v>
      </c>
    </row>
    <row r="206" spans="1:13" x14ac:dyDescent="0.3">
      <c r="A206" t="s">
        <v>236</v>
      </c>
      <c r="B206" s="1">
        <v>45468</v>
      </c>
      <c r="C206" t="s">
        <v>43</v>
      </c>
      <c r="D206" t="s">
        <v>32</v>
      </c>
      <c r="E206">
        <v>54</v>
      </c>
      <c r="F206" t="s">
        <v>28</v>
      </c>
      <c r="G206">
        <v>574.74</v>
      </c>
      <c r="H206">
        <v>54</v>
      </c>
      <c r="I206" t="s">
        <v>16</v>
      </c>
      <c r="J206">
        <v>4.4000000000000004</v>
      </c>
      <c r="K206" t="s">
        <v>41</v>
      </c>
      <c r="L206" t="s">
        <v>18</v>
      </c>
      <c r="M206" t="str">
        <f>VLOOKUP(D210,Restaurant_Master!A:B,2,FALSE)</f>
        <v>https://www.chatswoodinterchange.com/storages/2018/08/Sushi-World_666x448.jpg</v>
      </c>
    </row>
    <row r="207" spans="1:13" x14ac:dyDescent="0.3">
      <c r="A207" t="s">
        <v>237</v>
      </c>
      <c r="B207" s="1">
        <v>45597</v>
      </c>
      <c r="C207" t="s">
        <v>34</v>
      </c>
      <c r="D207" t="s">
        <v>14</v>
      </c>
      <c r="E207">
        <v>29</v>
      </c>
      <c r="F207" t="s">
        <v>28</v>
      </c>
      <c r="G207">
        <v>1161.92</v>
      </c>
      <c r="H207">
        <v>34</v>
      </c>
      <c r="I207" t="s">
        <v>22</v>
      </c>
      <c r="J207">
        <v>4.7</v>
      </c>
      <c r="K207" t="s">
        <v>26</v>
      </c>
      <c r="L207" t="s">
        <v>18</v>
      </c>
      <c r="M207" t="str">
        <f>VLOOKUP(D211,Restaurant_Master!A:B,2,FALSE)</f>
        <v>https://dineout-media-assets.swiggy.com/swiggy/image/upload/fl_lossy,f_auto,q_auto/v1660793737/fdqxvxcxg1wtdwvyv45v.jpg</v>
      </c>
    </row>
    <row r="208" spans="1:13" x14ac:dyDescent="0.3">
      <c r="A208" t="s">
        <v>238</v>
      </c>
      <c r="B208" s="1">
        <v>45498</v>
      </c>
      <c r="C208" t="s">
        <v>13</v>
      </c>
      <c r="D208" t="s">
        <v>21</v>
      </c>
      <c r="E208">
        <v>57</v>
      </c>
      <c r="F208" t="s">
        <v>28</v>
      </c>
      <c r="G208">
        <v>794.42</v>
      </c>
      <c r="H208">
        <v>42</v>
      </c>
      <c r="I208" t="s">
        <v>16</v>
      </c>
      <c r="J208">
        <v>4.4000000000000004</v>
      </c>
      <c r="K208" t="s">
        <v>29</v>
      </c>
      <c r="L208" t="s">
        <v>23</v>
      </c>
      <c r="M208" t="str">
        <f>VLOOKUP(D212,Restaurant_Master!A:B,2,FALSE)</f>
        <v>https://media-cdn.tripadvisor.com/media/photo-s/1c/c7/97/b6/photo6jpg.jpg</v>
      </c>
    </row>
    <row r="209" spans="1:13" x14ac:dyDescent="0.3">
      <c r="A209" t="s">
        <v>239</v>
      </c>
      <c r="B209" s="1">
        <v>45300</v>
      </c>
      <c r="C209" t="s">
        <v>13</v>
      </c>
      <c r="D209" t="s">
        <v>21</v>
      </c>
      <c r="E209">
        <v>57</v>
      </c>
      <c r="F209" t="s">
        <v>15</v>
      </c>
      <c r="G209">
        <v>833.02</v>
      </c>
      <c r="H209">
        <v>29</v>
      </c>
      <c r="I209" t="s">
        <v>22</v>
      </c>
      <c r="J209">
        <v>3.5</v>
      </c>
      <c r="K209" t="s">
        <v>41</v>
      </c>
      <c r="L209" t="s">
        <v>18</v>
      </c>
      <c r="M209" t="str">
        <f>VLOOKUP(D213,Restaurant_Master!A:B,2,FALSE)</f>
        <v>https://dineout-media-assets.swiggy.com/swiggy/image/upload/fl_lossy,f_auto,q_auto/v1660793737/fdqxvxcxg1wtdwvyv45v.jpg</v>
      </c>
    </row>
    <row r="210" spans="1:13" x14ac:dyDescent="0.3">
      <c r="A210" t="s">
        <v>240</v>
      </c>
      <c r="B210" s="1">
        <v>45490</v>
      </c>
      <c r="C210" t="s">
        <v>36</v>
      </c>
      <c r="D210" t="s">
        <v>38</v>
      </c>
      <c r="E210">
        <v>32</v>
      </c>
      <c r="F210" t="s">
        <v>28</v>
      </c>
      <c r="G210">
        <v>520.91</v>
      </c>
      <c r="H210">
        <v>37</v>
      </c>
      <c r="I210" t="s">
        <v>22</v>
      </c>
      <c r="J210">
        <v>4</v>
      </c>
      <c r="K210" t="s">
        <v>26</v>
      </c>
      <c r="L210" t="s">
        <v>23</v>
      </c>
      <c r="M210" t="str">
        <f>VLOOKUP(D214,Restaurant_Master!A:B,2,FALSE)</f>
        <v>https://media-cdn.tripadvisor.com/media/photo-s/1c/c7/97/b6/photo6jpg.jpg</v>
      </c>
    </row>
    <row r="211" spans="1:13" x14ac:dyDescent="0.3">
      <c r="A211" t="s">
        <v>241</v>
      </c>
      <c r="B211" s="1">
        <v>45637</v>
      </c>
      <c r="C211" t="s">
        <v>36</v>
      </c>
      <c r="D211" t="s">
        <v>14</v>
      </c>
      <c r="E211">
        <v>51</v>
      </c>
      <c r="F211" t="s">
        <v>15</v>
      </c>
      <c r="G211">
        <v>873.87</v>
      </c>
      <c r="H211">
        <v>23</v>
      </c>
      <c r="I211" t="s">
        <v>22</v>
      </c>
      <c r="J211">
        <v>3</v>
      </c>
      <c r="K211" t="s">
        <v>41</v>
      </c>
      <c r="L211" t="s">
        <v>18</v>
      </c>
      <c r="M211" t="str">
        <f>VLOOKUP(D215,Restaurant_Master!A:B,2,FALSE)</f>
        <v>https://media-cdn.tripadvisor.com/media/photo-s/1c/c7/97/b6/photo6jpg.jpg</v>
      </c>
    </row>
    <row r="212" spans="1:13" x14ac:dyDescent="0.3">
      <c r="A212" t="s">
        <v>242</v>
      </c>
      <c r="B212" s="1">
        <v>45574</v>
      </c>
      <c r="C212" t="s">
        <v>13</v>
      </c>
      <c r="D212" t="s">
        <v>25</v>
      </c>
      <c r="E212">
        <v>26</v>
      </c>
      <c r="F212" t="s">
        <v>15</v>
      </c>
      <c r="G212">
        <v>357.46</v>
      </c>
      <c r="H212">
        <v>25</v>
      </c>
      <c r="I212" t="s">
        <v>22</v>
      </c>
      <c r="J212">
        <v>4.7</v>
      </c>
      <c r="K212" t="s">
        <v>29</v>
      </c>
      <c r="L212" t="s">
        <v>23</v>
      </c>
      <c r="M212" t="str">
        <f>VLOOKUP(D216,Restaurant_Master!A:B,2,FALSE)</f>
        <v>https://dynamic-media-cdn.tripadvisor.com/media/photo-o/1c/e7/04/0d/front-of-the-local-easily.jpg</v>
      </c>
    </row>
    <row r="213" spans="1:13" x14ac:dyDescent="0.3">
      <c r="A213" t="s">
        <v>243</v>
      </c>
      <c r="B213" s="1">
        <v>45531</v>
      </c>
      <c r="C213" t="s">
        <v>43</v>
      </c>
      <c r="D213" t="s">
        <v>14</v>
      </c>
      <c r="E213">
        <v>48</v>
      </c>
      <c r="F213" t="s">
        <v>15</v>
      </c>
      <c r="G213">
        <v>1096.45</v>
      </c>
      <c r="H213">
        <v>29</v>
      </c>
      <c r="I213" t="s">
        <v>22</v>
      </c>
      <c r="J213">
        <v>3.5</v>
      </c>
      <c r="K213" t="s">
        <v>26</v>
      </c>
      <c r="L213" t="s">
        <v>23</v>
      </c>
      <c r="M213" t="str">
        <f>VLOOKUP(D217,Restaurant_Master!A:B,2,FALSE)</f>
        <v>https://www.chatswoodinterchange.com/storages/2018/08/Sushi-World_666x448.jpg</v>
      </c>
    </row>
    <row r="214" spans="1:13" x14ac:dyDescent="0.3">
      <c r="A214" t="s">
        <v>244</v>
      </c>
      <c r="B214" s="1">
        <v>45528</v>
      </c>
      <c r="C214" t="s">
        <v>20</v>
      </c>
      <c r="D214" t="s">
        <v>25</v>
      </c>
      <c r="E214">
        <v>43</v>
      </c>
      <c r="F214" t="s">
        <v>15</v>
      </c>
      <c r="G214">
        <v>673.27</v>
      </c>
      <c r="H214">
        <v>39</v>
      </c>
      <c r="I214" t="s">
        <v>22</v>
      </c>
      <c r="J214">
        <v>3.4</v>
      </c>
      <c r="K214" t="s">
        <v>26</v>
      </c>
      <c r="L214" t="s">
        <v>23</v>
      </c>
      <c r="M214" t="str">
        <f>VLOOKUP(D218,Restaurant_Master!A:B,2,FALSE)</f>
        <v>https://www.chatswoodinterchange.com/storages/2018/08/Sushi-World_666x448.jpg</v>
      </c>
    </row>
    <row r="215" spans="1:13" x14ac:dyDescent="0.3">
      <c r="A215" t="s">
        <v>245</v>
      </c>
      <c r="B215" s="1">
        <v>45307</v>
      </c>
      <c r="C215" t="s">
        <v>20</v>
      </c>
      <c r="D215" t="s">
        <v>25</v>
      </c>
      <c r="E215">
        <v>21</v>
      </c>
      <c r="F215" t="s">
        <v>15</v>
      </c>
      <c r="G215">
        <v>525.54</v>
      </c>
      <c r="H215">
        <v>55</v>
      </c>
      <c r="I215" t="s">
        <v>16</v>
      </c>
      <c r="J215">
        <v>4.5999999999999996</v>
      </c>
      <c r="K215" t="s">
        <v>26</v>
      </c>
      <c r="L215" t="s">
        <v>18</v>
      </c>
      <c r="M215" t="str">
        <f>VLOOKUP(D219,Restaurant_Master!A:B,2,FALSE)</f>
        <v>https://dynamic-media-cdn.tripadvisor.com/media/photo-o/1c/e7/04/0d/front-of-the-local-easily.jpg</v>
      </c>
    </row>
    <row r="216" spans="1:13" x14ac:dyDescent="0.3">
      <c r="A216" t="s">
        <v>246</v>
      </c>
      <c r="B216" s="1">
        <v>45303</v>
      </c>
      <c r="C216" t="s">
        <v>34</v>
      </c>
      <c r="D216" t="s">
        <v>21</v>
      </c>
      <c r="E216">
        <v>41</v>
      </c>
      <c r="F216" t="s">
        <v>28</v>
      </c>
      <c r="G216">
        <v>699.86</v>
      </c>
      <c r="H216">
        <v>42</v>
      </c>
      <c r="I216" t="s">
        <v>16</v>
      </c>
      <c r="J216">
        <v>4.0999999999999996</v>
      </c>
      <c r="K216" t="s">
        <v>26</v>
      </c>
      <c r="L216" t="s">
        <v>23</v>
      </c>
      <c r="M216" t="str">
        <f>VLOOKUP(D220,Restaurant_Master!A:B,2,FALSE)</f>
        <v>https://dineout-media-assets.swiggy.com/swiggy/image/upload/fl_lossy,f_auto,q_auto/v1660793737/fdqxvxcxg1wtdwvyv45v.jpg</v>
      </c>
    </row>
    <row r="217" spans="1:13" x14ac:dyDescent="0.3">
      <c r="A217" t="s">
        <v>247</v>
      </c>
      <c r="B217" s="1">
        <v>45543</v>
      </c>
      <c r="C217" t="s">
        <v>34</v>
      </c>
      <c r="D217" t="s">
        <v>38</v>
      </c>
      <c r="E217">
        <v>34</v>
      </c>
      <c r="F217" t="s">
        <v>15</v>
      </c>
      <c r="G217">
        <v>289.82</v>
      </c>
      <c r="H217">
        <v>41</v>
      </c>
      <c r="I217" t="s">
        <v>16</v>
      </c>
      <c r="J217">
        <v>3</v>
      </c>
      <c r="K217" t="s">
        <v>41</v>
      </c>
      <c r="L217" t="s">
        <v>18</v>
      </c>
      <c r="M217" t="str">
        <f>VLOOKUP(D221,Restaurant_Master!A:B,2,FALSE)</f>
        <v>https://content.jdmagicbox.com/comp/deoria/g6/9999p5568.5568.200119143033.m4g6/catalogue/biryani-house-deoria-ho-deoria-mktc2xph0o.jpg</v>
      </c>
    </row>
    <row r="218" spans="1:13" x14ac:dyDescent="0.3">
      <c r="A218" t="s">
        <v>248</v>
      </c>
      <c r="B218" s="1">
        <v>45575</v>
      </c>
      <c r="C218" t="s">
        <v>34</v>
      </c>
      <c r="D218" t="s">
        <v>38</v>
      </c>
      <c r="E218">
        <v>26</v>
      </c>
      <c r="F218" t="s">
        <v>28</v>
      </c>
      <c r="G218">
        <v>1098.4000000000001</v>
      </c>
      <c r="H218">
        <v>40</v>
      </c>
      <c r="I218" t="s">
        <v>22</v>
      </c>
      <c r="J218">
        <v>4</v>
      </c>
      <c r="K218" t="s">
        <v>29</v>
      </c>
      <c r="L218" t="s">
        <v>18</v>
      </c>
      <c r="M218" t="str">
        <f>VLOOKUP(D222,Restaurant_Master!A:B,2,FALSE)</f>
        <v>https://content.jdmagicbox.com/comp/deoria/g6/9999p5568.5568.200119143033.m4g6/catalogue/biryani-house-deoria-ho-deoria-mktc2xph0o.jpg</v>
      </c>
    </row>
    <row r="219" spans="1:13" x14ac:dyDescent="0.3">
      <c r="A219" t="s">
        <v>249</v>
      </c>
      <c r="B219" s="1">
        <v>45495</v>
      </c>
      <c r="C219" t="s">
        <v>20</v>
      </c>
      <c r="D219" t="s">
        <v>21</v>
      </c>
      <c r="E219">
        <v>45</v>
      </c>
      <c r="F219" t="s">
        <v>15</v>
      </c>
      <c r="G219">
        <v>1082.1199999999999</v>
      </c>
      <c r="H219">
        <v>34</v>
      </c>
      <c r="I219" t="s">
        <v>22</v>
      </c>
      <c r="J219">
        <v>3.1</v>
      </c>
      <c r="K219" t="s">
        <v>17</v>
      </c>
      <c r="L219" t="s">
        <v>18</v>
      </c>
      <c r="M219" t="str">
        <f>VLOOKUP(D223,Restaurant_Master!A:B,2,FALSE)</f>
        <v>https://www.chatswoodinterchange.com/storages/2018/08/Sushi-World_666x448.jpg</v>
      </c>
    </row>
    <row r="220" spans="1:13" x14ac:dyDescent="0.3">
      <c r="A220" t="s">
        <v>250</v>
      </c>
      <c r="B220" s="1">
        <v>45293</v>
      </c>
      <c r="C220" t="s">
        <v>43</v>
      </c>
      <c r="D220" t="s">
        <v>14</v>
      </c>
      <c r="E220">
        <v>40</v>
      </c>
      <c r="F220" t="s">
        <v>28</v>
      </c>
      <c r="G220">
        <v>794.08</v>
      </c>
      <c r="H220">
        <v>47</v>
      </c>
      <c r="I220" t="s">
        <v>16</v>
      </c>
      <c r="J220">
        <v>4.5</v>
      </c>
      <c r="K220" t="s">
        <v>41</v>
      </c>
      <c r="L220" t="s">
        <v>18</v>
      </c>
      <c r="M220" t="str">
        <f>VLOOKUP(D224,Restaurant_Master!A:B,2,FALSE)</f>
        <v>https://content.jdmagicbox.com/comp/deoria/g6/9999p5568.5568.200119143033.m4g6/catalogue/biryani-house-deoria-ho-deoria-mktc2xph0o.jpg</v>
      </c>
    </row>
    <row r="221" spans="1:13" x14ac:dyDescent="0.3">
      <c r="A221" t="s">
        <v>251</v>
      </c>
      <c r="B221" s="1">
        <v>45583</v>
      </c>
      <c r="C221" t="s">
        <v>36</v>
      </c>
      <c r="D221" t="s">
        <v>32</v>
      </c>
      <c r="E221">
        <v>47</v>
      </c>
      <c r="F221" t="s">
        <v>28</v>
      </c>
      <c r="G221">
        <v>387.41</v>
      </c>
      <c r="H221">
        <v>26</v>
      </c>
      <c r="I221" t="s">
        <v>22</v>
      </c>
      <c r="J221">
        <v>3.8</v>
      </c>
      <c r="K221" t="s">
        <v>41</v>
      </c>
      <c r="L221" t="s">
        <v>18</v>
      </c>
      <c r="M221" t="str">
        <f>VLOOKUP(D225,Restaurant_Master!A:B,2,FALSE)</f>
        <v>https://dynamic-media-cdn.tripadvisor.com/media/photo-o/1c/e7/04/0d/front-of-the-local-easily.jpg</v>
      </c>
    </row>
    <row r="222" spans="1:13" x14ac:dyDescent="0.3">
      <c r="A222" t="s">
        <v>252</v>
      </c>
      <c r="B222" s="1">
        <v>45296</v>
      </c>
      <c r="C222" t="s">
        <v>13</v>
      </c>
      <c r="D222" t="s">
        <v>32</v>
      </c>
      <c r="E222">
        <v>28</v>
      </c>
      <c r="F222" t="s">
        <v>28</v>
      </c>
      <c r="G222">
        <v>1084.81</v>
      </c>
      <c r="H222">
        <v>47</v>
      </c>
      <c r="I222" t="s">
        <v>16</v>
      </c>
      <c r="J222">
        <v>4.2</v>
      </c>
      <c r="K222" t="s">
        <v>17</v>
      </c>
      <c r="L222" t="s">
        <v>23</v>
      </c>
      <c r="M222" t="str">
        <f>VLOOKUP(D226,Restaurant_Master!A:B,2,FALSE)</f>
        <v>https://dineout-media-assets.swiggy.com/swiggy/image/upload/fl_lossy,f_auto,q_auto/v1660793737/fdqxvxcxg1wtdwvyv45v.jpg</v>
      </c>
    </row>
    <row r="223" spans="1:13" x14ac:dyDescent="0.3">
      <c r="A223" t="s">
        <v>253</v>
      </c>
      <c r="B223" s="1">
        <v>45641</v>
      </c>
      <c r="C223" t="s">
        <v>43</v>
      </c>
      <c r="D223" t="s">
        <v>38</v>
      </c>
      <c r="E223">
        <v>19</v>
      </c>
      <c r="F223" t="s">
        <v>28</v>
      </c>
      <c r="G223">
        <v>638.33000000000004</v>
      </c>
      <c r="H223">
        <v>36</v>
      </c>
      <c r="I223" t="s">
        <v>22</v>
      </c>
      <c r="J223">
        <v>4.5999999999999996</v>
      </c>
      <c r="K223" t="s">
        <v>17</v>
      </c>
      <c r="L223" t="s">
        <v>18</v>
      </c>
      <c r="M223" t="str">
        <f>VLOOKUP(D227,Restaurant_Master!A:B,2,FALSE)</f>
        <v>https://www.chatswoodinterchange.com/storages/2018/08/Sushi-World_666x448.jpg</v>
      </c>
    </row>
    <row r="224" spans="1:13" x14ac:dyDescent="0.3">
      <c r="A224" t="s">
        <v>254</v>
      </c>
      <c r="B224" s="1">
        <v>45380</v>
      </c>
      <c r="C224" t="s">
        <v>43</v>
      </c>
      <c r="D224" t="s">
        <v>32</v>
      </c>
      <c r="E224">
        <v>42</v>
      </c>
      <c r="F224" t="s">
        <v>15</v>
      </c>
      <c r="G224">
        <v>182.99</v>
      </c>
      <c r="H224">
        <v>51</v>
      </c>
      <c r="I224" t="s">
        <v>16</v>
      </c>
      <c r="J224">
        <v>4.4000000000000004</v>
      </c>
      <c r="K224" t="s">
        <v>26</v>
      </c>
      <c r="L224" t="s">
        <v>18</v>
      </c>
      <c r="M224" t="str">
        <f>VLOOKUP(D228,Restaurant_Master!A:B,2,FALSE)</f>
        <v>https://content.jdmagicbox.com/comp/deoria/g6/9999p5568.5568.200119143033.m4g6/catalogue/biryani-house-deoria-ho-deoria-mktc2xph0o.jpg</v>
      </c>
    </row>
    <row r="225" spans="1:13" x14ac:dyDescent="0.3">
      <c r="A225" t="s">
        <v>255</v>
      </c>
      <c r="B225" s="1">
        <v>45353</v>
      </c>
      <c r="C225" t="s">
        <v>13</v>
      </c>
      <c r="D225" t="s">
        <v>21</v>
      </c>
      <c r="E225">
        <v>56</v>
      </c>
      <c r="F225" t="s">
        <v>15</v>
      </c>
      <c r="G225">
        <v>234.23</v>
      </c>
      <c r="H225">
        <v>42</v>
      </c>
      <c r="I225" t="s">
        <v>16</v>
      </c>
      <c r="J225">
        <v>4.7</v>
      </c>
      <c r="K225" t="s">
        <v>29</v>
      </c>
      <c r="L225" t="s">
        <v>23</v>
      </c>
      <c r="M225" t="str">
        <f>VLOOKUP(D229,Restaurant_Master!A:B,2,FALSE)</f>
        <v>https://content.jdmagicbox.com/comp/deoria/g6/9999p5568.5568.200119143033.m4g6/catalogue/biryani-house-deoria-ho-deoria-mktc2xph0o.jpg</v>
      </c>
    </row>
    <row r="226" spans="1:13" x14ac:dyDescent="0.3">
      <c r="A226" t="s">
        <v>256</v>
      </c>
      <c r="B226" s="1">
        <v>45363</v>
      </c>
      <c r="C226" t="s">
        <v>34</v>
      </c>
      <c r="D226" t="s">
        <v>14</v>
      </c>
      <c r="E226">
        <v>18</v>
      </c>
      <c r="F226" t="s">
        <v>15</v>
      </c>
      <c r="G226">
        <v>1099.31</v>
      </c>
      <c r="H226">
        <v>24</v>
      </c>
      <c r="I226" t="s">
        <v>22</v>
      </c>
      <c r="J226">
        <v>3.6</v>
      </c>
      <c r="K226" t="s">
        <v>17</v>
      </c>
      <c r="L226" t="s">
        <v>23</v>
      </c>
      <c r="M226" t="str">
        <f>VLOOKUP(D230,Restaurant_Master!A:B,2,FALSE)</f>
        <v>https://dynamic-media-cdn.tripadvisor.com/media/photo-o/1c/e7/04/0d/front-of-the-local-easily.jpg</v>
      </c>
    </row>
    <row r="227" spans="1:13" x14ac:dyDescent="0.3">
      <c r="A227" t="s">
        <v>257</v>
      </c>
      <c r="B227" s="1">
        <v>45469</v>
      </c>
      <c r="C227" t="s">
        <v>34</v>
      </c>
      <c r="D227" t="s">
        <v>38</v>
      </c>
      <c r="E227">
        <v>58</v>
      </c>
      <c r="F227" t="s">
        <v>28</v>
      </c>
      <c r="G227">
        <v>576.16</v>
      </c>
      <c r="H227">
        <v>22</v>
      </c>
      <c r="I227" t="s">
        <v>22</v>
      </c>
      <c r="J227">
        <v>3.8</v>
      </c>
      <c r="K227" t="s">
        <v>29</v>
      </c>
      <c r="L227" t="s">
        <v>18</v>
      </c>
      <c r="M227" t="str">
        <f>VLOOKUP(D231,Restaurant_Master!A:B,2,FALSE)</f>
        <v>https://dineout-media-assets.swiggy.com/swiggy/image/upload/fl_lossy,f_auto,q_auto/v1660793737/fdqxvxcxg1wtdwvyv45v.jpg</v>
      </c>
    </row>
    <row r="228" spans="1:13" x14ac:dyDescent="0.3">
      <c r="A228" t="s">
        <v>258</v>
      </c>
      <c r="B228" s="1">
        <v>45649</v>
      </c>
      <c r="C228" t="s">
        <v>34</v>
      </c>
      <c r="D228" t="s">
        <v>32</v>
      </c>
      <c r="E228">
        <v>48</v>
      </c>
      <c r="F228" t="s">
        <v>15</v>
      </c>
      <c r="G228">
        <v>285.66000000000003</v>
      </c>
      <c r="H228">
        <v>30</v>
      </c>
      <c r="I228" t="s">
        <v>22</v>
      </c>
      <c r="J228">
        <v>3.6</v>
      </c>
      <c r="K228" t="s">
        <v>41</v>
      </c>
      <c r="L228" t="s">
        <v>23</v>
      </c>
      <c r="M228" t="str">
        <f>VLOOKUP(D232,Restaurant_Master!A:B,2,FALSE)</f>
        <v>https://dynamic-media-cdn.tripadvisor.com/media/photo-o/1c/e7/04/0d/front-of-the-local-easily.jpg</v>
      </c>
    </row>
    <row r="229" spans="1:13" x14ac:dyDescent="0.3">
      <c r="A229" t="s">
        <v>259</v>
      </c>
      <c r="B229" s="1">
        <v>45427</v>
      </c>
      <c r="C229" t="s">
        <v>36</v>
      </c>
      <c r="D229" t="s">
        <v>32</v>
      </c>
      <c r="E229">
        <v>40</v>
      </c>
      <c r="F229" t="s">
        <v>15</v>
      </c>
      <c r="G229">
        <v>1000.89</v>
      </c>
      <c r="H229">
        <v>55</v>
      </c>
      <c r="I229" t="s">
        <v>16</v>
      </c>
      <c r="J229">
        <v>3.7</v>
      </c>
      <c r="K229" t="s">
        <v>17</v>
      </c>
      <c r="L229" t="s">
        <v>23</v>
      </c>
      <c r="M229" t="str">
        <f>VLOOKUP(D233,Restaurant_Master!A:B,2,FALSE)</f>
        <v>https://media-cdn.tripadvisor.com/media/photo-s/1c/c7/97/b6/photo6jpg.jpg</v>
      </c>
    </row>
    <row r="230" spans="1:13" x14ac:dyDescent="0.3">
      <c r="A230" t="s">
        <v>260</v>
      </c>
      <c r="B230" s="1">
        <v>45303</v>
      </c>
      <c r="C230" t="s">
        <v>13</v>
      </c>
      <c r="D230" t="s">
        <v>21</v>
      </c>
      <c r="E230">
        <v>38</v>
      </c>
      <c r="F230" t="s">
        <v>15</v>
      </c>
      <c r="G230">
        <v>949.25</v>
      </c>
      <c r="H230">
        <v>20</v>
      </c>
      <c r="I230" t="s">
        <v>22</v>
      </c>
      <c r="J230">
        <v>4.7</v>
      </c>
      <c r="K230" t="s">
        <v>26</v>
      </c>
      <c r="L230" t="s">
        <v>23</v>
      </c>
      <c r="M230" t="str">
        <f>VLOOKUP(D234,Restaurant_Master!A:B,2,FALSE)</f>
        <v>https://media-cdn.tripadvisor.com/media/photo-s/1c/c7/97/b6/photo6jpg.jpg</v>
      </c>
    </row>
    <row r="231" spans="1:13" x14ac:dyDescent="0.3">
      <c r="A231" t="s">
        <v>261</v>
      </c>
      <c r="B231" s="1">
        <v>45656</v>
      </c>
      <c r="C231" t="s">
        <v>36</v>
      </c>
      <c r="D231" t="s">
        <v>14</v>
      </c>
      <c r="E231">
        <v>59</v>
      </c>
      <c r="F231" t="s">
        <v>28</v>
      </c>
      <c r="G231">
        <v>814.79</v>
      </c>
      <c r="H231">
        <v>60</v>
      </c>
      <c r="I231" t="s">
        <v>16</v>
      </c>
      <c r="J231">
        <v>3.3</v>
      </c>
      <c r="K231" t="s">
        <v>41</v>
      </c>
      <c r="L231" t="s">
        <v>23</v>
      </c>
      <c r="M231" t="str">
        <f>VLOOKUP(D235,Restaurant_Master!A:B,2,FALSE)</f>
        <v>https://dynamic-media-cdn.tripadvisor.com/media/photo-o/1c/e7/04/0d/front-of-the-local-easily.jpg</v>
      </c>
    </row>
    <row r="232" spans="1:13" x14ac:dyDescent="0.3">
      <c r="A232" t="s">
        <v>262</v>
      </c>
      <c r="B232" s="1">
        <v>45321</v>
      </c>
      <c r="C232" t="s">
        <v>36</v>
      </c>
      <c r="D232" t="s">
        <v>21</v>
      </c>
      <c r="E232">
        <v>46</v>
      </c>
      <c r="F232" t="s">
        <v>28</v>
      </c>
      <c r="G232">
        <v>1054.19</v>
      </c>
      <c r="H232">
        <v>23</v>
      </c>
      <c r="I232" t="s">
        <v>22</v>
      </c>
      <c r="J232">
        <v>3.2</v>
      </c>
      <c r="K232" t="s">
        <v>41</v>
      </c>
      <c r="L232" t="s">
        <v>18</v>
      </c>
      <c r="M232" t="str">
        <f>VLOOKUP(D236,Restaurant_Master!A:B,2,FALSE)</f>
        <v>https://dineout-media-assets.swiggy.com/swiggy/image/upload/fl_lossy,f_auto,q_auto/v1660793737/fdqxvxcxg1wtdwvyv45v.jpg</v>
      </c>
    </row>
    <row r="233" spans="1:13" x14ac:dyDescent="0.3">
      <c r="A233" t="s">
        <v>263</v>
      </c>
      <c r="B233" s="1">
        <v>45431</v>
      </c>
      <c r="C233" t="s">
        <v>13</v>
      </c>
      <c r="D233" t="s">
        <v>25</v>
      </c>
      <c r="E233">
        <v>30</v>
      </c>
      <c r="F233" t="s">
        <v>15</v>
      </c>
      <c r="G233">
        <v>641.99</v>
      </c>
      <c r="H233">
        <v>22</v>
      </c>
      <c r="I233" t="s">
        <v>22</v>
      </c>
      <c r="J233">
        <v>4</v>
      </c>
      <c r="K233" t="s">
        <v>29</v>
      </c>
      <c r="L233" t="s">
        <v>18</v>
      </c>
      <c r="M233" t="str">
        <f>VLOOKUP(D237,Restaurant_Master!A:B,2,FALSE)</f>
        <v>https://content.jdmagicbox.com/comp/deoria/g6/9999p5568.5568.200119143033.m4g6/catalogue/biryani-house-deoria-ho-deoria-mktc2xph0o.jpg</v>
      </c>
    </row>
    <row r="234" spans="1:13" x14ac:dyDescent="0.3">
      <c r="A234" t="s">
        <v>264</v>
      </c>
      <c r="B234" s="1">
        <v>45344</v>
      </c>
      <c r="C234" t="s">
        <v>36</v>
      </c>
      <c r="D234" t="s">
        <v>25</v>
      </c>
      <c r="E234">
        <v>46</v>
      </c>
      <c r="F234" t="s">
        <v>15</v>
      </c>
      <c r="G234">
        <v>270.70999999999998</v>
      </c>
      <c r="H234">
        <v>22</v>
      </c>
      <c r="I234" t="s">
        <v>22</v>
      </c>
      <c r="J234">
        <v>3.3</v>
      </c>
      <c r="K234" t="s">
        <v>29</v>
      </c>
      <c r="L234" t="s">
        <v>23</v>
      </c>
      <c r="M234" t="str">
        <f>VLOOKUP(D238,Restaurant_Master!A:B,2,FALSE)</f>
        <v>https://content.jdmagicbox.com/comp/deoria/g6/9999p5568.5568.200119143033.m4g6/catalogue/biryani-house-deoria-ho-deoria-mktc2xph0o.jpg</v>
      </c>
    </row>
    <row r="235" spans="1:13" x14ac:dyDescent="0.3">
      <c r="A235" t="s">
        <v>265</v>
      </c>
      <c r="B235" s="1">
        <v>45447</v>
      </c>
      <c r="C235" t="s">
        <v>34</v>
      </c>
      <c r="D235" t="s">
        <v>21</v>
      </c>
      <c r="E235">
        <v>28</v>
      </c>
      <c r="F235" t="s">
        <v>15</v>
      </c>
      <c r="G235">
        <v>1067.31</v>
      </c>
      <c r="H235">
        <v>36</v>
      </c>
      <c r="I235" t="s">
        <v>22</v>
      </c>
      <c r="J235">
        <v>4.2</v>
      </c>
      <c r="K235" t="s">
        <v>41</v>
      </c>
      <c r="L235" t="s">
        <v>18</v>
      </c>
      <c r="M235" t="str">
        <f>VLOOKUP(D239,Restaurant_Master!A:B,2,FALSE)</f>
        <v>https://content.jdmagicbox.com/comp/deoria/g6/9999p5568.5568.200119143033.m4g6/catalogue/biryani-house-deoria-ho-deoria-mktc2xph0o.jpg</v>
      </c>
    </row>
    <row r="236" spans="1:13" x14ac:dyDescent="0.3">
      <c r="A236" t="s">
        <v>266</v>
      </c>
      <c r="B236" s="1">
        <v>45597</v>
      </c>
      <c r="C236" t="s">
        <v>34</v>
      </c>
      <c r="D236" t="s">
        <v>14</v>
      </c>
      <c r="E236">
        <v>51</v>
      </c>
      <c r="F236" t="s">
        <v>28</v>
      </c>
      <c r="G236">
        <v>651.55999999999995</v>
      </c>
      <c r="H236">
        <v>47</v>
      </c>
      <c r="I236" t="s">
        <v>16</v>
      </c>
      <c r="J236">
        <v>4.0999999999999996</v>
      </c>
      <c r="K236" t="s">
        <v>17</v>
      </c>
      <c r="L236" t="s">
        <v>18</v>
      </c>
      <c r="M236" t="str">
        <f>VLOOKUP(D240,Restaurant_Master!A:B,2,FALSE)</f>
        <v>https://www.chatswoodinterchange.com/storages/2018/08/Sushi-World_666x448.jpg</v>
      </c>
    </row>
    <row r="237" spans="1:13" x14ac:dyDescent="0.3">
      <c r="A237" t="s">
        <v>267</v>
      </c>
      <c r="B237" s="1">
        <v>45363</v>
      </c>
      <c r="C237" t="s">
        <v>36</v>
      </c>
      <c r="D237" t="s">
        <v>32</v>
      </c>
      <c r="E237">
        <v>30</v>
      </c>
      <c r="F237" t="s">
        <v>28</v>
      </c>
      <c r="G237">
        <v>590.79999999999995</v>
      </c>
      <c r="H237">
        <v>43</v>
      </c>
      <c r="I237" t="s">
        <v>16</v>
      </c>
      <c r="J237">
        <v>3.3</v>
      </c>
      <c r="K237" t="s">
        <v>17</v>
      </c>
      <c r="L237" t="s">
        <v>18</v>
      </c>
      <c r="M237" t="str">
        <f>VLOOKUP(D241,Restaurant_Master!A:B,2,FALSE)</f>
        <v>https://dynamic-media-cdn.tripadvisor.com/media/photo-o/1c/e7/04/0d/front-of-the-local-easily.jpg</v>
      </c>
    </row>
    <row r="238" spans="1:13" x14ac:dyDescent="0.3">
      <c r="A238" t="s">
        <v>268</v>
      </c>
      <c r="B238" s="1">
        <v>45495</v>
      </c>
      <c r="C238" t="s">
        <v>43</v>
      </c>
      <c r="D238" t="s">
        <v>32</v>
      </c>
      <c r="E238">
        <v>32</v>
      </c>
      <c r="F238" t="s">
        <v>28</v>
      </c>
      <c r="G238">
        <v>799.37</v>
      </c>
      <c r="H238">
        <v>55</v>
      </c>
      <c r="I238" t="s">
        <v>16</v>
      </c>
      <c r="J238">
        <v>3.6</v>
      </c>
      <c r="K238" t="s">
        <v>17</v>
      </c>
      <c r="L238" t="s">
        <v>18</v>
      </c>
      <c r="M238" t="str">
        <f>VLOOKUP(D242,Restaurant_Master!A:B,2,FALSE)</f>
        <v>https://media-cdn.tripadvisor.com/media/photo-s/1c/c7/97/b6/photo6jpg.jpg</v>
      </c>
    </row>
    <row r="239" spans="1:13" x14ac:dyDescent="0.3">
      <c r="A239" t="s">
        <v>269</v>
      </c>
      <c r="B239" s="1">
        <v>45374</v>
      </c>
      <c r="C239" t="s">
        <v>43</v>
      </c>
      <c r="D239" t="s">
        <v>32</v>
      </c>
      <c r="E239">
        <v>21</v>
      </c>
      <c r="F239" t="s">
        <v>15</v>
      </c>
      <c r="G239">
        <v>328.98</v>
      </c>
      <c r="H239">
        <v>27</v>
      </c>
      <c r="I239" t="s">
        <v>22</v>
      </c>
      <c r="J239">
        <v>4.8</v>
      </c>
      <c r="K239" t="s">
        <v>26</v>
      </c>
      <c r="L239" t="s">
        <v>18</v>
      </c>
      <c r="M239" t="str">
        <f>VLOOKUP(D243,Restaurant_Master!A:B,2,FALSE)</f>
        <v>https://dynamic-media-cdn.tripadvisor.com/media/photo-o/1c/e7/04/0d/front-of-the-local-easily.jpg</v>
      </c>
    </row>
    <row r="240" spans="1:13" x14ac:dyDescent="0.3">
      <c r="A240" t="s">
        <v>270</v>
      </c>
      <c r="B240" s="1">
        <v>45605</v>
      </c>
      <c r="C240" t="s">
        <v>34</v>
      </c>
      <c r="D240" t="s">
        <v>38</v>
      </c>
      <c r="E240">
        <v>41</v>
      </c>
      <c r="F240" t="s">
        <v>15</v>
      </c>
      <c r="G240">
        <v>699.07</v>
      </c>
      <c r="H240">
        <v>44</v>
      </c>
      <c r="I240" t="s">
        <v>16</v>
      </c>
      <c r="J240">
        <v>4.0999999999999996</v>
      </c>
      <c r="K240" t="s">
        <v>29</v>
      </c>
      <c r="L240" t="s">
        <v>18</v>
      </c>
      <c r="M240" t="str">
        <f>VLOOKUP(D244,Restaurant_Master!A:B,2,FALSE)</f>
        <v>https://content.jdmagicbox.com/comp/deoria/g6/9999p5568.5568.200119143033.m4g6/catalogue/biryani-house-deoria-ho-deoria-mktc2xph0o.jpg</v>
      </c>
    </row>
    <row r="241" spans="1:13" x14ac:dyDescent="0.3">
      <c r="A241" t="s">
        <v>271</v>
      </c>
      <c r="B241" s="1">
        <v>45429</v>
      </c>
      <c r="C241" t="s">
        <v>34</v>
      </c>
      <c r="D241" t="s">
        <v>21</v>
      </c>
      <c r="E241">
        <v>18</v>
      </c>
      <c r="F241" t="s">
        <v>15</v>
      </c>
      <c r="G241">
        <v>982.36</v>
      </c>
      <c r="H241">
        <v>25</v>
      </c>
      <c r="I241" t="s">
        <v>22</v>
      </c>
      <c r="J241">
        <v>3.9</v>
      </c>
      <c r="K241" t="s">
        <v>41</v>
      </c>
      <c r="L241" t="s">
        <v>23</v>
      </c>
      <c r="M241" t="str">
        <f>VLOOKUP(D245,Restaurant_Master!A:B,2,FALSE)</f>
        <v>https://media-cdn.tripadvisor.com/media/photo-s/1c/c7/97/b6/photo6jpg.jpg</v>
      </c>
    </row>
    <row r="242" spans="1:13" x14ac:dyDescent="0.3">
      <c r="A242" t="s">
        <v>272</v>
      </c>
      <c r="B242" s="1">
        <v>45451</v>
      </c>
      <c r="C242" t="s">
        <v>13</v>
      </c>
      <c r="D242" t="s">
        <v>25</v>
      </c>
      <c r="E242">
        <v>28</v>
      </c>
      <c r="F242" t="s">
        <v>15</v>
      </c>
      <c r="G242">
        <v>246.6</v>
      </c>
      <c r="H242">
        <v>50</v>
      </c>
      <c r="I242" t="s">
        <v>16</v>
      </c>
      <c r="J242">
        <v>3.8</v>
      </c>
      <c r="K242" t="s">
        <v>29</v>
      </c>
      <c r="L242" t="s">
        <v>23</v>
      </c>
      <c r="M242" t="str">
        <f>VLOOKUP(D246,Restaurant_Master!A:B,2,FALSE)</f>
        <v>https://content.jdmagicbox.com/comp/deoria/g6/9999p5568.5568.200119143033.m4g6/catalogue/biryani-house-deoria-ho-deoria-mktc2xph0o.jpg</v>
      </c>
    </row>
    <row r="243" spans="1:13" x14ac:dyDescent="0.3">
      <c r="A243" t="s">
        <v>273</v>
      </c>
      <c r="B243" s="1">
        <v>45594</v>
      </c>
      <c r="C243" t="s">
        <v>43</v>
      </c>
      <c r="D243" t="s">
        <v>21</v>
      </c>
      <c r="E243">
        <v>58</v>
      </c>
      <c r="F243" t="s">
        <v>15</v>
      </c>
      <c r="G243">
        <v>673.85</v>
      </c>
      <c r="H243">
        <v>56</v>
      </c>
      <c r="I243" t="s">
        <v>16</v>
      </c>
      <c r="J243">
        <v>3.4</v>
      </c>
      <c r="K243" t="s">
        <v>26</v>
      </c>
      <c r="L243" t="s">
        <v>18</v>
      </c>
      <c r="M243" t="str">
        <f>VLOOKUP(D247,Restaurant_Master!A:B,2,FALSE)</f>
        <v>https://content.jdmagicbox.com/comp/deoria/g6/9999p5568.5568.200119143033.m4g6/catalogue/biryani-house-deoria-ho-deoria-mktc2xph0o.jpg</v>
      </c>
    </row>
    <row r="244" spans="1:13" x14ac:dyDescent="0.3">
      <c r="A244" t="s">
        <v>274</v>
      </c>
      <c r="B244" s="1">
        <v>45491</v>
      </c>
      <c r="C244" t="s">
        <v>20</v>
      </c>
      <c r="D244" t="s">
        <v>32</v>
      </c>
      <c r="E244">
        <v>25</v>
      </c>
      <c r="F244" t="s">
        <v>28</v>
      </c>
      <c r="G244">
        <v>729.66</v>
      </c>
      <c r="H244">
        <v>43</v>
      </c>
      <c r="I244" t="s">
        <v>16</v>
      </c>
      <c r="J244">
        <v>4.4000000000000004</v>
      </c>
      <c r="K244" t="s">
        <v>17</v>
      </c>
      <c r="L244" t="s">
        <v>23</v>
      </c>
      <c r="M244" t="str">
        <f>VLOOKUP(D248,Restaurant_Master!A:B,2,FALSE)</f>
        <v>https://content.jdmagicbox.com/comp/deoria/g6/9999p5568.5568.200119143033.m4g6/catalogue/biryani-house-deoria-ho-deoria-mktc2xph0o.jpg</v>
      </c>
    </row>
    <row r="245" spans="1:13" x14ac:dyDescent="0.3">
      <c r="A245" t="s">
        <v>275</v>
      </c>
      <c r="B245" s="1">
        <v>45504</v>
      </c>
      <c r="C245" t="s">
        <v>34</v>
      </c>
      <c r="D245" t="s">
        <v>25</v>
      </c>
      <c r="E245">
        <v>34</v>
      </c>
      <c r="F245" t="s">
        <v>28</v>
      </c>
      <c r="G245">
        <v>1110.08</v>
      </c>
      <c r="H245">
        <v>46</v>
      </c>
      <c r="I245" t="s">
        <v>16</v>
      </c>
      <c r="J245">
        <v>3</v>
      </c>
      <c r="K245" t="s">
        <v>17</v>
      </c>
      <c r="L245" t="s">
        <v>23</v>
      </c>
      <c r="M245" t="str">
        <f>VLOOKUP(D249,Restaurant_Master!A:B,2,FALSE)</f>
        <v>https://media-cdn.tripadvisor.com/media/photo-s/1c/c7/97/b6/photo6jpg.jpg</v>
      </c>
    </row>
    <row r="246" spans="1:13" x14ac:dyDescent="0.3">
      <c r="A246" t="s">
        <v>276</v>
      </c>
      <c r="B246" s="1">
        <v>45479</v>
      </c>
      <c r="C246" t="s">
        <v>20</v>
      </c>
      <c r="D246" t="s">
        <v>32</v>
      </c>
      <c r="E246">
        <v>46</v>
      </c>
      <c r="F246" t="s">
        <v>15</v>
      </c>
      <c r="G246">
        <v>1084.48</v>
      </c>
      <c r="H246">
        <v>36</v>
      </c>
      <c r="I246" t="s">
        <v>22</v>
      </c>
      <c r="J246">
        <v>4.7</v>
      </c>
      <c r="K246" t="s">
        <v>29</v>
      </c>
      <c r="L246" t="s">
        <v>18</v>
      </c>
      <c r="M246" t="str">
        <f>VLOOKUP(D250,Restaurant_Master!A:B,2,FALSE)</f>
        <v>https://dynamic-media-cdn.tripadvisor.com/media/photo-o/1c/e7/04/0d/front-of-the-local-easily.jpg</v>
      </c>
    </row>
    <row r="247" spans="1:13" x14ac:dyDescent="0.3">
      <c r="A247" t="s">
        <v>277</v>
      </c>
      <c r="B247" s="1">
        <v>45558</v>
      </c>
      <c r="C247" t="s">
        <v>36</v>
      </c>
      <c r="D247" t="s">
        <v>32</v>
      </c>
      <c r="E247">
        <v>38</v>
      </c>
      <c r="F247" t="s">
        <v>28</v>
      </c>
      <c r="G247">
        <v>174.46</v>
      </c>
      <c r="H247">
        <v>23</v>
      </c>
      <c r="I247" t="s">
        <v>22</v>
      </c>
      <c r="J247">
        <v>3.3</v>
      </c>
      <c r="K247" t="s">
        <v>26</v>
      </c>
      <c r="L247" t="s">
        <v>23</v>
      </c>
      <c r="M247" t="str">
        <f>VLOOKUP(D251,Restaurant_Master!A:B,2,FALSE)</f>
        <v>https://content.jdmagicbox.com/comp/deoria/g6/9999p5568.5568.200119143033.m4g6/catalogue/biryani-house-deoria-ho-deoria-mktc2xph0o.jpg</v>
      </c>
    </row>
    <row r="248" spans="1:13" x14ac:dyDescent="0.3">
      <c r="A248" t="s">
        <v>278</v>
      </c>
      <c r="B248" s="1">
        <v>45523</v>
      </c>
      <c r="C248" t="s">
        <v>20</v>
      </c>
      <c r="D248" t="s">
        <v>32</v>
      </c>
      <c r="E248">
        <v>54</v>
      </c>
      <c r="F248" t="s">
        <v>28</v>
      </c>
      <c r="G248">
        <v>597.96</v>
      </c>
      <c r="H248">
        <v>36</v>
      </c>
      <c r="I248" t="s">
        <v>22</v>
      </c>
      <c r="J248">
        <v>3.1</v>
      </c>
      <c r="K248" t="s">
        <v>26</v>
      </c>
      <c r="L248" t="s">
        <v>18</v>
      </c>
      <c r="M248" t="str">
        <f>VLOOKUP(D252,Restaurant_Master!A:B,2,FALSE)</f>
        <v>https://dineout-media-assets.swiggy.com/swiggy/image/upload/fl_lossy,f_auto,q_auto/v1660793737/fdqxvxcxg1wtdwvyv45v.jpg</v>
      </c>
    </row>
    <row r="249" spans="1:13" x14ac:dyDescent="0.3">
      <c r="A249" t="s">
        <v>279</v>
      </c>
      <c r="B249" s="1">
        <v>45473</v>
      </c>
      <c r="C249" t="s">
        <v>36</v>
      </c>
      <c r="D249" t="s">
        <v>25</v>
      </c>
      <c r="E249">
        <v>20</v>
      </c>
      <c r="F249" t="s">
        <v>15</v>
      </c>
      <c r="G249">
        <v>1154.01</v>
      </c>
      <c r="H249">
        <v>38</v>
      </c>
      <c r="I249" t="s">
        <v>22</v>
      </c>
      <c r="J249">
        <v>3</v>
      </c>
      <c r="K249" t="s">
        <v>17</v>
      </c>
      <c r="L249" t="s">
        <v>23</v>
      </c>
      <c r="M249" t="str">
        <f>VLOOKUP(D253,Restaurant_Master!A:B,2,FALSE)</f>
        <v>https://www.chatswoodinterchange.com/storages/2018/08/Sushi-World_666x448.jpg</v>
      </c>
    </row>
    <row r="250" spans="1:13" x14ac:dyDescent="0.3">
      <c r="A250" t="s">
        <v>280</v>
      </c>
      <c r="B250" s="1">
        <v>45586</v>
      </c>
      <c r="C250" t="s">
        <v>20</v>
      </c>
      <c r="D250" t="s">
        <v>21</v>
      </c>
      <c r="E250">
        <v>31</v>
      </c>
      <c r="F250" t="s">
        <v>28</v>
      </c>
      <c r="G250">
        <v>545.38</v>
      </c>
      <c r="H250">
        <v>52</v>
      </c>
      <c r="I250" t="s">
        <v>16</v>
      </c>
      <c r="J250">
        <v>4.5999999999999996</v>
      </c>
      <c r="K250" t="s">
        <v>41</v>
      </c>
      <c r="L250" t="s">
        <v>23</v>
      </c>
      <c r="M250" t="str">
        <f>VLOOKUP(D254,Restaurant_Master!A:B,2,FALSE)</f>
        <v>https://www.chatswoodinterchange.com/storages/2018/08/Sushi-World_666x448.jpg</v>
      </c>
    </row>
    <row r="251" spans="1:13" x14ac:dyDescent="0.3">
      <c r="A251" t="s">
        <v>281</v>
      </c>
      <c r="B251" s="1">
        <v>45507</v>
      </c>
      <c r="C251" t="s">
        <v>43</v>
      </c>
      <c r="D251" t="s">
        <v>32</v>
      </c>
      <c r="E251">
        <v>49</v>
      </c>
      <c r="F251" t="s">
        <v>28</v>
      </c>
      <c r="G251">
        <v>861.57</v>
      </c>
      <c r="H251">
        <v>42</v>
      </c>
      <c r="I251" t="s">
        <v>16</v>
      </c>
      <c r="J251">
        <v>4</v>
      </c>
      <c r="K251" t="s">
        <v>29</v>
      </c>
      <c r="L251" t="s">
        <v>23</v>
      </c>
      <c r="M251" t="str">
        <f>VLOOKUP(D255,Restaurant_Master!A:B,2,FALSE)</f>
        <v>https://media-cdn.tripadvisor.com/media/photo-s/1c/c7/97/b6/photo6jpg.jpg</v>
      </c>
    </row>
    <row r="252" spans="1:13" x14ac:dyDescent="0.3">
      <c r="A252" t="s">
        <v>282</v>
      </c>
      <c r="B252" s="1">
        <v>45570</v>
      </c>
      <c r="C252" t="s">
        <v>20</v>
      </c>
      <c r="D252" t="s">
        <v>14</v>
      </c>
      <c r="E252">
        <v>43</v>
      </c>
      <c r="F252" t="s">
        <v>15</v>
      </c>
      <c r="G252">
        <v>784</v>
      </c>
      <c r="H252">
        <v>34</v>
      </c>
      <c r="I252" t="s">
        <v>22</v>
      </c>
      <c r="J252">
        <v>4.5999999999999996</v>
      </c>
      <c r="K252" t="s">
        <v>26</v>
      </c>
      <c r="L252" t="s">
        <v>23</v>
      </c>
      <c r="M252" t="str">
        <f>VLOOKUP(D256,Restaurant_Master!A:B,2,FALSE)</f>
        <v>https://content.jdmagicbox.com/comp/deoria/g6/9999p5568.5568.200119143033.m4g6/catalogue/biryani-house-deoria-ho-deoria-mktc2xph0o.jpg</v>
      </c>
    </row>
    <row r="253" spans="1:13" x14ac:dyDescent="0.3">
      <c r="A253" t="s">
        <v>283</v>
      </c>
      <c r="B253" s="1">
        <v>45438</v>
      </c>
      <c r="C253" t="s">
        <v>20</v>
      </c>
      <c r="D253" t="s">
        <v>38</v>
      </c>
      <c r="E253">
        <v>45</v>
      </c>
      <c r="F253" t="s">
        <v>15</v>
      </c>
      <c r="G253">
        <v>697.67</v>
      </c>
      <c r="H253">
        <v>38</v>
      </c>
      <c r="I253" t="s">
        <v>22</v>
      </c>
      <c r="J253">
        <v>3.3</v>
      </c>
      <c r="K253" t="s">
        <v>41</v>
      </c>
      <c r="L253" t="s">
        <v>23</v>
      </c>
      <c r="M253" t="str">
        <f>VLOOKUP(D257,Restaurant_Master!A:B,2,FALSE)</f>
        <v>https://dynamic-media-cdn.tripadvisor.com/media/photo-o/1c/e7/04/0d/front-of-the-local-easily.jpg</v>
      </c>
    </row>
    <row r="254" spans="1:13" x14ac:dyDescent="0.3">
      <c r="A254" t="s">
        <v>284</v>
      </c>
      <c r="B254" s="1">
        <v>45368</v>
      </c>
      <c r="C254" t="s">
        <v>36</v>
      </c>
      <c r="D254" t="s">
        <v>38</v>
      </c>
      <c r="E254">
        <v>41</v>
      </c>
      <c r="F254" t="s">
        <v>15</v>
      </c>
      <c r="G254">
        <v>309.98</v>
      </c>
      <c r="H254">
        <v>30</v>
      </c>
      <c r="I254" t="s">
        <v>22</v>
      </c>
      <c r="J254">
        <v>3.9</v>
      </c>
      <c r="K254" t="s">
        <v>29</v>
      </c>
      <c r="L254" t="s">
        <v>18</v>
      </c>
      <c r="M254" t="str">
        <f>VLOOKUP(D258,Restaurant_Master!A:B,2,FALSE)</f>
        <v>https://content.jdmagicbox.com/comp/deoria/g6/9999p5568.5568.200119143033.m4g6/catalogue/biryani-house-deoria-ho-deoria-mktc2xph0o.jpg</v>
      </c>
    </row>
    <row r="255" spans="1:13" x14ac:dyDescent="0.3">
      <c r="A255" t="s">
        <v>285</v>
      </c>
      <c r="B255" s="1">
        <v>45642</v>
      </c>
      <c r="C255" t="s">
        <v>43</v>
      </c>
      <c r="D255" t="s">
        <v>25</v>
      </c>
      <c r="E255">
        <v>45</v>
      </c>
      <c r="F255" t="s">
        <v>15</v>
      </c>
      <c r="G255">
        <v>495.02</v>
      </c>
      <c r="H255">
        <v>21</v>
      </c>
      <c r="I255" t="s">
        <v>22</v>
      </c>
      <c r="J255">
        <v>2.8</v>
      </c>
      <c r="K255" t="s">
        <v>29</v>
      </c>
      <c r="L255" t="s">
        <v>23</v>
      </c>
      <c r="M255" t="str">
        <f>VLOOKUP(D259,Restaurant_Master!A:B,2,FALSE)</f>
        <v>https://dynamic-media-cdn.tripadvisor.com/media/photo-o/1c/e7/04/0d/front-of-the-local-easily.jpg</v>
      </c>
    </row>
    <row r="256" spans="1:13" x14ac:dyDescent="0.3">
      <c r="A256" t="s">
        <v>286</v>
      </c>
      <c r="B256" s="1">
        <v>45558</v>
      </c>
      <c r="C256" t="s">
        <v>43</v>
      </c>
      <c r="D256" t="s">
        <v>32</v>
      </c>
      <c r="E256">
        <v>34</v>
      </c>
      <c r="F256" t="s">
        <v>28</v>
      </c>
      <c r="G256">
        <v>717.45</v>
      </c>
      <c r="H256">
        <v>57</v>
      </c>
      <c r="I256" t="s">
        <v>16</v>
      </c>
      <c r="J256">
        <v>3.3</v>
      </c>
      <c r="K256" t="s">
        <v>41</v>
      </c>
      <c r="L256" t="s">
        <v>18</v>
      </c>
      <c r="M256" t="str">
        <f>VLOOKUP(D260,Restaurant_Master!A:B,2,FALSE)</f>
        <v>https://media-cdn.tripadvisor.com/media/photo-s/1c/c7/97/b6/photo6jpg.jpg</v>
      </c>
    </row>
    <row r="257" spans="1:13" x14ac:dyDescent="0.3">
      <c r="A257" t="s">
        <v>287</v>
      </c>
      <c r="B257" s="1">
        <v>45546</v>
      </c>
      <c r="C257" t="s">
        <v>43</v>
      </c>
      <c r="D257" t="s">
        <v>21</v>
      </c>
      <c r="E257">
        <v>55</v>
      </c>
      <c r="F257" t="s">
        <v>15</v>
      </c>
      <c r="G257">
        <v>342.22</v>
      </c>
      <c r="H257">
        <v>48</v>
      </c>
      <c r="I257" t="s">
        <v>16</v>
      </c>
      <c r="J257">
        <v>4.5</v>
      </c>
      <c r="K257" t="s">
        <v>26</v>
      </c>
      <c r="L257" t="s">
        <v>18</v>
      </c>
      <c r="M257" t="str">
        <f>VLOOKUP(D261,Restaurant_Master!A:B,2,FALSE)</f>
        <v>https://content.jdmagicbox.com/comp/deoria/g6/9999p5568.5568.200119143033.m4g6/catalogue/biryani-house-deoria-ho-deoria-mktc2xph0o.jpg</v>
      </c>
    </row>
    <row r="258" spans="1:13" x14ac:dyDescent="0.3">
      <c r="A258" t="s">
        <v>288</v>
      </c>
      <c r="B258" s="1">
        <v>45474</v>
      </c>
      <c r="C258" t="s">
        <v>43</v>
      </c>
      <c r="D258" t="s">
        <v>32</v>
      </c>
      <c r="E258">
        <v>47</v>
      </c>
      <c r="F258" t="s">
        <v>15</v>
      </c>
      <c r="G258">
        <v>698.75</v>
      </c>
      <c r="H258">
        <v>59</v>
      </c>
      <c r="I258" t="s">
        <v>16</v>
      </c>
      <c r="J258">
        <v>4.5999999999999996</v>
      </c>
      <c r="K258" t="s">
        <v>26</v>
      </c>
      <c r="L258" t="s">
        <v>23</v>
      </c>
      <c r="M258" t="str">
        <f>VLOOKUP(D262,Restaurant_Master!A:B,2,FALSE)</f>
        <v>https://www.chatswoodinterchange.com/storages/2018/08/Sushi-World_666x448.jpg</v>
      </c>
    </row>
    <row r="259" spans="1:13" x14ac:dyDescent="0.3">
      <c r="A259" t="s">
        <v>289</v>
      </c>
      <c r="B259" s="1">
        <v>45550</v>
      </c>
      <c r="C259" t="s">
        <v>13</v>
      </c>
      <c r="D259" t="s">
        <v>21</v>
      </c>
      <c r="E259">
        <v>38</v>
      </c>
      <c r="F259" t="s">
        <v>15</v>
      </c>
      <c r="G259">
        <v>180.98</v>
      </c>
      <c r="H259">
        <v>53</v>
      </c>
      <c r="I259" t="s">
        <v>16</v>
      </c>
      <c r="J259">
        <v>4.5</v>
      </c>
      <c r="K259" t="s">
        <v>17</v>
      </c>
      <c r="L259" t="s">
        <v>23</v>
      </c>
      <c r="M259" t="str">
        <f>VLOOKUP(D263,Restaurant_Master!A:B,2,FALSE)</f>
        <v>https://media-cdn.tripadvisor.com/media/photo-s/1c/c7/97/b6/photo6jpg.jpg</v>
      </c>
    </row>
    <row r="260" spans="1:13" x14ac:dyDescent="0.3">
      <c r="A260" t="s">
        <v>290</v>
      </c>
      <c r="B260" s="1">
        <v>45435</v>
      </c>
      <c r="C260" t="s">
        <v>13</v>
      </c>
      <c r="D260" t="s">
        <v>25</v>
      </c>
      <c r="E260">
        <v>33</v>
      </c>
      <c r="F260" t="s">
        <v>15</v>
      </c>
      <c r="G260">
        <v>874.1</v>
      </c>
      <c r="H260">
        <v>29</v>
      </c>
      <c r="I260" t="s">
        <v>22</v>
      </c>
      <c r="J260">
        <v>3.8</v>
      </c>
      <c r="K260" t="s">
        <v>26</v>
      </c>
      <c r="L260" t="s">
        <v>18</v>
      </c>
      <c r="M260" t="str">
        <f>VLOOKUP(D264,Restaurant_Master!A:B,2,FALSE)</f>
        <v>https://www.chatswoodinterchange.com/storages/2018/08/Sushi-World_666x448.jpg</v>
      </c>
    </row>
    <row r="261" spans="1:13" x14ac:dyDescent="0.3">
      <c r="A261" t="s">
        <v>291</v>
      </c>
      <c r="B261" s="1">
        <v>45586</v>
      </c>
      <c r="C261" t="s">
        <v>43</v>
      </c>
      <c r="D261" t="s">
        <v>32</v>
      </c>
      <c r="E261">
        <v>42</v>
      </c>
      <c r="F261" t="s">
        <v>28</v>
      </c>
      <c r="G261">
        <v>948.21</v>
      </c>
      <c r="H261">
        <v>41</v>
      </c>
      <c r="I261" t="s">
        <v>16</v>
      </c>
      <c r="J261">
        <v>4.5</v>
      </c>
      <c r="K261" t="s">
        <v>26</v>
      </c>
      <c r="L261" t="s">
        <v>18</v>
      </c>
      <c r="M261" t="str">
        <f>VLOOKUP(D265,Restaurant_Master!A:B,2,FALSE)</f>
        <v>https://dynamic-media-cdn.tripadvisor.com/media/photo-o/1c/e7/04/0d/front-of-the-local-easily.jpg</v>
      </c>
    </row>
    <row r="262" spans="1:13" x14ac:dyDescent="0.3">
      <c r="A262" t="s">
        <v>292</v>
      </c>
      <c r="B262" s="1">
        <v>45509</v>
      </c>
      <c r="C262" t="s">
        <v>34</v>
      </c>
      <c r="D262" t="s">
        <v>38</v>
      </c>
      <c r="E262">
        <v>53</v>
      </c>
      <c r="F262" t="s">
        <v>15</v>
      </c>
      <c r="G262">
        <v>623.04999999999995</v>
      </c>
      <c r="H262">
        <v>28</v>
      </c>
      <c r="I262" t="s">
        <v>22</v>
      </c>
      <c r="J262">
        <v>4.5</v>
      </c>
      <c r="K262" t="s">
        <v>29</v>
      </c>
      <c r="L262" t="s">
        <v>23</v>
      </c>
      <c r="M262" t="str">
        <f>VLOOKUP(D266,Restaurant_Master!A:B,2,FALSE)</f>
        <v>https://content.jdmagicbox.com/comp/deoria/g6/9999p5568.5568.200119143033.m4g6/catalogue/biryani-house-deoria-ho-deoria-mktc2xph0o.jpg</v>
      </c>
    </row>
    <row r="263" spans="1:13" x14ac:dyDescent="0.3">
      <c r="A263" t="s">
        <v>293</v>
      </c>
      <c r="B263" s="1">
        <v>45598</v>
      </c>
      <c r="C263" t="s">
        <v>43</v>
      </c>
      <c r="D263" t="s">
        <v>25</v>
      </c>
      <c r="E263">
        <v>38</v>
      </c>
      <c r="F263" t="s">
        <v>28</v>
      </c>
      <c r="G263">
        <v>483.38</v>
      </c>
      <c r="H263">
        <v>45</v>
      </c>
      <c r="I263" t="s">
        <v>16</v>
      </c>
      <c r="J263">
        <v>4.8</v>
      </c>
      <c r="K263" t="s">
        <v>41</v>
      </c>
      <c r="L263" t="s">
        <v>18</v>
      </c>
      <c r="M263" t="str">
        <f>VLOOKUP(D267,Restaurant_Master!A:B,2,FALSE)</f>
        <v>https://content.jdmagicbox.com/comp/deoria/g6/9999p5568.5568.200119143033.m4g6/catalogue/biryani-house-deoria-ho-deoria-mktc2xph0o.jpg</v>
      </c>
    </row>
    <row r="264" spans="1:13" x14ac:dyDescent="0.3">
      <c r="A264" t="s">
        <v>294</v>
      </c>
      <c r="B264" s="1">
        <v>45635</v>
      </c>
      <c r="C264" t="s">
        <v>43</v>
      </c>
      <c r="D264" t="s">
        <v>38</v>
      </c>
      <c r="E264">
        <v>26</v>
      </c>
      <c r="F264" t="s">
        <v>15</v>
      </c>
      <c r="G264">
        <v>272.7</v>
      </c>
      <c r="H264">
        <v>47</v>
      </c>
      <c r="I264" t="s">
        <v>16</v>
      </c>
      <c r="J264">
        <v>2.7</v>
      </c>
      <c r="K264" t="s">
        <v>26</v>
      </c>
      <c r="L264" t="s">
        <v>23</v>
      </c>
      <c r="M264" t="str">
        <f>VLOOKUP(D268,Restaurant_Master!A:B,2,FALSE)</f>
        <v>https://dynamic-media-cdn.tripadvisor.com/media/photo-o/1c/e7/04/0d/front-of-the-local-easily.jpg</v>
      </c>
    </row>
    <row r="265" spans="1:13" x14ac:dyDescent="0.3">
      <c r="A265" t="s">
        <v>295</v>
      </c>
      <c r="B265" s="1">
        <v>45388</v>
      </c>
      <c r="C265" t="s">
        <v>43</v>
      </c>
      <c r="D265" t="s">
        <v>21</v>
      </c>
      <c r="E265">
        <v>50</v>
      </c>
      <c r="F265" t="s">
        <v>15</v>
      </c>
      <c r="G265">
        <v>361.56</v>
      </c>
      <c r="H265">
        <v>34</v>
      </c>
      <c r="I265" t="s">
        <v>22</v>
      </c>
      <c r="J265">
        <v>2.6</v>
      </c>
      <c r="K265" t="s">
        <v>41</v>
      </c>
      <c r="L265" t="s">
        <v>23</v>
      </c>
      <c r="M265" t="str">
        <f>VLOOKUP(D269,Restaurant_Master!A:B,2,FALSE)</f>
        <v>https://dineout-media-assets.swiggy.com/swiggy/image/upload/fl_lossy,f_auto,q_auto/v1660793737/fdqxvxcxg1wtdwvyv45v.jpg</v>
      </c>
    </row>
    <row r="266" spans="1:13" x14ac:dyDescent="0.3">
      <c r="A266" t="s">
        <v>296</v>
      </c>
      <c r="B266" s="1">
        <v>45520</v>
      </c>
      <c r="C266" t="s">
        <v>43</v>
      </c>
      <c r="D266" t="s">
        <v>32</v>
      </c>
      <c r="E266">
        <v>33</v>
      </c>
      <c r="F266" t="s">
        <v>15</v>
      </c>
      <c r="G266">
        <v>788.31</v>
      </c>
      <c r="H266">
        <v>37</v>
      </c>
      <c r="I266" t="s">
        <v>22</v>
      </c>
      <c r="J266">
        <v>4.5999999999999996</v>
      </c>
      <c r="K266" t="s">
        <v>29</v>
      </c>
      <c r="L266" t="s">
        <v>23</v>
      </c>
      <c r="M266" t="str">
        <f>VLOOKUP(D270,Restaurant_Master!A:B,2,FALSE)</f>
        <v>https://media-cdn.tripadvisor.com/media/photo-s/1c/c7/97/b6/photo6jpg.jpg</v>
      </c>
    </row>
    <row r="267" spans="1:13" x14ac:dyDescent="0.3">
      <c r="A267" t="s">
        <v>297</v>
      </c>
      <c r="B267" s="1">
        <v>45566</v>
      </c>
      <c r="C267" t="s">
        <v>13</v>
      </c>
      <c r="D267" t="s">
        <v>32</v>
      </c>
      <c r="E267">
        <v>51</v>
      </c>
      <c r="F267" t="s">
        <v>28</v>
      </c>
      <c r="G267">
        <v>466.69</v>
      </c>
      <c r="H267">
        <v>43</v>
      </c>
      <c r="I267" t="s">
        <v>16</v>
      </c>
      <c r="J267">
        <v>4.9000000000000004</v>
      </c>
      <c r="K267" t="s">
        <v>29</v>
      </c>
      <c r="L267" t="s">
        <v>23</v>
      </c>
      <c r="M267" t="str">
        <f>VLOOKUP(D271,Restaurant_Master!A:B,2,FALSE)</f>
        <v>https://dineout-media-assets.swiggy.com/swiggy/image/upload/fl_lossy,f_auto,q_auto/v1660793737/fdqxvxcxg1wtdwvyv45v.jpg</v>
      </c>
    </row>
    <row r="268" spans="1:13" x14ac:dyDescent="0.3">
      <c r="A268" t="s">
        <v>298</v>
      </c>
      <c r="B268" s="1">
        <v>45656</v>
      </c>
      <c r="C268" t="s">
        <v>34</v>
      </c>
      <c r="D268" t="s">
        <v>21</v>
      </c>
      <c r="E268">
        <v>42</v>
      </c>
      <c r="F268" t="s">
        <v>28</v>
      </c>
      <c r="G268">
        <v>1024.56</v>
      </c>
      <c r="H268">
        <v>24</v>
      </c>
      <c r="I268" t="s">
        <v>22</v>
      </c>
      <c r="J268">
        <v>3.8</v>
      </c>
      <c r="K268" t="s">
        <v>29</v>
      </c>
      <c r="L268" t="s">
        <v>18</v>
      </c>
      <c r="M268" t="str">
        <f>VLOOKUP(D272,Restaurant_Master!A:B,2,FALSE)</f>
        <v>https://media-cdn.tripadvisor.com/media/photo-s/1c/c7/97/b6/photo6jpg.jpg</v>
      </c>
    </row>
    <row r="269" spans="1:13" x14ac:dyDescent="0.3">
      <c r="A269" t="s">
        <v>299</v>
      </c>
      <c r="B269" s="1">
        <v>45485</v>
      </c>
      <c r="C269" t="s">
        <v>20</v>
      </c>
      <c r="D269" t="s">
        <v>14</v>
      </c>
      <c r="E269">
        <v>57</v>
      </c>
      <c r="F269" t="s">
        <v>15</v>
      </c>
      <c r="G269">
        <v>777.34</v>
      </c>
      <c r="H269">
        <v>22</v>
      </c>
      <c r="I269" t="s">
        <v>22</v>
      </c>
      <c r="J269">
        <v>3</v>
      </c>
      <c r="K269" t="s">
        <v>17</v>
      </c>
      <c r="L269" t="s">
        <v>23</v>
      </c>
      <c r="M269" t="str">
        <f>VLOOKUP(D273,Restaurant_Master!A:B,2,FALSE)</f>
        <v>https://www.chatswoodinterchange.com/storages/2018/08/Sushi-World_666x448.jpg</v>
      </c>
    </row>
    <row r="270" spans="1:13" x14ac:dyDescent="0.3">
      <c r="A270" t="s">
        <v>300</v>
      </c>
      <c r="B270" s="1">
        <v>45383</v>
      </c>
      <c r="C270" t="s">
        <v>20</v>
      </c>
      <c r="D270" t="s">
        <v>25</v>
      </c>
      <c r="E270">
        <v>54</v>
      </c>
      <c r="F270" t="s">
        <v>28</v>
      </c>
      <c r="G270">
        <v>372.08</v>
      </c>
      <c r="H270">
        <v>56</v>
      </c>
      <c r="I270" t="s">
        <v>16</v>
      </c>
      <c r="J270">
        <v>2.8</v>
      </c>
      <c r="K270" t="s">
        <v>26</v>
      </c>
      <c r="L270" t="s">
        <v>18</v>
      </c>
      <c r="M270" t="str">
        <f>VLOOKUP(D274,Restaurant_Master!A:B,2,FALSE)</f>
        <v>https://dynamic-media-cdn.tripadvisor.com/media/photo-o/1c/e7/04/0d/front-of-the-local-easily.jpg</v>
      </c>
    </row>
    <row r="271" spans="1:13" x14ac:dyDescent="0.3">
      <c r="A271" t="s">
        <v>301</v>
      </c>
      <c r="B271" s="1">
        <v>45380</v>
      </c>
      <c r="C271" t="s">
        <v>43</v>
      </c>
      <c r="D271" t="s">
        <v>14</v>
      </c>
      <c r="E271">
        <v>31</v>
      </c>
      <c r="F271" t="s">
        <v>28</v>
      </c>
      <c r="G271">
        <v>860.84</v>
      </c>
      <c r="H271">
        <v>48</v>
      </c>
      <c r="I271" t="s">
        <v>16</v>
      </c>
      <c r="J271">
        <v>3.5</v>
      </c>
      <c r="K271" t="s">
        <v>29</v>
      </c>
      <c r="L271" t="s">
        <v>23</v>
      </c>
      <c r="M271" t="str">
        <f>VLOOKUP(D275,Restaurant_Master!A:B,2,FALSE)</f>
        <v>https://dineout-media-assets.swiggy.com/swiggy/image/upload/fl_lossy,f_auto,q_auto/v1660793737/fdqxvxcxg1wtdwvyv45v.jpg</v>
      </c>
    </row>
    <row r="272" spans="1:13" x14ac:dyDescent="0.3">
      <c r="A272" t="s">
        <v>302</v>
      </c>
      <c r="B272" s="1">
        <v>45349</v>
      </c>
      <c r="C272" t="s">
        <v>13</v>
      </c>
      <c r="D272" t="s">
        <v>25</v>
      </c>
      <c r="E272">
        <v>21</v>
      </c>
      <c r="F272" t="s">
        <v>28</v>
      </c>
      <c r="G272">
        <v>326.16000000000003</v>
      </c>
      <c r="H272">
        <v>39</v>
      </c>
      <c r="I272" t="s">
        <v>22</v>
      </c>
      <c r="J272">
        <v>2.5</v>
      </c>
      <c r="K272" t="s">
        <v>26</v>
      </c>
      <c r="L272" t="s">
        <v>18</v>
      </c>
      <c r="M272" t="str">
        <f>VLOOKUP(D276,Restaurant_Master!A:B,2,FALSE)</f>
        <v>https://content.jdmagicbox.com/comp/deoria/g6/9999p5568.5568.200119143033.m4g6/catalogue/biryani-house-deoria-ho-deoria-mktc2xph0o.jpg</v>
      </c>
    </row>
    <row r="273" spans="1:13" x14ac:dyDescent="0.3">
      <c r="A273" t="s">
        <v>303</v>
      </c>
      <c r="B273" s="1">
        <v>45646</v>
      </c>
      <c r="C273" t="s">
        <v>13</v>
      </c>
      <c r="D273" t="s">
        <v>38</v>
      </c>
      <c r="E273">
        <v>35</v>
      </c>
      <c r="F273" t="s">
        <v>15</v>
      </c>
      <c r="G273">
        <v>215.62</v>
      </c>
      <c r="H273">
        <v>57</v>
      </c>
      <c r="I273" t="s">
        <v>16</v>
      </c>
      <c r="J273">
        <v>4.0999999999999996</v>
      </c>
      <c r="K273" t="s">
        <v>29</v>
      </c>
      <c r="L273" t="s">
        <v>18</v>
      </c>
      <c r="M273" t="str">
        <f>VLOOKUP(D277,Restaurant_Master!A:B,2,FALSE)</f>
        <v>https://www.chatswoodinterchange.com/storages/2018/08/Sushi-World_666x448.jpg</v>
      </c>
    </row>
    <row r="274" spans="1:13" x14ac:dyDescent="0.3">
      <c r="A274" t="s">
        <v>304</v>
      </c>
      <c r="B274" s="1">
        <v>45642</v>
      </c>
      <c r="C274" t="s">
        <v>20</v>
      </c>
      <c r="D274" t="s">
        <v>21</v>
      </c>
      <c r="E274">
        <v>19</v>
      </c>
      <c r="F274" t="s">
        <v>15</v>
      </c>
      <c r="G274">
        <v>522.04999999999995</v>
      </c>
      <c r="H274">
        <v>55</v>
      </c>
      <c r="I274" t="s">
        <v>16</v>
      </c>
      <c r="J274">
        <v>3.8</v>
      </c>
      <c r="K274" t="s">
        <v>17</v>
      </c>
      <c r="L274" t="s">
        <v>18</v>
      </c>
      <c r="M274" t="str">
        <f>VLOOKUP(D278,Restaurant_Master!A:B,2,FALSE)</f>
        <v>https://content.jdmagicbox.com/comp/deoria/g6/9999p5568.5568.200119143033.m4g6/catalogue/biryani-house-deoria-ho-deoria-mktc2xph0o.jpg</v>
      </c>
    </row>
    <row r="275" spans="1:13" x14ac:dyDescent="0.3">
      <c r="A275" t="s">
        <v>305</v>
      </c>
      <c r="B275" s="1">
        <v>45442</v>
      </c>
      <c r="C275" t="s">
        <v>43</v>
      </c>
      <c r="D275" t="s">
        <v>14</v>
      </c>
      <c r="E275">
        <v>34</v>
      </c>
      <c r="F275" t="s">
        <v>28</v>
      </c>
      <c r="G275">
        <v>1192.3499999999999</v>
      </c>
      <c r="H275">
        <v>28</v>
      </c>
      <c r="I275" t="s">
        <v>22</v>
      </c>
      <c r="J275">
        <v>3.9</v>
      </c>
      <c r="K275" t="s">
        <v>29</v>
      </c>
      <c r="L275" t="s">
        <v>18</v>
      </c>
      <c r="M275" t="str">
        <f>VLOOKUP(D279,Restaurant_Master!A:B,2,FALSE)</f>
        <v>https://dineout-media-assets.swiggy.com/swiggy/image/upload/fl_lossy,f_auto,q_auto/v1660793737/fdqxvxcxg1wtdwvyv45v.jpg</v>
      </c>
    </row>
    <row r="276" spans="1:13" x14ac:dyDescent="0.3">
      <c r="A276" t="s">
        <v>306</v>
      </c>
      <c r="B276" s="1">
        <v>45606</v>
      </c>
      <c r="C276" t="s">
        <v>34</v>
      </c>
      <c r="D276" t="s">
        <v>32</v>
      </c>
      <c r="E276">
        <v>24</v>
      </c>
      <c r="F276" t="s">
        <v>15</v>
      </c>
      <c r="G276">
        <v>329.32</v>
      </c>
      <c r="H276">
        <v>22</v>
      </c>
      <c r="I276" t="s">
        <v>22</v>
      </c>
      <c r="J276">
        <v>2.8</v>
      </c>
      <c r="K276" t="s">
        <v>26</v>
      </c>
      <c r="L276" t="s">
        <v>18</v>
      </c>
      <c r="M276" t="str">
        <f>VLOOKUP(D280,Restaurant_Master!A:B,2,FALSE)</f>
        <v>https://media-cdn.tripadvisor.com/media/photo-s/1c/c7/97/b6/photo6jpg.jpg</v>
      </c>
    </row>
    <row r="277" spans="1:13" x14ac:dyDescent="0.3">
      <c r="A277" t="s">
        <v>307</v>
      </c>
      <c r="B277" s="1">
        <v>45537</v>
      </c>
      <c r="C277" t="s">
        <v>34</v>
      </c>
      <c r="D277" t="s">
        <v>38</v>
      </c>
      <c r="E277">
        <v>50</v>
      </c>
      <c r="F277" t="s">
        <v>28</v>
      </c>
      <c r="G277">
        <v>876.05</v>
      </c>
      <c r="H277">
        <v>31</v>
      </c>
      <c r="I277" t="s">
        <v>22</v>
      </c>
      <c r="J277">
        <v>3.7</v>
      </c>
      <c r="K277" t="s">
        <v>17</v>
      </c>
      <c r="L277" t="s">
        <v>23</v>
      </c>
      <c r="M277" t="str">
        <f>VLOOKUP(D281,Restaurant_Master!A:B,2,FALSE)</f>
        <v>https://dineout-media-assets.swiggy.com/swiggy/image/upload/fl_lossy,f_auto,q_auto/v1660793737/fdqxvxcxg1wtdwvyv45v.jpg</v>
      </c>
    </row>
    <row r="278" spans="1:13" x14ac:dyDescent="0.3">
      <c r="A278" t="s">
        <v>308</v>
      </c>
      <c r="B278" s="1">
        <v>45429</v>
      </c>
      <c r="C278" t="s">
        <v>43</v>
      </c>
      <c r="D278" t="s">
        <v>32</v>
      </c>
      <c r="E278">
        <v>25</v>
      </c>
      <c r="F278" t="s">
        <v>15</v>
      </c>
      <c r="G278">
        <v>1159.04</v>
      </c>
      <c r="H278">
        <v>25</v>
      </c>
      <c r="I278" t="s">
        <v>22</v>
      </c>
      <c r="J278">
        <v>3.2</v>
      </c>
      <c r="K278" t="s">
        <v>29</v>
      </c>
      <c r="L278" t="s">
        <v>18</v>
      </c>
      <c r="M278" t="str">
        <f>VLOOKUP(D282,Restaurant_Master!A:B,2,FALSE)</f>
        <v>https://www.chatswoodinterchange.com/storages/2018/08/Sushi-World_666x448.jpg</v>
      </c>
    </row>
    <row r="279" spans="1:13" x14ac:dyDescent="0.3">
      <c r="A279" t="s">
        <v>309</v>
      </c>
      <c r="B279" s="1">
        <v>45357</v>
      </c>
      <c r="C279" t="s">
        <v>13</v>
      </c>
      <c r="D279" t="s">
        <v>14</v>
      </c>
      <c r="E279">
        <v>57</v>
      </c>
      <c r="F279" t="s">
        <v>15</v>
      </c>
      <c r="G279">
        <v>780.45</v>
      </c>
      <c r="H279">
        <v>26</v>
      </c>
      <c r="I279" t="s">
        <v>22</v>
      </c>
      <c r="J279">
        <v>4.4000000000000004</v>
      </c>
      <c r="K279" t="s">
        <v>17</v>
      </c>
      <c r="L279" t="s">
        <v>18</v>
      </c>
      <c r="M279" t="str">
        <f>VLOOKUP(D283,Restaurant_Master!A:B,2,FALSE)</f>
        <v>https://content.jdmagicbox.com/comp/deoria/g6/9999p5568.5568.200119143033.m4g6/catalogue/biryani-house-deoria-ho-deoria-mktc2xph0o.jpg</v>
      </c>
    </row>
    <row r="280" spans="1:13" x14ac:dyDescent="0.3">
      <c r="A280" t="s">
        <v>310</v>
      </c>
      <c r="B280" s="1">
        <v>45349</v>
      </c>
      <c r="C280" t="s">
        <v>34</v>
      </c>
      <c r="D280" t="s">
        <v>25</v>
      </c>
      <c r="E280">
        <v>56</v>
      </c>
      <c r="F280" t="s">
        <v>28</v>
      </c>
      <c r="G280">
        <v>650.66</v>
      </c>
      <c r="H280">
        <v>51</v>
      </c>
      <c r="I280" t="s">
        <v>16</v>
      </c>
      <c r="J280">
        <v>4.4000000000000004</v>
      </c>
      <c r="K280" t="s">
        <v>17</v>
      </c>
      <c r="L280" t="s">
        <v>23</v>
      </c>
      <c r="M280" t="str">
        <f>VLOOKUP(D284,Restaurant_Master!A:B,2,FALSE)</f>
        <v>https://dynamic-media-cdn.tripadvisor.com/media/photo-o/1c/e7/04/0d/front-of-the-local-easily.jpg</v>
      </c>
    </row>
    <row r="281" spans="1:13" x14ac:dyDescent="0.3">
      <c r="A281" t="s">
        <v>311</v>
      </c>
      <c r="B281" s="1">
        <v>45396</v>
      </c>
      <c r="C281" t="s">
        <v>43</v>
      </c>
      <c r="D281" t="s">
        <v>14</v>
      </c>
      <c r="E281">
        <v>45</v>
      </c>
      <c r="F281" t="s">
        <v>15</v>
      </c>
      <c r="G281">
        <v>213.9</v>
      </c>
      <c r="H281">
        <v>30</v>
      </c>
      <c r="I281" t="s">
        <v>22</v>
      </c>
      <c r="J281">
        <v>3</v>
      </c>
      <c r="K281" t="s">
        <v>17</v>
      </c>
      <c r="L281" t="s">
        <v>18</v>
      </c>
      <c r="M281" t="str">
        <f>VLOOKUP(D285,Restaurant_Master!A:B,2,FALSE)</f>
        <v>https://dynamic-media-cdn.tripadvisor.com/media/photo-o/1c/e7/04/0d/front-of-the-local-easily.jpg</v>
      </c>
    </row>
    <row r="282" spans="1:13" x14ac:dyDescent="0.3">
      <c r="A282" t="s">
        <v>312</v>
      </c>
      <c r="B282" s="1">
        <v>45404</v>
      </c>
      <c r="C282" t="s">
        <v>34</v>
      </c>
      <c r="D282" t="s">
        <v>38</v>
      </c>
      <c r="E282">
        <v>20</v>
      </c>
      <c r="F282" t="s">
        <v>15</v>
      </c>
      <c r="G282">
        <v>834.19</v>
      </c>
      <c r="H282">
        <v>52</v>
      </c>
      <c r="I282" t="s">
        <v>16</v>
      </c>
      <c r="J282">
        <v>4</v>
      </c>
      <c r="K282" t="s">
        <v>26</v>
      </c>
      <c r="L282" t="s">
        <v>18</v>
      </c>
      <c r="M282" t="str">
        <f>VLOOKUP(D286,Restaurant_Master!A:B,2,FALSE)</f>
        <v>https://media-cdn.tripadvisor.com/media/photo-s/1c/c7/97/b6/photo6jpg.jpg</v>
      </c>
    </row>
    <row r="283" spans="1:13" x14ac:dyDescent="0.3">
      <c r="A283" t="s">
        <v>313</v>
      </c>
      <c r="B283" s="1">
        <v>45585</v>
      </c>
      <c r="C283" t="s">
        <v>34</v>
      </c>
      <c r="D283" t="s">
        <v>32</v>
      </c>
      <c r="E283">
        <v>23</v>
      </c>
      <c r="F283" t="s">
        <v>15</v>
      </c>
      <c r="G283">
        <v>392.46</v>
      </c>
      <c r="H283">
        <v>53</v>
      </c>
      <c r="I283" t="s">
        <v>16</v>
      </c>
      <c r="J283">
        <v>3.6</v>
      </c>
      <c r="K283" t="s">
        <v>26</v>
      </c>
      <c r="L283" t="s">
        <v>18</v>
      </c>
      <c r="M283" t="str">
        <f>VLOOKUP(D287,Restaurant_Master!A:B,2,FALSE)</f>
        <v>https://dineout-media-assets.swiggy.com/swiggy/image/upload/fl_lossy,f_auto,q_auto/v1660793737/fdqxvxcxg1wtdwvyv45v.jpg</v>
      </c>
    </row>
    <row r="284" spans="1:13" x14ac:dyDescent="0.3">
      <c r="A284" t="s">
        <v>314</v>
      </c>
      <c r="B284" s="1">
        <v>45657</v>
      </c>
      <c r="C284" t="s">
        <v>20</v>
      </c>
      <c r="D284" t="s">
        <v>21</v>
      </c>
      <c r="E284">
        <v>41</v>
      </c>
      <c r="F284" t="s">
        <v>28</v>
      </c>
      <c r="G284">
        <v>370.78</v>
      </c>
      <c r="H284">
        <v>31</v>
      </c>
      <c r="I284" t="s">
        <v>22</v>
      </c>
      <c r="J284">
        <v>3.1</v>
      </c>
      <c r="K284" t="s">
        <v>29</v>
      </c>
      <c r="L284" t="s">
        <v>18</v>
      </c>
      <c r="M284" t="str">
        <f>VLOOKUP(D288,Restaurant_Master!A:B,2,FALSE)</f>
        <v>https://www.chatswoodinterchange.com/storages/2018/08/Sushi-World_666x448.jpg</v>
      </c>
    </row>
    <row r="285" spans="1:13" x14ac:dyDescent="0.3">
      <c r="A285" t="s">
        <v>315</v>
      </c>
      <c r="B285" s="1">
        <v>45476</v>
      </c>
      <c r="C285" t="s">
        <v>36</v>
      </c>
      <c r="D285" t="s">
        <v>21</v>
      </c>
      <c r="E285">
        <v>60</v>
      </c>
      <c r="F285" t="s">
        <v>15</v>
      </c>
      <c r="G285">
        <v>878.58</v>
      </c>
      <c r="H285">
        <v>33</v>
      </c>
      <c r="I285" t="s">
        <v>22</v>
      </c>
      <c r="J285">
        <v>4.4000000000000004</v>
      </c>
      <c r="K285" t="s">
        <v>29</v>
      </c>
      <c r="L285" t="s">
        <v>18</v>
      </c>
      <c r="M285" t="str">
        <f>VLOOKUP(D289,Restaurant_Master!A:B,2,FALSE)</f>
        <v>https://content.jdmagicbox.com/comp/deoria/g6/9999p5568.5568.200119143033.m4g6/catalogue/biryani-house-deoria-ho-deoria-mktc2xph0o.jpg</v>
      </c>
    </row>
    <row r="286" spans="1:13" x14ac:dyDescent="0.3">
      <c r="A286" t="s">
        <v>316</v>
      </c>
      <c r="B286" s="1">
        <v>45471</v>
      </c>
      <c r="C286" t="s">
        <v>20</v>
      </c>
      <c r="D286" t="s">
        <v>25</v>
      </c>
      <c r="E286">
        <v>30</v>
      </c>
      <c r="F286" t="s">
        <v>15</v>
      </c>
      <c r="G286">
        <v>288.39</v>
      </c>
      <c r="H286">
        <v>59</v>
      </c>
      <c r="I286" t="s">
        <v>16</v>
      </c>
      <c r="J286">
        <v>3.2</v>
      </c>
      <c r="K286" t="s">
        <v>29</v>
      </c>
      <c r="L286" t="s">
        <v>18</v>
      </c>
      <c r="M286" t="str">
        <f>VLOOKUP(D290,Restaurant_Master!A:B,2,FALSE)</f>
        <v>https://dynamic-media-cdn.tripadvisor.com/media/photo-o/1c/e7/04/0d/front-of-the-local-easily.jpg</v>
      </c>
    </row>
    <row r="287" spans="1:13" x14ac:dyDescent="0.3">
      <c r="A287" t="s">
        <v>317</v>
      </c>
      <c r="B287" s="1">
        <v>45620</v>
      </c>
      <c r="C287" t="s">
        <v>43</v>
      </c>
      <c r="D287" t="s">
        <v>14</v>
      </c>
      <c r="E287">
        <v>59</v>
      </c>
      <c r="F287" t="s">
        <v>28</v>
      </c>
      <c r="G287">
        <v>983.74</v>
      </c>
      <c r="H287">
        <v>53</v>
      </c>
      <c r="I287" t="s">
        <v>16</v>
      </c>
      <c r="J287">
        <v>4.0999999999999996</v>
      </c>
      <c r="K287" t="s">
        <v>26</v>
      </c>
      <c r="L287" t="s">
        <v>18</v>
      </c>
      <c r="M287" t="str">
        <f>VLOOKUP(D291,Restaurant_Master!A:B,2,FALSE)</f>
        <v>https://media-cdn.tripadvisor.com/media/photo-s/1c/c7/97/b6/photo6jpg.jpg</v>
      </c>
    </row>
    <row r="288" spans="1:13" x14ac:dyDescent="0.3">
      <c r="A288" t="s">
        <v>318</v>
      </c>
      <c r="B288" s="1">
        <v>45423</v>
      </c>
      <c r="C288" t="s">
        <v>13</v>
      </c>
      <c r="D288" t="s">
        <v>38</v>
      </c>
      <c r="E288">
        <v>26</v>
      </c>
      <c r="F288" t="s">
        <v>15</v>
      </c>
      <c r="G288">
        <v>1129.83</v>
      </c>
      <c r="H288">
        <v>27</v>
      </c>
      <c r="I288" t="s">
        <v>22</v>
      </c>
      <c r="J288">
        <v>5</v>
      </c>
      <c r="K288" t="s">
        <v>41</v>
      </c>
      <c r="L288" t="s">
        <v>18</v>
      </c>
      <c r="M288" t="str">
        <f>VLOOKUP(D292,Restaurant_Master!A:B,2,FALSE)</f>
        <v>https://dynamic-media-cdn.tripadvisor.com/media/photo-o/1c/e7/04/0d/front-of-the-local-easily.jpg</v>
      </c>
    </row>
    <row r="289" spans="1:13" x14ac:dyDescent="0.3">
      <c r="A289" t="s">
        <v>319</v>
      </c>
      <c r="B289" s="1">
        <v>45609</v>
      </c>
      <c r="C289" t="s">
        <v>36</v>
      </c>
      <c r="D289" t="s">
        <v>32</v>
      </c>
      <c r="E289">
        <v>56</v>
      </c>
      <c r="F289" t="s">
        <v>28</v>
      </c>
      <c r="G289">
        <v>908.69</v>
      </c>
      <c r="H289">
        <v>31</v>
      </c>
      <c r="I289" t="s">
        <v>22</v>
      </c>
      <c r="J289">
        <v>4.0999999999999996</v>
      </c>
      <c r="K289" t="s">
        <v>26</v>
      </c>
      <c r="L289" t="s">
        <v>18</v>
      </c>
      <c r="M289" t="str">
        <f>VLOOKUP(D293,Restaurant_Master!A:B,2,FALSE)</f>
        <v>https://www.chatswoodinterchange.com/storages/2018/08/Sushi-World_666x448.jpg</v>
      </c>
    </row>
    <row r="290" spans="1:13" x14ac:dyDescent="0.3">
      <c r="A290" t="s">
        <v>320</v>
      </c>
      <c r="B290" s="1">
        <v>45439</v>
      </c>
      <c r="C290" t="s">
        <v>43</v>
      </c>
      <c r="D290" t="s">
        <v>21</v>
      </c>
      <c r="E290">
        <v>59</v>
      </c>
      <c r="F290" t="s">
        <v>28</v>
      </c>
      <c r="G290">
        <v>583.27</v>
      </c>
      <c r="H290">
        <v>46</v>
      </c>
      <c r="I290" t="s">
        <v>16</v>
      </c>
      <c r="J290">
        <v>2.9</v>
      </c>
      <c r="K290" t="s">
        <v>26</v>
      </c>
      <c r="L290" t="s">
        <v>18</v>
      </c>
      <c r="M290" t="str">
        <f>VLOOKUP(D294,Restaurant_Master!A:B,2,FALSE)</f>
        <v>https://www.chatswoodinterchange.com/storages/2018/08/Sushi-World_666x448.jpg</v>
      </c>
    </row>
    <row r="291" spans="1:13" x14ac:dyDescent="0.3">
      <c r="A291" t="s">
        <v>321</v>
      </c>
      <c r="B291" s="1">
        <v>45568</v>
      </c>
      <c r="C291" t="s">
        <v>13</v>
      </c>
      <c r="D291" t="s">
        <v>25</v>
      </c>
      <c r="E291">
        <v>46</v>
      </c>
      <c r="F291" t="s">
        <v>28</v>
      </c>
      <c r="G291">
        <v>939.94</v>
      </c>
      <c r="H291">
        <v>48</v>
      </c>
      <c r="I291" t="s">
        <v>16</v>
      </c>
      <c r="J291">
        <v>4.7</v>
      </c>
      <c r="K291" t="s">
        <v>17</v>
      </c>
      <c r="L291" t="s">
        <v>18</v>
      </c>
      <c r="M291" t="str">
        <f>VLOOKUP(D295,Restaurant_Master!A:B,2,FALSE)</f>
        <v>https://content.jdmagicbox.com/comp/deoria/g6/9999p5568.5568.200119143033.m4g6/catalogue/biryani-house-deoria-ho-deoria-mktc2xph0o.jpg</v>
      </c>
    </row>
    <row r="292" spans="1:13" x14ac:dyDescent="0.3">
      <c r="A292" t="s">
        <v>322</v>
      </c>
      <c r="B292" s="1">
        <v>45508</v>
      </c>
      <c r="C292" t="s">
        <v>20</v>
      </c>
      <c r="D292" t="s">
        <v>21</v>
      </c>
      <c r="E292">
        <v>32</v>
      </c>
      <c r="F292" t="s">
        <v>28</v>
      </c>
      <c r="G292">
        <v>719.43</v>
      </c>
      <c r="H292">
        <v>57</v>
      </c>
      <c r="I292" t="s">
        <v>16</v>
      </c>
      <c r="J292">
        <v>3.3</v>
      </c>
      <c r="K292" t="s">
        <v>26</v>
      </c>
      <c r="L292" t="s">
        <v>23</v>
      </c>
      <c r="M292" t="str">
        <f>VLOOKUP(D296,Restaurant_Master!A:B,2,FALSE)</f>
        <v>https://media-cdn.tripadvisor.com/media/photo-s/1c/c7/97/b6/photo6jpg.jpg</v>
      </c>
    </row>
    <row r="293" spans="1:13" x14ac:dyDescent="0.3">
      <c r="A293" t="s">
        <v>323</v>
      </c>
      <c r="B293" s="1">
        <v>45507</v>
      </c>
      <c r="C293" t="s">
        <v>36</v>
      </c>
      <c r="D293" t="s">
        <v>38</v>
      </c>
      <c r="E293">
        <v>50</v>
      </c>
      <c r="F293" t="s">
        <v>15</v>
      </c>
      <c r="G293">
        <v>596.86</v>
      </c>
      <c r="H293">
        <v>60</v>
      </c>
      <c r="I293" t="s">
        <v>16</v>
      </c>
      <c r="J293">
        <v>4.5999999999999996</v>
      </c>
      <c r="K293" t="s">
        <v>26</v>
      </c>
      <c r="L293" t="s">
        <v>18</v>
      </c>
      <c r="M293" t="str">
        <f>VLOOKUP(D297,Restaurant_Master!A:B,2,FALSE)</f>
        <v>https://dineout-media-assets.swiggy.com/swiggy/image/upload/fl_lossy,f_auto,q_auto/v1660793737/fdqxvxcxg1wtdwvyv45v.jpg</v>
      </c>
    </row>
    <row r="294" spans="1:13" x14ac:dyDescent="0.3">
      <c r="A294" t="s">
        <v>324</v>
      </c>
      <c r="B294" s="1">
        <v>45616</v>
      </c>
      <c r="C294" t="s">
        <v>20</v>
      </c>
      <c r="D294" t="s">
        <v>38</v>
      </c>
      <c r="E294">
        <v>46</v>
      </c>
      <c r="F294" t="s">
        <v>28</v>
      </c>
      <c r="G294">
        <v>156.13</v>
      </c>
      <c r="H294">
        <v>40</v>
      </c>
      <c r="I294" t="s">
        <v>22</v>
      </c>
      <c r="J294">
        <v>4.5999999999999996</v>
      </c>
      <c r="K294" t="s">
        <v>29</v>
      </c>
      <c r="L294" t="s">
        <v>18</v>
      </c>
      <c r="M294" t="str">
        <f>VLOOKUP(D298,Restaurant_Master!A:B,2,FALSE)</f>
        <v>https://media-cdn.tripadvisor.com/media/photo-s/1c/c7/97/b6/photo6jpg.jpg</v>
      </c>
    </row>
    <row r="295" spans="1:13" x14ac:dyDescent="0.3">
      <c r="A295" t="s">
        <v>325</v>
      </c>
      <c r="B295" s="1">
        <v>45568</v>
      </c>
      <c r="C295" t="s">
        <v>43</v>
      </c>
      <c r="D295" t="s">
        <v>32</v>
      </c>
      <c r="E295">
        <v>36</v>
      </c>
      <c r="F295" t="s">
        <v>28</v>
      </c>
      <c r="G295">
        <v>865.65</v>
      </c>
      <c r="H295">
        <v>53</v>
      </c>
      <c r="I295" t="s">
        <v>16</v>
      </c>
      <c r="J295">
        <v>4.0999999999999996</v>
      </c>
      <c r="K295" t="s">
        <v>17</v>
      </c>
      <c r="L295" t="s">
        <v>18</v>
      </c>
      <c r="M295" t="str">
        <f>VLOOKUP(D299,Restaurant_Master!A:B,2,FALSE)</f>
        <v>https://www.chatswoodinterchange.com/storages/2018/08/Sushi-World_666x448.jpg</v>
      </c>
    </row>
    <row r="296" spans="1:13" x14ac:dyDescent="0.3">
      <c r="A296" t="s">
        <v>326</v>
      </c>
      <c r="B296" s="1">
        <v>45444</v>
      </c>
      <c r="C296" t="s">
        <v>13</v>
      </c>
      <c r="D296" t="s">
        <v>25</v>
      </c>
      <c r="E296">
        <v>46</v>
      </c>
      <c r="F296" t="s">
        <v>15</v>
      </c>
      <c r="G296">
        <v>943.42</v>
      </c>
      <c r="H296">
        <v>40</v>
      </c>
      <c r="I296" t="s">
        <v>22</v>
      </c>
      <c r="J296">
        <v>2.8</v>
      </c>
      <c r="K296" t="s">
        <v>41</v>
      </c>
      <c r="L296" t="s">
        <v>18</v>
      </c>
      <c r="M296" t="str">
        <f>VLOOKUP(D300,Restaurant_Master!A:B,2,FALSE)</f>
        <v>https://media-cdn.tripadvisor.com/media/photo-s/1c/c7/97/b6/photo6jpg.jpg</v>
      </c>
    </row>
    <row r="297" spans="1:13" x14ac:dyDescent="0.3">
      <c r="A297" t="s">
        <v>327</v>
      </c>
      <c r="B297" s="1">
        <v>45340</v>
      </c>
      <c r="C297" t="s">
        <v>13</v>
      </c>
      <c r="D297" t="s">
        <v>14</v>
      </c>
      <c r="E297">
        <v>21</v>
      </c>
      <c r="F297" t="s">
        <v>15</v>
      </c>
      <c r="G297">
        <v>1185.98</v>
      </c>
      <c r="H297">
        <v>36</v>
      </c>
      <c r="I297" t="s">
        <v>22</v>
      </c>
      <c r="J297">
        <v>4.5999999999999996</v>
      </c>
      <c r="K297" t="s">
        <v>41</v>
      </c>
      <c r="L297" t="s">
        <v>18</v>
      </c>
      <c r="M297" t="str">
        <f>VLOOKUP(D301,Restaurant_Master!A:B,2,FALSE)</f>
        <v>https://content.jdmagicbox.com/comp/deoria/g6/9999p5568.5568.200119143033.m4g6/catalogue/biryani-house-deoria-ho-deoria-mktc2xph0o.jpg</v>
      </c>
    </row>
    <row r="298" spans="1:13" x14ac:dyDescent="0.3">
      <c r="A298" t="s">
        <v>328</v>
      </c>
      <c r="B298" s="1">
        <v>45316</v>
      </c>
      <c r="C298" t="s">
        <v>13</v>
      </c>
      <c r="D298" t="s">
        <v>25</v>
      </c>
      <c r="E298">
        <v>24</v>
      </c>
      <c r="F298" t="s">
        <v>15</v>
      </c>
      <c r="G298">
        <v>614.91999999999996</v>
      </c>
      <c r="H298">
        <v>56</v>
      </c>
      <c r="I298" t="s">
        <v>16</v>
      </c>
      <c r="J298">
        <v>5</v>
      </c>
      <c r="K298" t="s">
        <v>26</v>
      </c>
      <c r="L298" t="s">
        <v>23</v>
      </c>
      <c r="M298" t="str">
        <f>VLOOKUP(D302,Restaurant_Master!A:B,2,FALSE)</f>
        <v>https://content.jdmagicbox.com/comp/deoria/g6/9999p5568.5568.200119143033.m4g6/catalogue/biryani-house-deoria-ho-deoria-mktc2xph0o.jpg</v>
      </c>
    </row>
    <row r="299" spans="1:13" x14ac:dyDescent="0.3">
      <c r="A299" t="s">
        <v>329</v>
      </c>
      <c r="B299" s="1">
        <v>45618</v>
      </c>
      <c r="C299" t="s">
        <v>43</v>
      </c>
      <c r="D299" t="s">
        <v>38</v>
      </c>
      <c r="E299">
        <v>53</v>
      </c>
      <c r="F299" t="s">
        <v>15</v>
      </c>
      <c r="G299">
        <v>1182.0899999999999</v>
      </c>
      <c r="H299">
        <v>48</v>
      </c>
      <c r="I299" t="s">
        <v>16</v>
      </c>
      <c r="J299">
        <v>3.9</v>
      </c>
      <c r="K299" t="s">
        <v>29</v>
      </c>
      <c r="L299" t="s">
        <v>23</v>
      </c>
      <c r="M299" t="str">
        <f>VLOOKUP(D303,Restaurant_Master!A:B,2,FALSE)</f>
        <v>https://dynamic-media-cdn.tripadvisor.com/media/photo-o/1c/e7/04/0d/front-of-the-local-easily.jpg</v>
      </c>
    </row>
    <row r="300" spans="1:13" x14ac:dyDescent="0.3">
      <c r="A300" t="s">
        <v>330</v>
      </c>
      <c r="B300" s="1">
        <v>45570</v>
      </c>
      <c r="C300" t="s">
        <v>13</v>
      </c>
      <c r="D300" t="s">
        <v>25</v>
      </c>
      <c r="E300">
        <v>59</v>
      </c>
      <c r="F300" t="s">
        <v>15</v>
      </c>
      <c r="G300">
        <v>226.09</v>
      </c>
      <c r="H300">
        <v>32</v>
      </c>
      <c r="I300" t="s">
        <v>22</v>
      </c>
      <c r="J300">
        <v>3.4</v>
      </c>
      <c r="K300" t="s">
        <v>17</v>
      </c>
      <c r="L300" t="s">
        <v>23</v>
      </c>
      <c r="M300" t="str">
        <f>VLOOKUP(D304,Restaurant_Master!A:B,2,FALSE)</f>
        <v>https://media-cdn.tripadvisor.com/media/photo-s/1c/c7/97/b6/photo6jpg.jpg</v>
      </c>
    </row>
    <row r="301" spans="1:13" x14ac:dyDescent="0.3">
      <c r="A301" t="s">
        <v>331</v>
      </c>
      <c r="B301" s="1">
        <v>45620</v>
      </c>
      <c r="C301" t="s">
        <v>34</v>
      </c>
      <c r="D301" t="s">
        <v>32</v>
      </c>
      <c r="E301">
        <v>23</v>
      </c>
      <c r="F301" t="s">
        <v>28</v>
      </c>
      <c r="G301">
        <v>1111.3599999999999</v>
      </c>
      <c r="H301">
        <v>53</v>
      </c>
      <c r="I301" t="s">
        <v>16</v>
      </c>
      <c r="J301">
        <v>3.4</v>
      </c>
      <c r="K301" t="s">
        <v>17</v>
      </c>
      <c r="L301" t="s">
        <v>18</v>
      </c>
      <c r="M301" t="str">
        <f>VLOOKUP(D305,Restaurant_Master!A:B,2,FALSE)</f>
        <v>https://dineout-media-assets.swiggy.com/swiggy/image/upload/fl_lossy,f_auto,q_auto/v1660793737/fdqxvxcxg1wtdwvyv45v.jpg</v>
      </c>
    </row>
    <row r="302" spans="1:13" x14ac:dyDescent="0.3">
      <c r="A302" t="s">
        <v>332</v>
      </c>
      <c r="B302" s="1">
        <v>45369</v>
      </c>
      <c r="C302" t="s">
        <v>43</v>
      </c>
      <c r="D302" t="s">
        <v>32</v>
      </c>
      <c r="E302">
        <v>43</v>
      </c>
      <c r="F302" t="s">
        <v>15</v>
      </c>
      <c r="G302">
        <v>1146.92</v>
      </c>
      <c r="H302">
        <v>33</v>
      </c>
      <c r="I302" t="s">
        <v>22</v>
      </c>
      <c r="J302">
        <v>3.9</v>
      </c>
      <c r="K302" t="s">
        <v>41</v>
      </c>
      <c r="L302" t="s">
        <v>23</v>
      </c>
      <c r="M302" t="str">
        <f>VLOOKUP(D306,Restaurant_Master!A:B,2,FALSE)</f>
        <v>https://content.jdmagicbox.com/comp/deoria/g6/9999p5568.5568.200119143033.m4g6/catalogue/biryani-house-deoria-ho-deoria-mktc2xph0o.jpg</v>
      </c>
    </row>
    <row r="303" spans="1:13" x14ac:dyDescent="0.3">
      <c r="A303" t="s">
        <v>333</v>
      </c>
      <c r="B303" s="1">
        <v>45434</v>
      </c>
      <c r="C303" t="s">
        <v>13</v>
      </c>
      <c r="D303" t="s">
        <v>21</v>
      </c>
      <c r="E303">
        <v>28</v>
      </c>
      <c r="F303" t="s">
        <v>15</v>
      </c>
      <c r="G303">
        <v>269.12</v>
      </c>
      <c r="H303">
        <v>55</v>
      </c>
      <c r="I303" t="s">
        <v>16</v>
      </c>
      <c r="J303">
        <v>4.0999999999999996</v>
      </c>
      <c r="K303" t="s">
        <v>26</v>
      </c>
      <c r="L303" t="s">
        <v>18</v>
      </c>
      <c r="M303" t="str">
        <f>VLOOKUP(D307,Restaurant_Master!A:B,2,FALSE)</f>
        <v>https://www.chatswoodinterchange.com/storages/2018/08/Sushi-World_666x448.jpg</v>
      </c>
    </row>
    <row r="304" spans="1:13" x14ac:dyDescent="0.3">
      <c r="A304" t="s">
        <v>334</v>
      </c>
      <c r="B304" s="1">
        <v>45460</v>
      </c>
      <c r="C304" t="s">
        <v>34</v>
      </c>
      <c r="D304" t="s">
        <v>25</v>
      </c>
      <c r="E304">
        <v>23</v>
      </c>
      <c r="F304" t="s">
        <v>15</v>
      </c>
      <c r="G304">
        <v>871.77</v>
      </c>
      <c r="H304">
        <v>50</v>
      </c>
      <c r="I304" t="s">
        <v>16</v>
      </c>
      <c r="J304">
        <v>3.3</v>
      </c>
      <c r="K304" t="s">
        <v>17</v>
      </c>
      <c r="L304" t="s">
        <v>23</v>
      </c>
      <c r="M304" t="str">
        <f>VLOOKUP(D308,Restaurant_Master!A:B,2,FALSE)</f>
        <v>https://media-cdn.tripadvisor.com/media/photo-s/1c/c7/97/b6/photo6jpg.jpg</v>
      </c>
    </row>
    <row r="305" spans="1:13" x14ac:dyDescent="0.3">
      <c r="A305" t="s">
        <v>335</v>
      </c>
      <c r="B305" s="1">
        <v>45371</v>
      </c>
      <c r="C305" t="s">
        <v>43</v>
      </c>
      <c r="D305" t="s">
        <v>14</v>
      </c>
      <c r="E305">
        <v>44</v>
      </c>
      <c r="F305" t="s">
        <v>15</v>
      </c>
      <c r="G305">
        <v>1019.19</v>
      </c>
      <c r="H305">
        <v>57</v>
      </c>
      <c r="I305" t="s">
        <v>16</v>
      </c>
      <c r="J305">
        <v>2.7</v>
      </c>
      <c r="K305" t="s">
        <v>26</v>
      </c>
      <c r="L305" t="s">
        <v>18</v>
      </c>
      <c r="M305" t="str">
        <f>VLOOKUP(D309,Restaurant_Master!A:B,2,FALSE)</f>
        <v>https://www.chatswoodinterchange.com/storages/2018/08/Sushi-World_666x448.jpg</v>
      </c>
    </row>
    <row r="306" spans="1:13" x14ac:dyDescent="0.3">
      <c r="A306" t="s">
        <v>336</v>
      </c>
      <c r="B306" s="1">
        <v>45600</v>
      </c>
      <c r="C306" t="s">
        <v>43</v>
      </c>
      <c r="D306" t="s">
        <v>32</v>
      </c>
      <c r="E306">
        <v>22</v>
      </c>
      <c r="F306" t="s">
        <v>15</v>
      </c>
      <c r="G306">
        <v>998.76</v>
      </c>
      <c r="H306">
        <v>32</v>
      </c>
      <c r="I306" t="s">
        <v>22</v>
      </c>
      <c r="J306">
        <v>3.2</v>
      </c>
      <c r="K306" t="s">
        <v>29</v>
      </c>
      <c r="L306" t="s">
        <v>18</v>
      </c>
      <c r="M306" t="str">
        <f>VLOOKUP(D310,Restaurant_Master!A:B,2,FALSE)</f>
        <v>https://www.chatswoodinterchange.com/storages/2018/08/Sushi-World_666x448.jpg</v>
      </c>
    </row>
    <row r="307" spans="1:13" x14ac:dyDescent="0.3">
      <c r="A307" t="s">
        <v>337</v>
      </c>
      <c r="B307" s="1">
        <v>45476</v>
      </c>
      <c r="C307" t="s">
        <v>36</v>
      </c>
      <c r="D307" t="s">
        <v>38</v>
      </c>
      <c r="E307">
        <v>31</v>
      </c>
      <c r="F307" t="s">
        <v>15</v>
      </c>
      <c r="G307">
        <v>793.94</v>
      </c>
      <c r="H307">
        <v>22</v>
      </c>
      <c r="I307" t="s">
        <v>22</v>
      </c>
      <c r="J307">
        <v>3.2</v>
      </c>
      <c r="K307" t="s">
        <v>29</v>
      </c>
      <c r="L307" t="s">
        <v>23</v>
      </c>
      <c r="M307" t="str">
        <f>VLOOKUP(D311,Restaurant_Master!A:B,2,FALSE)</f>
        <v>https://www.chatswoodinterchange.com/storages/2018/08/Sushi-World_666x448.jpg</v>
      </c>
    </row>
    <row r="308" spans="1:13" x14ac:dyDescent="0.3">
      <c r="A308" t="s">
        <v>338</v>
      </c>
      <c r="B308" s="1">
        <v>45309</v>
      </c>
      <c r="C308" t="s">
        <v>20</v>
      </c>
      <c r="D308" t="s">
        <v>25</v>
      </c>
      <c r="E308">
        <v>36</v>
      </c>
      <c r="F308" t="s">
        <v>28</v>
      </c>
      <c r="G308">
        <v>658.47</v>
      </c>
      <c r="H308">
        <v>56</v>
      </c>
      <c r="I308" t="s">
        <v>16</v>
      </c>
      <c r="J308">
        <v>4</v>
      </c>
      <c r="K308" t="s">
        <v>17</v>
      </c>
      <c r="L308" t="s">
        <v>23</v>
      </c>
      <c r="M308" t="str">
        <f>VLOOKUP(D312,Restaurant_Master!A:B,2,FALSE)</f>
        <v>https://media-cdn.tripadvisor.com/media/photo-s/1c/c7/97/b6/photo6jpg.jpg</v>
      </c>
    </row>
    <row r="309" spans="1:13" x14ac:dyDescent="0.3">
      <c r="A309" t="s">
        <v>339</v>
      </c>
      <c r="B309" s="1">
        <v>45459</v>
      </c>
      <c r="C309" t="s">
        <v>20</v>
      </c>
      <c r="D309" t="s">
        <v>38</v>
      </c>
      <c r="E309">
        <v>56</v>
      </c>
      <c r="F309" t="s">
        <v>28</v>
      </c>
      <c r="G309">
        <v>707.41</v>
      </c>
      <c r="H309">
        <v>55</v>
      </c>
      <c r="I309" t="s">
        <v>16</v>
      </c>
      <c r="J309">
        <v>2.8</v>
      </c>
      <c r="K309" t="s">
        <v>26</v>
      </c>
      <c r="L309" t="s">
        <v>23</v>
      </c>
      <c r="M309" t="str">
        <f>VLOOKUP(D313,Restaurant_Master!A:B,2,FALSE)</f>
        <v>https://content.jdmagicbox.com/comp/deoria/g6/9999p5568.5568.200119143033.m4g6/catalogue/biryani-house-deoria-ho-deoria-mktc2xph0o.jpg</v>
      </c>
    </row>
    <row r="310" spans="1:13" x14ac:dyDescent="0.3">
      <c r="A310" t="s">
        <v>340</v>
      </c>
      <c r="B310" s="1">
        <v>45448</v>
      </c>
      <c r="C310" t="s">
        <v>43</v>
      </c>
      <c r="D310" t="s">
        <v>38</v>
      </c>
      <c r="E310">
        <v>45</v>
      </c>
      <c r="F310" t="s">
        <v>28</v>
      </c>
      <c r="G310">
        <v>1097.83</v>
      </c>
      <c r="H310">
        <v>55</v>
      </c>
      <c r="I310" t="s">
        <v>16</v>
      </c>
      <c r="J310">
        <v>4.4000000000000004</v>
      </c>
      <c r="K310" t="s">
        <v>26</v>
      </c>
      <c r="L310" t="s">
        <v>18</v>
      </c>
      <c r="M310" t="str">
        <f>VLOOKUP(D314,Restaurant_Master!A:B,2,FALSE)</f>
        <v>https://media-cdn.tripadvisor.com/media/photo-s/1c/c7/97/b6/photo6jpg.jpg</v>
      </c>
    </row>
    <row r="311" spans="1:13" x14ac:dyDescent="0.3">
      <c r="A311" t="s">
        <v>341</v>
      </c>
      <c r="B311" s="1">
        <v>45292</v>
      </c>
      <c r="C311" t="s">
        <v>34</v>
      </c>
      <c r="D311" t="s">
        <v>38</v>
      </c>
      <c r="E311">
        <v>60</v>
      </c>
      <c r="F311" t="s">
        <v>15</v>
      </c>
      <c r="G311">
        <v>521.78</v>
      </c>
      <c r="H311">
        <v>22</v>
      </c>
      <c r="I311" t="s">
        <v>22</v>
      </c>
      <c r="J311">
        <v>3.5</v>
      </c>
      <c r="K311" t="s">
        <v>29</v>
      </c>
      <c r="L311" t="s">
        <v>23</v>
      </c>
      <c r="M311" t="str">
        <f>VLOOKUP(D315,Restaurant_Master!A:B,2,FALSE)</f>
        <v>https://www.chatswoodinterchange.com/storages/2018/08/Sushi-World_666x448.jpg</v>
      </c>
    </row>
    <row r="312" spans="1:13" x14ac:dyDescent="0.3">
      <c r="A312" t="s">
        <v>342</v>
      </c>
      <c r="B312" s="1">
        <v>45575</v>
      </c>
      <c r="C312" t="s">
        <v>43</v>
      </c>
      <c r="D312" t="s">
        <v>25</v>
      </c>
      <c r="E312">
        <v>28</v>
      </c>
      <c r="F312" t="s">
        <v>28</v>
      </c>
      <c r="G312">
        <v>472.99</v>
      </c>
      <c r="H312">
        <v>35</v>
      </c>
      <c r="I312" t="s">
        <v>22</v>
      </c>
      <c r="J312">
        <v>3.3</v>
      </c>
      <c r="K312" t="s">
        <v>26</v>
      </c>
      <c r="L312" t="s">
        <v>23</v>
      </c>
      <c r="M312" t="str">
        <f>VLOOKUP(D316,Restaurant_Master!A:B,2,FALSE)</f>
        <v>https://content.jdmagicbox.com/comp/deoria/g6/9999p5568.5568.200119143033.m4g6/catalogue/biryani-house-deoria-ho-deoria-mktc2xph0o.jpg</v>
      </c>
    </row>
    <row r="313" spans="1:13" x14ac:dyDescent="0.3">
      <c r="A313" t="s">
        <v>343</v>
      </c>
      <c r="B313" s="1">
        <v>45307</v>
      </c>
      <c r="C313" t="s">
        <v>13</v>
      </c>
      <c r="D313" t="s">
        <v>32</v>
      </c>
      <c r="E313">
        <v>51</v>
      </c>
      <c r="F313" t="s">
        <v>28</v>
      </c>
      <c r="G313">
        <v>931.02</v>
      </c>
      <c r="H313">
        <v>36</v>
      </c>
      <c r="I313" t="s">
        <v>22</v>
      </c>
      <c r="J313">
        <v>4.4000000000000004</v>
      </c>
      <c r="K313" t="s">
        <v>26</v>
      </c>
      <c r="L313" t="s">
        <v>18</v>
      </c>
      <c r="M313" t="str">
        <f>VLOOKUP(D317,Restaurant_Master!A:B,2,FALSE)</f>
        <v>https://dynamic-media-cdn.tripadvisor.com/media/photo-o/1c/e7/04/0d/front-of-the-local-easily.jpg</v>
      </c>
    </row>
    <row r="314" spans="1:13" x14ac:dyDescent="0.3">
      <c r="A314" t="s">
        <v>344</v>
      </c>
      <c r="B314" s="1">
        <v>45304</v>
      </c>
      <c r="C314" t="s">
        <v>43</v>
      </c>
      <c r="D314" t="s">
        <v>25</v>
      </c>
      <c r="E314">
        <v>20</v>
      </c>
      <c r="F314" t="s">
        <v>15</v>
      </c>
      <c r="G314">
        <v>1057.07</v>
      </c>
      <c r="H314">
        <v>60</v>
      </c>
      <c r="I314" t="s">
        <v>16</v>
      </c>
      <c r="J314">
        <v>4.7</v>
      </c>
      <c r="K314" t="s">
        <v>41</v>
      </c>
      <c r="L314" t="s">
        <v>18</v>
      </c>
      <c r="M314" t="str">
        <f>VLOOKUP(D318,Restaurant_Master!A:B,2,FALSE)</f>
        <v>https://dynamic-media-cdn.tripadvisor.com/media/photo-o/1c/e7/04/0d/front-of-the-local-easily.jpg</v>
      </c>
    </row>
    <row r="315" spans="1:13" x14ac:dyDescent="0.3">
      <c r="A315" t="s">
        <v>345</v>
      </c>
      <c r="B315" s="1">
        <v>45452</v>
      </c>
      <c r="C315" t="s">
        <v>20</v>
      </c>
      <c r="D315" t="s">
        <v>38</v>
      </c>
      <c r="E315">
        <v>25</v>
      </c>
      <c r="F315" t="s">
        <v>28</v>
      </c>
      <c r="G315">
        <v>682.99</v>
      </c>
      <c r="H315">
        <v>45</v>
      </c>
      <c r="I315" t="s">
        <v>16</v>
      </c>
      <c r="J315">
        <v>3.9</v>
      </c>
      <c r="K315" t="s">
        <v>29</v>
      </c>
      <c r="L315" t="s">
        <v>23</v>
      </c>
      <c r="M315" t="str">
        <f>VLOOKUP(D319,Restaurant_Master!A:B,2,FALSE)</f>
        <v>https://content.jdmagicbox.com/comp/deoria/g6/9999p5568.5568.200119143033.m4g6/catalogue/biryani-house-deoria-ho-deoria-mktc2xph0o.jpg</v>
      </c>
    </row>
    <row r="316" spans="1:13" x14ac:dyDescent="0.3">
      <c r="A316" t="s">
        <v>346</v>
      </c>
      <c r="B316" s="1">
        <v>45519</v>
      </c>
      <c r="C316" t="s">
        <v>34</v>
      </c>
      <c r="D316" t="s">
        <v>32</v>
      </c>
      <c r="E316">
        <v>29</v>
      </c>
      <c r="F316" t="s">
        <v>15</v>
      </c>
      <c r="G316">
        <v>1074.0999999999999</v>
      </c>
      <c r="H316">
        <v>20</v>
      </c>
      <c r="I316" t="s">
        <v>22</v>
      </c>
      <c r="J316">
        <v>3.6</v>
      </c>
      <c r="K316" t="s">
        <v>29</v>
      </c>
      <c r="L316" t="s">
        <v>18</v>
      </c>
      <c r="M316" t="str">
        <f>VLOOKUP(D320,Restaurant_Master!A:B,2,FALSE)</f>
        <v>https://dynamic-media-cdn.tripadvisor.com/media/photo-o/1c/e7/04/0d/front-of-the-local-easily.jpg</v>
      </c>
    </row>
    <row r="317" spans="1:13" x14ac:dyDescent="0.3">
      <c r="A317" t="s">
        <v>347</v>
      </c>
      <c r="B317" s="1">
        <v>45451</v>
      </c>
      <c r="C317" t="s">
        <v>43</v>
      </c>
      <c r="D317" t="s">
        <v>21</v>
      </c>
      <c r="E317">
        <v>52</v>
      </c>
      <c r="F317" t="s">
        <v>15</v>
      </c>
      <c r="G317">
        <v>755.29</v>
      </c>
      <c r="H317">
        <v>36</v>
      </c>
      <c r="I317" t="s">
        <v>22</v>
      </c>
      <c r="J317">
        <v>4.7</v>
      </c>
      <c r="K317" t="s">
        <v>41</v>
      </c>
      <c r="L317" t="s">
        <v>23</v>
      </c>
      <c r="M317" t="str">
        <f>VLOOKUP(D321,Restaurant_Master!A:B,2,FALSE)</f>
        <v>https://dynamic-media-cdn.tripadvisor.com/media/photo-o/1c/e7/04/0d/front-of-the-local-easily.jpg</v>
      </c>
    </row>
    <row r="318" spans="1:13" x14ac:dyDescent="0.3">
      <c r="A318" t="s">
        <v>348</v>
      </c>
      <c r="B318" s="1">
        <v>45505</v>
      </c>
      <c r="C318" t="s">
        <v>20</v>
      </c>
      <c r="D318" t="s">
        <v>21</v>
      </c>
      <c r="E318">
        <v>34</v>
      </c>
      <c r="F318" t="s">
        <v>28</v>
      </c>
      <c r="G318">
        <v>525.27</v>
      </c>
      <c r="H318">
        <v>53</v>
      </c>
      <c r="I318" t="s">
        <v>16</v>
      </c>
      <c r="J318">
        <v>4.5</v>
      </c>
      <c r="K318" t="s">
        <v>17</v>
      </c>
      <c r="L318" t="s">
        <v>18</v>
      </c>
      <c r="M318" t="str">
        <f>VLOOKUP(D322,Restaurant_Master!A:B,2,FALSE)</f>
        <v>https://dynamic-media-cdn.tripadvisor.com/media/photo-o/1c/e7/04/0d/front-of-the-local-easily.jpg</v>
      </c>
    </row>
    <row r="319" spans="1:13" x14ac:dyDescent="0.3">
      <c r="A319" t="s">
        <v>349</v>
      </c>
      <c r="B319" s="1">
        <v>45330</v>
      </c>
      <c r="C319" t="s">
        <v>34</v>
      </c>
      <c r="D319" t="s">
        <v>32</v>
      </c>
      <c r="E319">
        <v>41</v>
      </c>
      <c r="F319" t="s">
        <v>15</v>
      </c>
      <c r="G319">
        <v>378</v>
      </c>
      <c r="H319">
        <v>50</v>
      </c>
      <c r="I319" t="s">
        <v>16</v>
      </c>
      <c r="J319">
        <v>4</v>
      </c>
      <c r="K319" t="s">
        <v>26</v>
      </c>
      <c r="L319" t="s">
        <v>18</v>
      </c>
      <c r="M319" t="str">
        <f>VLOOKUP(D323,Restaurant_Master!A:B,2,FALSE)</f>
        <v>https://dynamic-media-cdn.tripadvisor.com/media/photo-o/1c/e7/04/0d/front-of-the-local-easily.jpg</v>
      </c>
    </row>
    <row r="320" spans="1:13" x14ac:dyDescent="0.3">
      <c r="A320" t="s">
        <v>350</v>
      </c>
      <c r="B320" s="1">
        <v>45515</v>
      </c>
      <c r="C320" t="s">
        <v>34</v>
      </c>
      <c r="D320" t="s">
        <v>21</v>
      </c>
      <c r="E320">
        <v>30</v>
      </c>
      <c r="F320" t="s">
        <v>15</v>
      </c>
      <c r="G320">
        <v>975.97</v>
      </c>
      <c r="H320">
        <v>43</v>
      </c>
      <c r="I320" t="s">
        <v>16</v>
      </c>
      <c r="J320">
        <v>4.8</v>
      </c>
      <c r="K320" t="s">
        <v>41</v>
      </c>
      <c r="L320" t="s">
        <v>23</v>
      </c>
      <c r="M320" t="str">
        <f>VLOOKUP(D324,Restaurant_Master!A:B,2,FALSE)</f>
        <v>https://content.jdmagicbox.com/comp/deoria/g6/9999p5568.5568.200119143033.m4g6/catalogue/biryani-house-deoria-ho-deoria-mktc2xph0o.jpg</v>
      </c>
    </row>
    <row r="321" spans="1:13" x14ac:dyDescent="0.3">
      <c r="A321" t="s">
        <v>351</v>
      </c>
      <c r="B321" s="1">
        <v>45415</v>
      </c>
      <c r="C321" t="s">
        <v>43</v>
      </c>
      <c r="D321" t="s">
        <v>21</v>
      </c>
      <c r="E321">
        <v>59</v>
      </c>
      <c r="F321" t="s">
        <v>15</v>
      </c>
      <c r="G321">
        <v>363.63</v>
      </c>
      <c r="H321">
        <v>50</v>
      </c>
      <c r="I321" t="s">
        <v>16</v>
      </c>
      <c r="J321">
        <v>3.9</v>
      </c>
      <c r="K321" t="s">
        <v>26</v>
      </c>
      <c r="L321" t="s">
        <v>23</v>
      </c>
      <c r="M321" t="str">
        <f>VLOOKUP(D325,Restaurant_Master!A:B,2,FALSE)</f>
        <v>https://media-cdn.tripadvisor.com/media/photo-s/1c/c7/97/b6/photo6jpg.jpg</v>
      </c>
    </row>
    <row r="322" spans="1:13" x14ac:dyDescent="0.3">
      <c r="A322" t="s">
        <v>352</v>
      </c>
      <c r="B322" s="1">
        <v>45364</v>
      </c>
      <c r="C322" t="s">
        <v>43</v>
      </c>
      <c r="D322" t="s">
        <v>21</v>
      </c>
      <c r="E322">
        <v>39</v>
      </c>
      <c r="F322" t="s">
        <v>15</v>
      </c>
      <c r="G322">
        <v>665.47</v>
      </c>
      <c r="H322">
        <v>23</v>
      </c>
      <c r="I322" t="s">
        <v>22</v>
      </c>
      <c r="J322">
        <v>3.3</v>
      </c>
      <c r="K322" t="s">
        <v>17</v>
      </c>
      <c r="L322" t="s">
        <v>23</v>
      </c>
      <c r="M322" t="str">
        <f>VLOOKUP(D326,Restaurant_Master!A:B,2,FALSE)</f>
        <v>https://dynamic-media-cdn.tripadvisor.com/media/photo-o/1c/e7/04/0d/front-of-the-local-easily.jpg</v>
      </c>
    </row>
    <row r="323" spans="1:13" x14ac:dyDescent="0.3">
      <c r="A323" t="s">
        <v>353</v>
      </c>
      <c r="B323" s="1">
        <v>45443</v>
      </c>
      <c r="C323" t="s">
        <v>34</v>
      </c>
      <c r="D323" t="s">
        <v>21</v>
      </c>
      <c r="E323">
        <v>57</v>
      </c>
      <c r="F323" t="s">
        <v>15</v>
      </c>
      <c r="G323">
        <v>982.74</v>
      </c>
      <c r="H323">
        <v>47</v>
      </c>
      <c r="I323" t="s">
        <v>16</v>
      </c>
      <c r="J323">
        <v>4.5999999999999996</v>
      </c>
      <c r="K323" t="s">
        <v>26</v>
      </c>
      <c r="L323" t="s">
        <v>23</v>
      </c>
      <c r="M323" t="str">
        <f>VLOOKUP(D327,Restaurant_Master!A:B,2,FALSE)</f>
        <v>https://dineout-media-assets.swiggy.com/swiggy/image/upload/fl_lossy,f_auto,q_auto/v1660793737/fdqxvxcxg1wtdwvyv45v.jpg</v>
      </c>
    </row>
    <row r="324" spans="1:13" x14ac:dyDescent="0.3">
      <c r="A324" t="s">
        <v>354</v>
      </c>
      <c r="B324" s="1">
        <v>45464</v>
      </c>
      <c r="C324" t="s">
        <v>34</v>
      </c>
      <c r="D324" t="s">
        <v>32</v>
      </c>
      <c r="E324">
        <v>57</v>
      </c>
      <c r="F324" t="s">
        <v>15</v>
      </c>
      <c r="G324">
        <v>789.84</v>
      </c>
      <c r="H324">
        <v>54</v>
      </c>
      <c r="I324" t="s">
        <v>16</v>
      </c>
      <c r="J324">
        <v>2.7</v>
      </c>
      <c r="K324" t="s">
        <v>29</v>
      </c>
      <c r="L324" t="s">
        <v>18</v>
      </c>
      <c r="M324" t="str">
        <f>VLOOKUP(D328,Restaurant_Master!A:B,2,FALSE)</f>
        <v>https://content.jdmagicbox.com/comp/deoria/g6/9999p5568.5568.200119143033.m4g6/catalogue/biryani-house-deoria-ho-deoria-mktc2xph0o.jpg</v>
      </c>
    </row>
    <row r="325" spans="1:13" x14ac:dyDescent="0.3">
      <c r="A325" t="s">
        <v>355</v>
      </c>
      <c r="B325" s="1">
        <v>45540</v>
      </c>
      <c r="C325" t="s">
        <v>34</v>
      </c>
      <c r="D325" t="s">
        <v>25</v>
      </c>
      <c r="E325">
        <v>45</v>
      </c>
      <c r="F325" t="s">
        <v>28</v>
      </c>
      <c r="G325">
        <v>322.07</v>
      </c>
      <c r="H325">
        <v>50</v>
      </c>
      <c r="I325" t="s">
        <v>16</v>
      </c>
      <c r="J325">
        <v>5</v>
      </c>
      <c r="K325" t="s">
        <v>17</v>
      </c>
      <c r="L325" t="s">
        <v>18</v>
      </c>
      <c r="M325" t="str">
        <f>VLOOKUP(D329,Restaurant_Master!A:B,2,FALSE)</f>
        <v>https://dynamic-media-cdn.tripadvisor.com/media/photo-o/1c/e7/04/0d/front-of-the-local-easily.jpg</v>
      </c>
    </row>
    <row r="326" spans="1:13" x14ac:dyDescent="0.3">
      <c r="A326" t="s">
        <v>356</v>
      </c>
      <c r="B326" s="1">
        <v>45506</v>
      </c>
      <c r="C326" t="s">
        <v>34</v>
      </c>
      <c r="D326" t="s">
        <v>21</v>
      </c>
      <c r="E326">
        <v>21</v>
      </c>
      <c r="F326" t="s">
        <v>28</v>
      </c>
      <c r="G326">
        <v>852.52</v>
      </c>
      <c r="H326">
        <v>53</v>
      </c>
      <c r="I326" t="s">
        <v>16</v>
      </c>
      <c r="J326">
        <v>3.7</v>
      </c>
      <c r="K326" t="s">
        <v>17</v>
      </c>
      <c r="L326" t="s">
        <v>18</v>
      </c>
      <c r="M326" t="str">
        <f>VLOOKUP(D330,Restaurant_Master!A:B,2,FALSE)</f>
        <v>https://www.chatswoodinterchange.com/storages/2018/08/Sushi-World_666x448.jpg</v>
      </c>
    </row>
    <row r="327" spans="1:13" x14ac:dyDescent="0.3">
      <c r="A327" t="s">
        <v>357</v>
      </c>
      <c r="B327" s="1">
        <v>45337</v>
      </c>
      <c r="C327" t="s">
        <v>36</v>
      </c>
      <c r="D327" t="s">
        <v>14</v>
      </c>
      <c r="E327">
        <v>40</v>
      </c>
      <c r="F327" t="s">
        <v>28</v>
      </c>
      <c r="G327">
        <v>567.57000000000005</v>
      </c>
      <c r="H327">
        <v>44</v>
      </c>
      <c r="I327" t="s">
        <v>16</v>
      </c>
      <c r="J327">
        <v>3.6</v>
      </c>
      <c r="K327" t="s">
        <v>26</v>
      </c>
      <c r="L327" t="s">
        <v>23</v>
      </c>
      <c r="M327" t="str">
        <f>VLOOKUP(D331,Restaurant_Master!A:B,2,FALSE)</f>
        <v>https://media-cdn.tripadvisor.com/media/photo-s/1c/c7/97/b6/photo6jpg.jpg</v>
      </c>
    </row>
    <row r="328" spans="1:13" x14ac:dyDescent="0.3">
      <c r="A328" t="s">
        <v>358</v>
      </c>
      <c r="B328" s="1">
        <v>45490</v>
      </c>
      <c r="C328" t="s">
        <v>34</v>
      </c>
      <c r="D328" t="s">
        <v>32</v>
      </c>
      <c r="E328">
        <v>52</v>
      </c>
      <c r="F328" t="s">
        <v>15</v>
      </c>
      <c r="G328">
        <v>834.95</v>
      </c>
      <c r="H328">
        <v>27</v>
      </c>
      <c r="I328" t="s">
        <v>22</v>
      </c>
      <c r="J328">
        <v>3.4</v>
      </c>
      <c r="K328" t="s">
        <v>17</v>
      </c>
      <c r="L328" t="s">
        <v>18</v>
      </c>
      <c r="M328" t="str">
        <f>VLOOKUP(D332,Restaurant_Master!A:B,2,FALSE)</f>
        <v>https://www.chatswoodinterchange.com/storages/2018/08/Sushi-World_666x448.jpg</v>
      </c>
    </row>
    <row r="329" spans="1:13" x14ac:dyDescent="0.3">
      <c r="A329" t="s">
        <v>359</v>
      </c>
      <c r="B329" s="1">
        <v>45571</v>
      </c>
      <c r="C329" t="s">
        <v>43</v>
      </c>
      <c r="D329" t="s">
        <v>21</v>
      </c>
      <c r="E329">
        <v>29</v>
      </c>
      <c r="F329" t="s">
        <v>28</v>
      </c>
      <c r="G329">
        <v>310.94</v>
      </c>
      <c r="H329">
        <v>42</v>
      </c>
      <c r="I329" t="s">
        <v>16</v>
      </c>
      <c r="J329">
        <v>5</v>
      </c>
      <c r="K329" t="s">
        <v>29</v>
      </c>
      <c r="L329" t="s">
        <v>23</v>
      </c>
      <c r="M329" t="str">
        <f>VLOOKUP(D333,Restaurant_Master!A:B,2,FALSE)</f>
        <v>https://dynamic-media-cdn.tripadvisor.com/media/photo-o/1c/e7/04/0d/front-of-the-local-easily.jpg</v>
      </c>
    </row>
    <row r="330" spans="1:13" x14ac:dyDescent="0.3">
      <c r="A330" t="s">
        <v>360</v>
      </c>
      <c r="B330" s="1">
        <v>45465</v>
      </c>
      <c r="C330" t="s">
        <v>43</v>
      </c>
      <c r="D330" t="s">
        <v>38</v>
      </c>
      <c r="E330">
        <v>25</v>
      </c>
      <c r="F330" t="s">
        <v>28</v>
      </c>
      <c r="G330">
        <v>510.94</v>
      </c>
      <c r="H330">
        <v>24</v>
      </c>
      <c r="I330" t="s">
        <v>22</v>
      </c>
      <c r="J330">
        <v>2.9</v>
      </c>
      <c r="K330" t="s">
        <v>29</v>
      </c>
      <c r="L330" t="s">
        <v>23</v>
      </c>
      <c r="M330" t="str">
        <f>VLOOKUP(D334,Restaurant_Master!A:B,2,FALSE)</f>
        <v>https://content.jdmagicbox.com/comp/deoria/g6/9999p5568.5568.200119143033.m4g6/catalogue/biryani-house-deoria-ho-deoria-mktc2xph0o.jpg</v>
      </c>
    </row>
    <row r="331" spans="1:13" x14ac:dyDescent="0.3">
      <c r="A331" t="s">
        <v>361</v>
      </c>
      <c r="B331" s="1">
        <v>45547</v>
      </c>
      <c r="C331" t="s">
        <v>43</v>
      </c>
      <c r="D331" t="s">
        <v>25</v>
      </c>
      <c r="E331">
        <v>47</v>
      </c>
      <c r="F331" t="s">
        <v>15</v>
      </c>
      <c r="G331">
        <v>623.63</v>
      </c>
      <c r="H331">
        <v>35</v>
      </c>
      <c r="I331" t="s">
        <v>22</v>
      </c>
      <c r="J331">
        <v>3.2</v>
      </c>
      <c r="K331" t="s">
        <v>17</v>
      </c>
      <c r="L331" t="s">
        <v>18</v>
      </c>
      <c r="M331" t="str">
        <f>VLOOKUP(D335,Restaurant_Master!A:B,2,FALSE)</f>
        <v>https://dineout-media-assets.swiggy.com/swiggy/image/upload/fl_lossy,f_auto,q_auto/v1660793737/fdqxvxcxg1wtdwvyv45v.jpg</v>
      </c>
    </row>
    <row r="332" spans="1:13" x14ac:dyDescent="0.3">
      <c r="A332" t="s">
        <v>362</v>
      </c>
      <c r="B332" s="1">
        <v>45576</v>
      </c>
      <c r="C332" t="s">
        <v>43</v>
      </c>
      <c r="D332" t="s">
        <v>38</v>
      </c>
      <c r="E332">
        <v>19</v>
      </c>
      <c r="F332" t="s">
        <v>28</v>
      </c>
      <c r="G332">
        <v>945.72</v>
      </c>
      <c r="H332">
        <v>51</v>
      </c>
      <c r="I332" t="s">
        <v>16</v>
      </c>
      <c r="J332">
        <v>3.7</v>
      </c>
      <c r="K332" t="s">
        <v>26</v>
      </c>
      <c r="L332" t="s">
        <v>18</v>
      </c>
      <c r="M332" t="str">
        <f>VLOOKUP(D336,Restaurant_Master!A:B,2,FALSE)</f>
        <v>https://dineout-media-assets.swiggy.com/swiggy/image/upload/fl_lossy,f_auto,q_auto/v1660793737/fdqxvxcxg1wtdwvyv45v.jpg</v>
      </c>
    </row>
    <row r="333" spans="1:13" x14ac:dyDescent="0.3">
      <c r="A333" t="s">
        <v>363</v>
      </c>
      <c r="B333" s="1">
        <v>45342</v>
      </c>
      <c r="C333" t="s">
        <v>36</v>
      </c>
      <c r="D333" t="s">
        <v>21</v>
      </c>
      <c r="E333">
        <v>38</v>
      </c>
      <c r="F333" t="s">
        <v>28</v>
      </c>
      <c r="G333">
        <v>983.03</v>
      </c>
      <c r="H333">
        <v>33</v>
      </c>
      <c r="I333" t="s">
        <v>22</v>
      </c>
      <c r="J333">
        <v>3.8</v>
      </c>
      <c r="K333" t="s">
        <v>26</v>
      </c>
      <c r="L333" t="s">
        <v>23</v>
      </c>
      <c r="M333" t="str">
        <f>VLOOKUP(D337,Restaurant_Master!A:B,2,FALSE)</f>
        <v>https://dineout-media-assets.swiggy.com/swiggy/image/upload/fl_lossy,f_auto,q_auto/v1660793737/fdqxvxcxg1wtdwvyv45v.jpg</v>
      </c>
    </row>
    <row r="334" spans="1:13" x14ac:dyDescent="0.3">
      <c r="A334" t="s">
        <v>364</v>
      </c>
      <c r="B334" s="1">
        <v>45389</v>
      </c>
      <c r="C334" t="s">
        <v>20</v>
      </c>
      <c r="D334" t="s">
        <v>32</v>
      </c>
      <c r="E334">
        <v>41</v>
      </c>
      <c r="F334" t="s">
        <v>28</v>
      </c>
      <c r="G334">
        <v>1019.67</v>
      </c>
      <c r="H334">
        <v>30</v>
      </c>
      <c r="I334" t="s">
        <v>22</v>
      </c>
      <c r="J334">
        <v>4.5999999999999996</v>
      </c>
      <c r="K334" t="s">
        <v>29</v>
      </c>
      <c r="L334" t="s">
        <v>23</v>
      </c>
      <c r="M334" t="str">
        <f>VLOOKUP(D338,Restaurant_Master!A:B,2,FALSE)</f>
        <v>https://content.jdmagicbox.com/comp/deoria/g6/9999p5568.5568.200119143033.m4g6/catalogue/biryani-house-deoria-ho-deoria-mktc2xph0o.jpg</v>
      </c>
    </row>
    <row r="335" spans="1:13" x14ac:dyDescent="0.3">
      <c r="A335" t="s">
        <v>365</v>
      </c>
      <c r="B335" s="1">
        <v>45388</v>
      </c>
      <c r="C335" t="s">
        <v>20</v>
      </c>
      <c r="D335" t="s">
        <v>14</v>
      </c>
      <c r="E335">
        <v>50</v>
      </c>
      <c r="F335" t="s">
        <v>15</v>
      </c>
      <c r="G335">
        <v>448.38</v>
      </c>
      <c r="H335">
        <v>49</v>
      </c>
      <c r="I335" t="s">
        <v>16</v>
      </c>
      <c r="J335">
        <v>4.0999999999999996</v>
      </c>
      <c r="K335" t="s">
        <v>17</v>
      </c>
      <c r="L335" t="s">
        <v>18</v>
      </c>
      <c r="M335" t="str">
        <f>VLOOKUP(D339,Restaurant_Master!A:B,2,FALSE)</f>
        <v>https://content.jdmagicbox.com/comp/deoria/g6/9999p5568.5568.200119143033.m4g6/catalogue/biryani-house-deoria-ho-deoria-mktc2xph0o.jpg</v>
      </c>
    </row>
    <row r="336" spans="1:13" x14ac:dyDescent="0.3">
      <c r="A336" t="s">
        <v>366</v>
      </c>
      <c r="B336" s="1">
        <v>45630</v>
      </c>
      <c r="C336" t="s">
        <v>34</v>
      </c>
      <c r="D336" t="s">
        <v>14</v>
      </c>
      <c r="E336">
        <v>33</v>
      </c>
      <c r="F336" t="s">
        <v>28</v>
      </c>
      <c r="G336">
        <v>1087.28</v>
      </c>
      <c r="H336">
        <v>50</v>
      </c>
      <c r="I336" t="s">
        <v>16</v>
      </c>
      <c r="J336">
        <v>3.6</v>
      </c>
      <c r="K336" t="s">
        <v>41</v>
      </c>
      <c r="L336" t="s">
        <v>23</v>
      </c>
      <c r="M336" t="str">
        <f>VLOOKUP(D340,Restaurant_Master!A:B,2,FALSE)</f>
        <v>https://content.jdmagicbox.com/comp/deoria/g6/9999p5568.5568.200119143033.m4g6/catalogue/biryani-house-deoria-ho-deoria-mktc2xph0o.jpg</v>
      </c>
    </row>
    <row r="337" spans="1:13" x14ac:dyDescent="0.3">
      <c r="A337" t="s">
        <v>367</v>
      </c>
      <c r="B337" s="1">
        <v>45348</v>
      </c>
      <c r="C337" t="s">
        <v>36</v>
      </c>
      <c r="D337" t="s">
        <v>14</v>
      </c>
      <c r="E337">
        <v>19</v>
      </c>
      <c r="F337" t="s">
        <v>28</v>
      </c>
      <c r="G337">
        <v>655.62</v>
      </c>
      <c r="H337">
        <v>54</v>
      </c>
      <c r="I337" t="s">
        <v>16</v>
      </c>
      <c r="J337">
        <v>2.8</v>
      </c>
      <c r="K337" t="s">
        <v>17</v>
      </c>
      <c r="L337" t="s">
        <v>18</v>
      </c>
      <c r="M337" t="str">
        <f>VLOOKUP(D341,Restaurant_Master!A:B,2,FALSE)</f>
        <v>https://media-cdn.tripadvisor.com/media/photo-s/1c/c7/97/b6/photo6jpg.jpg</v>
      </c>
    </row>
    <row r="338" spans="1:13" x14ac:dyDescent="0.3">
      <c r="A338" t="s">
        <v>368</v>
      </c>
      <c r="B338" s="1">
        <v>45548</v>
      </c>
      <c r="C338" t="s">
        <v>13</v>
      </c>
      <c r="D338" t="s">
        <v>32</v>
      </c>
      <c r="E338">
        <v>31</v>
      </c>
      <c r="F338" t="s">
        <v>15</v>
      </c>
      <c r="G338">
        <v>1048.99</v>
      </c>
      <c r="H338">
        <v>49</v>
      </c>
      <c r="I338" t="s">
        <v>16</v>
      </c>
      <c r="J338">
        <v>2.5</v>
      </c>
      <c r="K338" t="s">
        <v>26</v>
      </c>
      <c r="L338" t="s">
        <v>23</v>
      </c>
      <c r="M338" t="str">
        <f>VLOOKUP(D342,Restaurant_Master!A:B,2,FALSE)</f>
        <v>https://media-cdn.tripadvisor.com/media/photo-s/1c/c7/97/b6/photo6jpg.jpg</v>
      </c>
    </row>
    <row r="339" spans="1:13" x14ac:dyDescent="0.3">
      <c r="A339" t="s">
        <v>369</v>
      </c>
      <c r="B339" s="1">
        <v>45471</v>
      </c>
      <c r="C339" t="s">
        <v>20</v>
      </c>
      <c r="D339" t="s">
        <v>32</v>
      </c>
      <c r="E339">
        <v>50</v>
      </c>
      <c r="F339" t="s">
        <v>15</v>
      </c>
      <c r="G339">
        <v>608.41999999999996</v>
      </c>
      <c r="H339">
        <v>27</v>
      </c>
      <c r="I339" t="s">
        <v>22</v>
      </c>
      <c r="J339">
        <v>3.3</v>
      </c>
      <c r="K339" t="s">
        <v>26</v>
      </c>
      <c r="L339" t="s">
        <v>18</v>
      </c>
      <c r="M339" t="str">
        <f>VLOOKUP(D343,Restaurant_Master!A:B,2,FALSE)</f>
        <v>https://dineout-media-assets.swiggy.com/swiggy/image/upload/fl_lossy,f_auto,q_auto/v1660793737/fdqxvxcxg1wtdwvyv45v.jpg</v>
      </c>
    </row>
    <row r="340" spans="1:13" x14ac:dyDescent="0.3">
      <c r="A340" t="s">
        <v>370</v>
      </c>
      <c r="B340" s="1">
        <v>45353</v>
      </c>
      <c r="C340" t="s">
        <v>20</v>
      </c>
      <c r="D340" t="s">
        <v>32</v>
      </c>
      <c r="E340">
        <v>44</v>
      </c>
      <c r="F340" t="s">
        <v>28</v>
      </c>
      <c r="G340">
        <v>482.56</v>
      </c>
      <c r="H340">
        <v>53</v>
      </c>
      <c r="I340" t="s">
        <v>16</v>
      </c>
      <c r="J340">
        <v>2.8</v>
      </c>
      <c r="K340" t="s">
        <v>17</v>
      </c>
      <c r="L340" t="s">
        <v>23</v>
      </c>
      <c r="M340" t="str">
        <f>VLOOKUP(D344,Restaurant_Master!A:B,2,FALSE)</f>
        <v>https://media-cdn.tripadvisor.com/media/photo-s/1c/c7/97/b6/photo6jpg.jpg</v>
      </c>
    </row>
    <row r="341" spans="1:13" x14ac:dyDescent="0.3">
      <c r="A341" t="s">
        <v>371</v>
      </c>
      <c r="B341" s="1">
        <v>45610</v>
      </c>
      <c r="C341" t="s">
        <v>13</v>
      </c>
      <c r="D341" t="s">
        <v>25</v>
      </c>
      <c r="E341">
        <v>26</v>
      </c>
      <c r="F341" t="s">
        <v>15</v>
      </c>
      <c r="G341">
        <v>431.91</v>
      </c>
      <c r="H341">
        <v>39</v>
      </c>
      <c r="I341" t="s">
        <v>22</v>
      </c>
      <c r="J341">
        <v>4</v>
      </c>
      <c r="K341" t="s">
        <v>41</v>
      </c>
      <c r="L341" t="s">
        <v>18</v>
      </c>
      <c r="M341" t="str">
        <f>VLOOKUP(D345,Restaurant_Master!A:B,2,FALSE)</f>
        <v>https://dineout-media-assets.swiggy.com/swiggy/image/upload/fl_lossy,f_auto,q_auto/v1660793737/fdqxvxcxg1wtdwvyv45v.jpg</v>
      </c>
    </row>
    <row r="342" spans="1:13" x14ac:dyDescent="0.3">
      <c r="A342" t="s">
        <v>372</v>
      </c>
      <c r="B342" s="1">
        <v>45474</v>
      </c>
      <c r="C342" t="s">
        <v>20</v>
      </c>
      <c r="D342" t="s">
        <v>25</v>
      </c>
      <c r="E342">
        <v>19</v>
      </c>
      <c r="F342" t="s">
        <v>15</v>
      </c>
      <c r="G342">
        <v>655.71</v>
      </c>
      <c r="H342">
        <v>60</v>
      </c>
      <c r="I342" t="s">
        <v>16</v>
      </c>
      <c r="J342">
        <v>3.5</v>
      </c>
      <c r="K342" t="s">
        <v>29</v>
      </c>
      <c r="L342" t="s">
        <v>18</v>
      </c>
      <c r="M342" t="str">
        <f>VLOOKUP(D346,Restaurant_Master!A:B,2,FALSE)</f>
        <v>https://dynamic-media-cdn.tripadvisor.com/media/photo-o/1c/e7/04/0d/front-of-the-local-easily.jpg</v>
      </c>
    </row>
    <row r="343" spans="1:13" x14ac:dyDescent="0.3">
      <c r="A343" t="s">
        <v>373</v>
      </c>
      <c r="B343" s="1">
        <v>45382</v>
      </c>
      <c r="C343" t="s">
        <v>13</v>
      </c>
      <c r="D343" t="s">
        <v>14</v>
      </c>
      <c r="E343">
        <v>57</v>
      </c>
      <c r="F343" t="s">
        <v>15</v>
      </c>
      <c r="G343">
        <v>670.83</v>
      </c>
      <c r="H343">
        <v>26</v>
      </c>
      <c r="I343" t="s">
        <v>22</v>
      </c>
      <c r="J343">
        <v>2.6</v>
      </c>
      <c r="K343" t="s">
        <v>29</v>
      </c>
      <c r="L343" t="s">
        <v>18</v>
      </c>
      <c r="M343" t="str">
        <f>VLOOKUP(D347,Restaurant_Master!A:B,2,FALSE)</f>
        <v>https://media-cdn.tripadvisor.com/media/photo-s/1c/c7/97/b6/photo6jpg.jpg</v>
      </c>
    </row>
    <row r="344" spans="1:13" x14ac:dyDescent="0.3">
      <c r="A344" t="s">
        <v>374</v>
      </c>
      <c r="B344" s="1">
        <v>45339</v>
      </c>
      <c r="C344" t="s">
        <v>34</v>
      </c>
      <c r="D344" t="s">
        <v>25</v>
      </c>
      <c r="E344">
        <v>37</v>
      </c>
      <c r="F344" t="s">
        <v>15</v>
      </c>
      <c r="G344">
        <v>463.02</v>
      </c>
      <c r="H344">
        <v>55</v>
      </c>
      <c r="I344" t="s">
        <v>16</v>
      </c>
      <c r="J344">
        <v>4.7</v>
      </c>
      <c r="K344" t="s">
        <v>41</v>
      </c>
      <c r="L344" t="s">
        <v>18</v>
      </c>
      <c r="M344" t="str">
        <f>VLOOKUP(D348,Restaurant_Master!A:B,2,FALSE)</f>
        <v>https://media-cdn.tripadvisor.com/media/photo-s/1c/c7/97/b6/photo6jpg.jpg</v>
      </c>
    </row>
    <row r="345" spans="1:13" x14ac:dyDescent="0.3">
      <c r="A345" t="s">
        <v>375</v>
      </c>
      <c r="B345" s="1">
        <v>45586</v>
      </c>
      <c r="C345" t="s">
        <v>13</v>
      </c>
      <c r="D345" t="s">
        <v>14</v>
      </c>
      <c r="E345">
        <v>51</v>
      </c>
      <c r="F345" t="s">
        <v>15</v>
      </c>
      <c r="G345">
        <v>740.1</v>
      </c>
      <c r="H345">
        <v>44</v>
      </c>
      <c r="I345" t="s">
        <v>16</v>
      </c>
      <c r="J345">
        <v>4.4000000000000004</v>
      </c>
      <c r="K345" t="s">
        <v>17</v>
      </c>
      <c r="L345" t="s">
        <v>18</v>
      </c>
      <c r="M345" t="str">
        <f>VLOOKUP(D349,Restaurant_Master!A:B,2,FALSE)</f>
        <v>https://dineout-media-assets.swiggy.com/swiggy/image/upload/fl_lossy,f_auto,q_auto/v1660793737/fdqxvxcxg1wtdwvyv45v.jpg</v>
      </c>
    </row>
    <row r="346" spans="1:13" x14ac:dyDescent="0.3">
      <c r="A346" t="s">
        <v>376</v>
      </c>
      <c r="B346" s="1">
        <v>45452</v>
      </c>
      <c r="C346" t="s">
        <v>13</v>
      </c>
      <c r="D346" t="s">
        <v>21</v>
      </c>
      <c r="E346">
        <v>44</v>
      </c>
      <c r="F346" t="s">
        <v>15</v>
      </c>
      <c r="G346">
        <v>897.1</v>
      </c>
      <c r="H346">
        <v>23</v>
      </c>
      <c r="I346" t="s">
        <v>22</v>
      </c>
      <c r="J346">
        <v>3.9</v>
      </c>
      <c r="K346" t="s">
        <v>17</v>
      </c>
      <c r="L346" t="s">
        <v>18</v>
      </c>
      <c r="M346" t="str">
        <f>VLOOKUP(D350,Restaurant_Master!A:B,2,FALSE)</f>
        <v>https://www.chatswoodinterchange.com/storages/2018/08/Sushi-World_666x448.jpg</v>
      </c>
    </row>
    <row r="347" spans="1:13" x14ac:dyDescent="0.3">
      <c r="A347" t="s">
        <v>377</v>
      </c>
      <c r="B347" s="1">
        <v>45611</v>
      </c>
      <c r="C347" t="s">
        <v>20</v>
      </c>
      <c r="D347" t="s">
        <v>25</v>
      </c>
      <c r="E347">
        <v>39</v>
      </c>
      <c r="F347" t="s">
        <v>15</v>
      </c>
      <c r="G347">
        <v>196.56</v>
      </c>
      <c r="H347">
        <v>27</v>
      </c>
      <c r="I347" t="s">
        <v>22</v>
      </c>
      <c r="J347">
        <v>3.3</v>
      </c>
      <c r="K347" t="s">
        <v>29</v>
      </c>
      <c r="L347" t="s">
        <v>23</v>
      </c>
      <c r="M347" t="str">
        <f>VLOOKUP(D351,Restaurant_Master!A:B,2,FALSE)</f>
        <v>https://dineout-media-assets.swiggy.com/swiggy/image/upload/fl_lossy,f_auto,q_auto/v1660793737/fdqxvxcxg1wtdwvyv45v.jpg</v>
      </c>
    </row>
    <row r="348" spans="1:13" x14ac:dyDescent="0.3">
      <c r="A348" t="s">
        <v>378</v>
      </c>
      <c r="B348" s="1">
        <v>45641</v>
      </c>
      <c r="C348" t="s">
        <v>34</v>
      </c>
      <c r="D348" t="s">
        <v>25</v>
      </c>
      <c r="E348">
        <v>23</v>
      </c>
      <c r="F348" t="s">
        <v>28</v>
      </c>
      <c r="G348">
        <v>707.05</v>
      </c>
      <c r="H348">
        <v>31</v>
      </c>
      <c r="I348" t="s">
        <v>22</v>
      </c>
      <c r="J348">
        <v>4.0999999999999996</v>
      </c>
      <c r="K348" t="s">
        <v>26</v>
      </c>
      <c r="L348" t="s">
        <v>23</v>
      </c>
      <c r="M348" t="str">
        <f>VLOOKUP(D352,Restaurant_Master!A:B,2,FALSE)</f>
        <v>https://media-cdn.tripadvisor.com/media/photo-s/1c/c7/97/b6/photo6jpg.jpg</v>
      </c>
    </row>
    <row r="349" spans="1:13" x14ac:dyDescent="0.3">
      <c r="A349" t="s">
        <v>379</v>
      </c>
      <c r="B349" s="1">
        <v>45338</v>
      </c>
      <c r="C349" t="s">
        <v>13</v>
      </c>
      <c r="D349" t="s">
        <v>14</v>
      </c>
      <c r="E349">
        <v>27</v>
      </c>
      <c r="F349" t="s">
        <v>15</v>
      </c>
      <c r="G349">
        <v>303.51</v>
      </c>
      <c r="H349">
        <v>48</v>
      </c>
      <c r="I349" t="s">
        <v>16</v>
      </c>
      <c r="J349">
        <v>4.5</v>
      </c>
      <c r="K349" t="s">
        <v>17</v>
      </c>
      <c r="L349" t="s">
        <v>18</v>
      </c>
      <c r="M349" t="str">
        <f>VLOOKUP(D353,Restaurant_Master!A:B,2,FALSE)</f>
        <v>https://dynamic-media-cdn.tripadvisor.com/media/photo-o/1c/e7/04/0d/front-of-the-local-easily.jpg</v>
      </c>
    </row>
    <row r="350" spans="1:13" x14ac:dyDescent="0.3">
      <c r="A350" t="s">
        <v>380</v>
      </c>
      <c r="B350" s="1">
        <v>45431</v>
      </c>
      <c r="C350" t="s">
        <v>36</v>
      </c>
      <c r="D350" t="s">
        <v>38</v>
      </c>
      <c r="E350">
        <v>49</v>
      </c>
      <c r="F350" t="s">
        <v>15</v>
      </c>
      <c r="G350">
        <v>586.94000000000005</v>
      </c>
      <c r="H350">
        <v>30</v>
      </c>
      <c r="I350" t="s">
        <v>22</v>
      </c>
      <c r="J350">
        <v>4.5</v>
      </c>
      <c r="K350" t="s">
        <v>29</v>
      </c>
      <c r="L350" t="s">
        <v>23</v>
      </c>
      <c r="M350" t="str">
        <f>VLOOKUP(D354,Restaurant_Master!A:B,2,FALSE)</f>
        <v>https://content.jdmagicbox.com/comp/deoria/g6/9999p5568.5568.200119143033.m4g6/catalogue/biryani-house-deoria-ho-deoria-mktc2xph0o.jpg</v>
      </c>
    </row>
    <row r="351" spans="1:13" x14ac:dyDescent="0.3">
      <c r="A351" t="s">
        <v>381</v>
      </c>
      <c r="B351" s="1">
        <v>45560</v>
      </c>
      <c r="C351" t="s">
        <v>36</v>
      </c>
      <c r="D351" t="s">
        <v>14</v>
      </c>
      <c r="E351">
        <v>33</v>
      </c>
      <c r="F351" t="s">
        <v>15</v>
      </c>
      <c r="G351">
        <v>262.06</v>
      </c>
      <c r="H351">
        <v>40</v>
      </c>
      <c r="I351" t="s">
        <v>22</v>
      </c>
      <c r="J351">
        <v>3.3</v>
      </c>
      <c r="K351" t="s">
        <v>17</v>
      </c>
      <c r="L351" t="s">
        <v>23</v>
      </c>
      <c r="M351" t="str">
        <f>VLOOKUP(D355,Restaurant_Master!A:B,2,FALSE)</f>
        <v>https://dineout-media-assets.swiggy.com/swiggy/image/upload/fl_lossy,f_auto,q_auto/v1660793737/fdqxvxcxg1wtdwvyv45v.jpg</v>
      </c>
    </row>
    <row r="352" spans="1:13" x14ac:dyDescent="0.3">
      <c r="A352" t="s">
        <v>382</v>
      </c>
      <c r="B352" s="1">
        <v>45353</v>
      </c>
      <c r="C352" t="s">
        <v>13</v>
      </c>
      <c r="D352" t="s">
        <v>25</v>
      </c>
      <c r="E352">
        <v>28</v>
      </c>
      <c r="F352" t="s">
        <v>28</v>
      </c>
      <c r="G352">
        <v>420.51</v>
      </c>
      <c r="H352">
        <v>42</v>
      </c>
      <c r="I352" t="s">
        <v>16</v>
      </c>
      <c r="J352">
        <v>4.4000000000000004</v>
      </c>
      <c r="K352" t="s">
        <v>17</v>
      </c>
      <c r="L352" t="s">
        <v>23</v>
      </c>
      <c r="M352" t="str">
        <f>VLOOKUP(D356,Restaurant_Master!A:B,2,FALSE)</f>
        <v>https://dynamic-media-cdn.tripadvisor.com/media/photo-o/1c/e7/04/0d/front-of-the-local-easily.jpg</v>
      </c>
    </row>
    <row r="353" spans="1:13" x14ac:dyDescent="0.3">
      <c r="A353" t="s">
        <v>383</v>
      </c>
      <c r="B353" s="1">
        <v>45487</v>
      </c>
      <c r="C353" t="s">
        <v>20</v>
      </c>
      <c r="D353" t="s">
        <v>21</v>
      </c>
      <c r="E353">
        <v>47</v>
      </c>
      <c r="F353" t="s">
        <v>15</v>
      </c>
      <c r="G353">
        <v>513.88</v>
      </c>
      <c r="H353">
        <v>49</v>
      </c>
      <c r="I353" t="s">
        <v>16</v>
      </c>
      <c r="J353">
        <v>4</v>
      </c>
      <c r="K353" t="s">
        <v>17</v>
      </c>
      <c r="L353" t="s">
        <v>18</v>
      </c>
      <c r="M353" t="str">
        <f>VLOOKUP(D357,Restaurant_Master!A:B,2,FALSE)</f>
        <v>https://dineout-media-assets.swiggy.com/swiggy/image/upload/fl_lossy,f_auto,q_auto/v1660793737/fdqxvxcxg1wtdwvyv45v.jpg</v>
      </c>
    </row>
    <row r="354" spans="1:13" x14ac:dyDescent="0.3">
      <c r="A354" t="s">
        <v>384</v>
      </c>
      <c r="B354" s="1">
        <v>45535</v>
      </c>
      <c r="C354" t="s">
        <v>20</v>
      </c>
      <c r="D354" t="s">
        <v>32</v>
      </c>
      <c r="E354">
        <v>28</v>
      </c>
      <c r="F354" t="s">
        <v>15</v>
      </c>
      <c r="G354">
        <v>1078.3699999999999</v>
      </c>
      <c r="H354">
        <v>43</v>
      </c>
      <c r="I354" t="s">
        <v>16</v>
      </c>
      <c r="J354">
        <v>4.7</v>
      </c>
      <c r="K354" t="s">
        <v>29</v>
      </c>
      <c r="L354" t="s">
        <v>18</v>
      </c>
      <c r="M354" t="str">
        <f>VLOOKUP(D358,Restaurant_Master!A:B,2,FALSE)</f>
        <v>https://www.chatswoodinterchange.com/storages/2018/08/Sushi-World_666x448.jpg</v>
      </c>
    </row>
    <row r="355" spans="1:13" x14ac:dyDescent="0.3">
      <c r="A355" t="s">
        <v>385</v>
      </c>
      <c r="B355" s="1">
        <v>45363</v>
      </c>
      <c r="C355" t="s">
        <v>20</v>
      </c>
      <c r="D355" t="s">
        <v>14</v>
      </c>
      <c r="E355">
        <v>45</v>
      </c>
      <c r="F355" t="s">
        <v>28</v>
      </c>
      <c r="G355">
        <v>372.1</v>
      </c>
      <c r="H355">
        <v>52</v>
      </c>
      <c r="I355" t="s">
        <v>16</v>
      </c>
      <c r="J355">
        <v>3</v>
      </c>
      <c r="K355" t="s">
        <v>41</v>
      </c>
      <c r="L355" t="s">
        <v>18</v>
      </c>
      <c r="M355" t="str">
        <f>VLOOKUP(D359,Restaurant_Master!A:B,2,FALSE)</f>
        <v>https://www.chatswoodinterchange.com/storages/2018/08/Sushi-World_666x448.jpg</v>
      </c>
    </row>
    <row r="356" spans="1:13" x14ac:dyDescent="0.3">
      <c r="A356" t="s">
        <v>386</v>
      </c>
      <c r="B356" s="1">
        <v>45471</v>
      </c>
      <c r="C356" t="s">
        <v>20</v>
      </c>
      <c r="D356" t="s">
        <v>21</v>
      </c>
      <c r="E356">
        <v>56</v>
      </c>
      <c r="F356" t="s">
        <v>15</v>
      </c>
      <c r="G356">
        <v>497.07</v>
      </c>
      <c r="H356">
        <v>32</v>
      </c>
      <c r="I356" t="s">
        <v>22</v>
      </c>
      <c r="J356">
        <v>3.1</v>
      </c>
      <c r="K356" t="s">
        <v>17</v>
      </c>
      <c r="L356" t="s">
        <v>23</v>
      </c>
      <c r="M356" t="str">
        <f>VLOOKUP(D360,Restaurant_Master!A:B,2,FALSE)</f>
        <v>https://dynamic-media-cdn.tripadvisor.com/media/photo-o/1c/e7/04/0d/front-of-the-local-easily.jpg</v>
      </c>
    </row>
    <row r="357" spans="1:13" x14ac:dyDescent="0.3">
      <c r="A357" t="s">
        <v>387</v>
      </c>
      <c r="B357" s="1">
        <v>45528</v>
      </c>
      <c r="C357" t="s">
        <v>36</v>
      </c>
      <c r="D357" t="s">
        <v>14</v>
      </c>
      <c r="E357">
        <v>58</v>
      </c>
      <c r="F357" t="s">
        <v>15</v>
      </c>
      <c r="G357">
        <v>928.61</v>
      </c>
      <c r="H357">
        <v>26</v>
      </c>
      <c r="I357" t="s">
        <v>22</v>
      </c>
      <c r="J357">
        <v>3.9</v>
      </c>
      <c r="K357" t="s">
        <v>26</v>
      </c>
      <c r="L357" t="s">
        <v>23</v>
      </c>
      <c r="M357" t="str">
        <f>VLOOKUP(D361,Restaurant_Master!A:B,2,FALSE)</f>
        <v>https://www.chatswoodinterchange.com/storages/2018/08/Sushi-World_666x448.jpg</v>
      </c>
    </row>
    <row r="358" spans="1:13" x14ac:dyDescent="0.3">
      <c r="A358" t="s">
        <v>388</v>
      </c>
      <c r="B358" s="1">
        <v>45653</v>
      </c>
      <c r="C358" t="s">
        <v>20</v>
      </c>
      <c r="D358" t="s">
        <v>38</v>
      </c>
      <c r="E358">
        <v>33</v>
      </c>
      <c r="F358" t="s">
        <v>15</v>
      </c>
      <c r="G358">
        <v>1106.3499999999999</v>
      </c>
      <c r="H358">
        <v>40</v>
      </c>
      <c r="I358" t="s">
        <v>22</v>
      </c>
      <c r="J358">
        <v>3.8</v>
      </c>
      <c r="K358" t="s">
        <v>26</v>
      </c>
      <c r="L358" t="s">
        <v>18</v>
      </c>
      <c r="M358" t="str">
        <f>VLOOKUP(D362,Restaurant_Master!A:B,2,FALSE)</f>
        <v>https://media-cdn.tripadvisor.com/media/photo-s/1c/c7/97/b6/photo6jpg.jpg</v>
      </c>
    </row>
    <row r="359" spans="1:13" x14ac:dyDescent="0.3">
      <c r="A359" t="s">
        <v>389</v>
      </c>
      <c r="B359" s="1">
        <v>45297</v>
      </c>
      <c r="C359" t="s">
        <v>20</v>
      </c>
      <c r="D359" t="s">
        <v>38</v>
      </c>
      <c r="E359">
        <v>27</v>
      </c>
      <c r="F359" t="s">
        <v>15</v>
      </c>
      <c r="G359">
        <v>1075.1199999999999</v>
      </c>
      <c r="H359">
        <v>59</v>
      </c>
      <c r="I359" t="s">
        <v>16</v>
      </c>
      <c r="J359">
        <v>4.7</v>
      </c>
      <c r="K359" t="s">
        <v>41</v>
      </c>
      <c r="L359" t="s">
        <v>18</v>
      </c>
      <c r="M359" t="str">
        <f>VLOOKUP(D363,Restaurant_Master!A:B,2,FALSE)</f>
        <v>https://dynamic-media-cdn.tripadvisor.com/media/photo-o/1c/e7/04/0d/front-of-the-local-easily.jpg</v>
      </c>
    </row>
    <row r="360" spans="1:13" x14ac:dyDescent="0.3">
      <c r="A360" t="s">
        <v>390</v>
      </c>
      <c r="B360" s="1">
        <v>45468</v>
      </c>
      <c r="C360" t="s">
        <v>36</v>
      </c>
      <c r="D360" t="s">
        <v>21</v>
      </c>
      <c r="E360">
        <v>32</v>
      </c>
      <c r="F360" t="s">
        <v>15</v>
      </c>
      <c r="G360">
        <v>211.02</v>
      </c>
      <c r="H360">
        <v>25</v>
      </c>
      <c r="I360" t="s">
        <v>22</v>
      </c>
      <c r="J360">
        <v>3.5</v>
      </c>
      <c r="K360" t="s">
        <v>29</v>
      </c>
      <c r="L360" t="s">
        <v>23</v>
      </c>
      <c r="M360" t="str">
        <f>VLOOKUP(D364,Restaurant_Master!A:B,2,FALSE)</f>
        <v>https://media-cdn.tripadvisor.com/media/photo-s/1c/c7/97/b6/photo6jpg.jpg</v>
      </c>
    </row>
    <row r="361" spans="1:13" x14ac:dyDescent="0.3">
      <c r="A361" t="s">
        <v>391</v>
      </c>
      <c r="B361" s="1">
        <v>45422</v>
      </c>
      <c r="C361" t="s">
        <v>36</v>
      </c>
      <c r="D361" t="s">
        <v>38</v>
      </c>
      <c r="E361">
        <v>58</v>
      </c>
      <c r="F361" t="s">
        <v>28</v>
      </c>
      <c r="G361">
        <v>446.18</v>
      </c>
      <c r="H361">
        <v>27</v>
      </c>
      <c r="I361" t="s">
        <v>22</v>
      </c>
      <c r="J361">
        <v>4.4000000000000004</v>
      </c>
      <c r="K361" t="s">
        <v>17</v>
      </c>
      <c r="L361" t="s">
        <v>23</v>
      </c>
      <c r="M361" t="str">
        <f>VLOOKUP(D365,Restaurant_Master!A:B,2,FALSE)</f>
        <v>https://dineout-media-assets.swiggy.com/swiggy/image/upload/fl_lossy,f_auto,q_auto/v1660793737/fdqxvxcxg1wtdwvyv45v.jpg</v>
      </c>
    </row>
    <row r="362" spans="1:13" x14ac:dyDescent="0.3">
      <c r="A362" t="s">
        <v>392</v>
      </c>
      <c r="B362" s="1">
        <v>45528</v>
      </c>
      <c r="C362" t="s">
        <v>13</v>
      </c>
      <c r="D362" t="s">
        <v>25</v>
      </c>
      <c r="E362">
        <v>35</v>
      </c>
      <c r="F362" t="s">
        <v>28</v>
      </c>
      <c r="G362">
        <v>928.84</v>
      </c>
      <c r="H362">
        <v>48</v>
      </c>
      <c r="I362" t="s">
        <v>16</v>
      </c>
      <c r="J362">
        <v>2.7</v>
      </c>
      <c r="K362" t="s">
        <v>29</v>
      </c>
      <c r="L362" t="s">
        <v>18</v>
      </c>
      <c r="M362" t="str">
        <f>VLOOKUP(D366,Restaurant_Master!A:B,2,FALSE)</f>
        <v>https://www.chatswoodinterchange.com/storages/2018/08/Sushi-World_666x448.jpg</v>
      </c>
    </row>
    <row r="363" spans="1:13" x14ac:dyDescent="0.3">
      <c r="A363" t="s">
        <v>393</v>
      </c>
      <c r="B363" s="1">
        <v>45498</v>
      </c>
      <c r="C363" t="s">
        <v>43</v>
      </c>
      <c r="D363" t="s">
        <v>21</v>
      </c>
      <c r="E363">
        <v>18</v>
      </c>
      <c r="F363" t="s">
        <v>28</v>
      </c>
      <c r="G363">
        <v>1188.3900000000001</v>
      </c>
      <c r="H363">
        <v>22</v>
      </c>
      <c r="I363" t="s">
        <v>22</v>
      </c>
      <c r="J363">
        <v>3.9</v>
      </c>
      <c r="K363" t="s">
        <v>17</v>
      </c>
      <c r="L363" t="s">
        <v>23</v>
      </c>
      <c r="M363" t="str">
        <f>VLOOKUP(D367,Restaurant_Master!A:B,2,FALSE)</f>
        <v>https://www.chatswoodinterchange.com/storages/2018/08/Sushi-World_666x448.jpg</v>
      </c>
    </row>
    <row r="364" spans="1:13" x14ac:dyDescent="0.3">
      <c r="A364" t="s">
        <v>394</v>
      </c>
      <c r="B364" s="1">
        <v>45544</v>
      </c>
      <c r="C364" t="s">
        <v>13</v>
      </c>
      <c r="D364" t="s">
        <v>25</v>
      </c>
      <c r="E364">
        <v>41</v>
      </c>
      <c r="F364" t="s">
        <v>28</v>
      </c>
      <c r="G364">
        <v>798.1</v>
      </c>
      <c r="H364">
        <v>31</v>
      </c>
      <c r="I364" t="s">
        <v>22</v>
      </c>
      <c r="J364">
        <v>4.8</v>
      </c>
      <c r="K364" t="s">
        <v>26</v>
      </c>
      <c r="L364" t="s">
        <v>18</v>
      </c>
      <c r="M364" t="str">
        <f>VLOOKUP(D368,Restaurant_Master!A:B,2,FALSE)</f>
        <v>https://www.chatswoodinterchange.com/storages/2018/08/Sushi-World_666x448.jpg</v>
      </c>
    </row>
    <row r="365" spans="1:13" x14ac:dyDescent="0.3">
      <c r="A365" t="s">
        <v>395</v>
      </c>
      <c r="B365" s="1">
        <v>45292</v>
      </c>
      <c r="C365" t="s">
        <v>36</v>
      </c>
      <c r="D365" t="s">
        <v>14</v>
      </c>
      <c r="E365">
        <v>56</v>
      </c>
      <c r="F365" t="s">
        <v>15</v>
      </c>
      <c r="G365">
        <v>462.83</v>
      </c>
      <c r="H365">
        <v>49</v>
      </c>
      <c r="I365" t="s">
        <v>16</v>
      </c>
      <c r="J365">
        <v>4.7</v>
      </c>
      <c r="K365" t="s">
        <v>41</v>
      </c>
      <c r="L365" t="s">
        <v>23</v>
      </c>
      <c r="M365" t="str">
        <f>VLOOKUP(D369,Restaurant_Master!A:B,2,FALSE)</f>
        <v>https://media-cdn.tripadvisor.com/media/photo-s/1c/c7/97/b6/photo6jpg.jpg</v>
      </c>
    </row>
    <row r="366" spans="1:13" x14ac:dyDescent="0.3">
      <c r="A366" t="s">
        <v>396</v>
      </c>
      <c r="B366" s="1">
        <v>45573</v>
      </c>
      <c r="C366" t="s">
        <v>36</v>
      </c>
      <c r="D366" t="s">
        <v>38</v>
      </c>
      <c r="E366">
        <v>30</v>
      </c>
      <c r="F366" t="s">
        <v>15</v>
      </c>
      <c r="G366">
        <v>512.12</v>
      </c>
      <c r="H366">
        <v>44</v>
      </c>
      <c r="I366" t="s">
        <v>16</v>
      </c>
      <c r="J366">
        <v>2.8</v>
      </c>
      <c r="K366" t="s">
        <v>17</v>
      </c>
      <c r="L366" t="s">
        <v>18</v>
      </c>
      <c r="M366" t="str">
        <f>VLOOKUP(D370,Restaurant_Master!A:B,2,FALSE)</f>
        <v>https://www.chatswoodinterchange.com/storages/2018/08/Sushi-World_666x448.jpg</v>
      </c>
    </row>
    <row r="367" spans="1:13" x14ac:dyDescent="0.3">
      <c r="A367" t="s">
        <v>397</v>
      </c>
      <c r="B367" s="1">
        <v>45525</v>
      </c>
      <c r="C367" t="s">
        <v>43</v>
      </c>
      <c r="D367" t="s">
        <v>38</v>
      </c>
      <c r="E367">
        <v>57</v>
      </c>
      <c r="F367" t="s">
        <v>15</v>
      </c>
      <c r="G367">
        <v>1046.4000000000001</v>
      </c>
      <c r="H367">
        <v>35</v>
      </c>
      <c r="I367" t="s">
        <v>22</v>
      </c>
      <c r="J367">
        <v>4.9000000000000004</v>
      </c>
      <c r="K367" t="s">
        <v>17</v>
      </c>
      <c r="L367" t="s">
        <v>18</v>
      </c>
      <c r="M367" t="str">
        <f>VLOOKUP(D371,Restaurant_Master!A:B,2,FALSE)</f>
        <v>https://dineout-media-assets.swiggy.com/swiggy/image/upload/fl_lossy,f_auto,q_auto/v1660793737/fdqxvxcxg1wtdwvyv45v.jpg</v>
      </c>
    </row>
    <row r="368" spans="1:13" x14ac:dyDescent="0.3">
      <c r="A368" t="s">
        <v>398</v>
      </c>
      <c r="B368" s="1">
        <v>45486</v>
      </c>
      <c r="C368" t="s">
        <v>43</v>
      </c>
      <c r="D368" t="s">
        <v>38</v>
      </c>
      <c r="E368">
        <v>28</v>
      </c>
      <c r="F368" t="s">
        <v>28</v>
      </c>
      <c r="G368">
        <v>456.96</v>
      </c>
      <c r="H368">
        <v>47</v>
      </c>
      <c r="I368" t="s">
        <v>16</v>
      </c>
      <c r="J368">
        <v>3.7</v>
      </c>
      <c r="K368" t="s">
        <v>26</v>
      </c>
      <c r="L368" t="s">
        <v>23</v>
      </c>
      <c r="M368" t="str">
        <f>VLOOKUP(D372,Restaurant_Master!A:B,2,FALSE)</f>
        <v>https://dineout-media-assets.swiggy.com/swiggy/image/upload/fl_lossy,f_auto,q_auto/v1660793737/fdqxvxcxg1wtdwvyv45v.jpg</v>
      </c>
    </row>
    <row r="369" spans="1:13" x14ac:dyDescent="0.3">
      <c r="A369" t="s">
        <v>399</v>
      </c>
      <c r="B369" s="1">
        <v>45456</v>
      </c>
      <c r="C369" t="s">
        <v>43</v>
      </c>
      <c r="D369" t="s">
        <v>25</v>
      </c>
      <c r="E369">
        <v>43</v>
      </c>
      <c r="F369" t="s">
        <v>28</v>
      </c>
      <c r="G369">
        <v>938.9</v>
      </c>
      <c r="H369">
        <v>37</v>
      </c>
      <c r="I369" t="s">
        <v>22</v>
      </c>
      <c r="J369">
        <v>4.5999999999999996</v>
      </c>
      <c r="K369" t="s">
        <v>17</v>
      </c>
      <c r="L369" t="s">
        <v>23</v>
      </c>
      <c r="M369" t="str">
        <f>VLOOKUP(D373,Restaurant_Master!A:B,2,FALSE)</f>
        <v>https://media-cdn.tripadvisor.com/media/photo-s/1c/c7/97/b6/photo6jpg.jpg</v>
      </c>
    </row>
    <row r="370" spans="1:13" x14ac:dyDescent="0.3">
      <c r="A370" t="s">
        <v>400</v>
      </c>
      <c r="B370" s="1">
        <v>45657</v>
      </c>
      <c r="C370" t="s">
        <v>13</v>
      </c>
      <c r="D370" t="s">
        <v>38</v>
      </c>
      <c r="E370">
        <v>26</v>
      </c>
      <c r="F370" t="s">
        <v>28</v>
      </c>
      <c r="G370">
        <v>874.37</v>
      </c>
      <c r="H370">
        <v>48</v>
      </c>
      <c r="I370" t="s">
        <v>16</v>
      </c>
      <c r="J370">
        <v>3.5</v>
      </c>
      <c r="K370" t="s">
        <v>29</v>
      </c>
      <c r="L370" t="s">
        <v>18</v>
      </c>
      <c r="M370" t="str">
        <f>VLOOKUP(D374,Restaurant_Master!A:B,2,FALSE)</f>
        <v>https://dynamic-media-cdn.tripadvisor.com/media/photo-o/1c/e7/04/0d/front-of-the-local-easily.jpg</v>
      </c>
    </row>
    <row r="371" spans="1:13" x14ac:dyDescent="0.3">
      <c r="A371" t="s">
        <v>401</v>
      </c>
      <c r="B371" s="1">
        <v>45531</v>
      </c>
      <c r="C371" t="s">
        <v>13</v>
      </c>
      <c r="D371" t="s">
        <v>14</v>
      </c>
      <c r="E371">
        <v>35</v>
      </c>
      <c r="F371" t="s">
        <v>28</v>
      </c>
      <c r="G371">
        <v>863.77</v>
      </c>
      <c r="H371">
        <v>59</v>
      </c>
      <c r="I371" t="s">
        <v>16</v>
      </c>
      <c r="J371">
        <v>3.1</v>
      </c>
      <c r="K371" t="s">
        <v>29</v>
      </c>
      <c r="L371" t="s">
        <v>18</v>
      </c>
      <c r="M371" t="str">
        <f>VLOOKUP(D375,Restaurant_Master!A:B,2,FALSE)</f>
        <v>https://dineout-media-assets.swiggy.com/swiggy/image/upload/fl_lossy,f_auto,q_auto/v1660793737/fdqxvxcxg1wtdwvyv45v.jpg</v>
      </c>
    </row>
    <row r="372" spans="1:13" x14ac:dyDescent="0.3">
      <c r="A372" t="s">
        <v>402</v>
      </c>
      <c r="B372" s="1">
        <v>45613</v>
      </c>
      <c r="C372" t="s">
        <v>43</v>
      </c>
      <c r="D372" t="s">
        <v>14</v>
      </c>
      <c r="E372">
        <v>54</v>
      </c>
      <c r="F372" t="s">
        <v>15</v>
      </c>
      <c r="G372">
        <v>714.85</v>
      </c>
      <c r="H372">
        <v>29</v>
      </c>
      <c r="I372" t="s">
        <v>22</v>
      </c>
      <c r="J372">
        <v>5</v>
      </c>
      <c r="K372" t="s">
        <v>26</v>
      </c>
      <c r="L372" t="s">
        <v>23</v>
      </c>
      <c r="M372" t="str">
        <f>VLOOKUP(D376,Restaurant_Master!A:B,2,FALSE)</f>
        <v>https://www.chatswoodinterchange.com/storages/2018/08/Sushi-World_666x448.jpg</v>
      </c>
    </row>
    <row r="373" spans="1:13" x14ac:dyDescent="0.3">
      <c r="A373" t="s">
        <v>403</v>
      </c>
      <c r="B373" s="1">
        <v>45293</v>
      </c>
      <c r="C373" t="s">
        <v>20</v>
      </c>
      <c r="D373" t="s">
        <v>25</v>
      </c>
      <c r="E373">
        <v>54</v>
      </c>
      <c r="F373" t="s">
        <v>15</v>
      </c>
      <c r="G373">
        <v>781.87</v>
      </c>
      <c r="H373">
        <v>50</v>
      </c>
      <c r="I373" t="s">
        <v>16</v>
      </c>
      <c r="J373">
        <v>2.5</v>
      </c>
      <c r="K373" t="s">
        <v>29</v>
      </c>
      <c r="L373" t="s">
        <v>23</v>
      </c>
      <c r="M373" t="str">
        <f>VLOOKUP(D377,Restaurant_Master!A:B,2,FALSE)</f>
        <v>https://www.chatswoodinterchange.com/storages/2018/08/Sushi-World_666x448.jpg</v>
      </c>
    </row>
    <row r="374" spans="1:13" x14ac:dyDescent="0.3">
      <c r="A374" t="s">
        <v>404</v>
      </c>
      <c r="B374" s="1">
        <v>45607</v>
      </c>
      <c r="C374" t="s">
        <v>20</v>
      </c>
      <c r="D374" t="s">
        <v>21</v>
      </c>
      <c r="E374">
        <v>50</v>
      </c>
      <c r="F374" t="s">
        <v>15</v>
      </c>
      <c r="G374">
        <v>165.28</v>
      </c>
      <c r="H374">
        <v>33</v>
      </c>
      <c r="I374" t="s">
        <v>22</v>
      </c>
      <c r="J374">
        <v>2.8</v>
      </c>
      <c r="K374" t="s">
        <v>17</v>
      </c>
      <c r="L374" t="s">
        <v>23</v>
      </c>
      <c r="M374" t="str">
        <f>VLOOKUP(D378,Restaurant_Master!A:B,2,FALSE)</f>
        <v>https://content.jdmagicbox.com/comp/deoria/g6/9999p5568.5568.200119143033.m4g6/catalogue/biryani-house-deoria-ho-deoria-mktc2xph0o.jpg</v>
      </c>
    </row>
    <row r="375" spans="1:13" x14ac:dyDescent="0.3">
      <c r="A375" t="s">
        <v>405</v>
      </c>
      <c r="B375" s="1">
        <v>45423</v>
      </c>
      <c r="C375" t="s">
        <v>43</v>
      </c>
      <c r="D375" t="s">
        <v>14</v>
      </c>
      <c r="E375">
        <v>48</v>
      </c>
      <c r="F375" t="s">
        <v>28</v>
      </c>
      <c r="G375">
        <v>860.52</v>
      </c>
      <c r="H375">
        <v>48</v>
      </c>
      <c r="I375" t="s">
        <v>16</v>
      </c>
      <c r="J375">
        <v>4.0999999999999996</v>
      </c>
      <c r="K375" t="s">
        <v>29</v>
      </c>
      <c r="L375" t="s">
        <v>23</v>
      </c>
      <c r="M375" t="str">
        <f>VLOOKUP(D379,Restaurant_Master!A:B,2,FALSE)</f>
        <v>https://dynamic-media-cdn.tripadvisor.com/media/photo-o/1c/e7/04/0d/front-of-the-local-easily.jpg</v>
      </c>
    </row>
    <row r="376" spans="1:13" x14ac:dyDescent="0.3">
      <c r="A376" t="s">
        <v>406</v>
      </c>
      <c r="B376" s="1">
        <v>45384</v>
      </c>
      <c r="C376" t="s">
        <v>36</v>
      </c>
      <c r="D376" t="s">
        <v>38</v>
      </c>
      <c r="E376">
        <v>39</v>
      </c>
      <c r="F376" t="s">
        <v>28</v>
      </c>
      <c r="G376">
        <v>1032.9000000000001</v>
      </c>
      <c r="H376">
        <v>60</v>
      </c>
      <c r="I376" t="s">
        <v>16</v>
      </c>
      <c r="J376">
        <v>3.3</v>
      </c>
      <c r="K376" t="s">
        <v>41</v>
      </c>
      <c r="L376" t="s">
        <v>18</v>
      </c>
      <c r="M376" t="str">
        <f>VLOOKUP(D380,Restaurant_Master!A:B,2,FALSE)</f>
        <v>https://www.chatswoodinterchange.com/storages/2018/08/Sushi-World_666x448.jpg</v>
      </c>
    </row>
    <row r="377" spans="1:13" x14ac:dyDescent="0.3">
      <c r="A377" t="s">
        <v>407</v>
      </c>
      <c r="B377" s="1">
        <v>45399</v>
      </c>
      <c r="C377" t="s">
        <v>34</v>
      </c>
      <c r="D377" t="s">
        <v>38</v>
      </c>
      <c r="E377">
        <v>42</v>
      </c>
      <c r="F377" t="s">
        <v>15</v>
      </c>
      <c r="G377">
        <v>1181.6500000000001</v>
      </c>
      <c r="H377">
        <v>26</v>
      </c>
      <c r="I377" t="s">
        <v>22</v>
      </c>
      <c r="J377">
        <v>4.3</v>
      </c>
      <c r="K377" t="s">
        <v>41</v>
      </c>
      <c r="L377" t="s">
        <v>23</v>
      </c>
      <c r="M377" t="str">
        <f>VLOOKUP(D381,Restaurant_Master!A:B,2,FALSE)</f>
        <v>https://dynamic-media-cdn.tripadvisor.com/media/photo-o/1c/e7/04/0d/front-of-the-local-easily.jpg</v>
      </c>
    </row>
    <row r="378" spans="1:13" x14ac:dyDescent="0.3">
      <c r="A378" t="s">
        <v>408</v>
      </c>
      <c r="B378" s="1">
        <v>45436</v>
      </c>
      <c r="C378" t="s">
        <v>34</v>
      </c>
      <c r="D378" t="s">
        <v>32</v>
      </c>
      <c r="E378">
        <v>26</v>
      </c>
      <c r="F378" t="s">
        <v>15</v>
      </c>
      <c r="G378">
        <v>1109.0999999999999</v>
      </c>
      <c r="H378">
        <v>47</v>
      </c>
      <c r="I378" t="s">
        <v>16</v>
      </c>
      <c r="J378">
        <v>2.5</v>
      </c>
      <c r="K378" t="s">
        <v>41</v>
      </c>
      <c r="L378" t="s">
        <v>23</v>
      </c>
      <c r="M378" t="str">
        <f>VLOOKUP(D382,Restaurant_Master!A:B,2,FALSE)</f>
        <v>https://dineout-media-assets.swiggy.com/swiggy/image/upload/fl_lossy,f_auto,q_auto/v1660793737/fdqxvxcxg1wtdwvyv45v.jpg</v>
      </c>
    </row>
    <row r="379" spans="1:13" x14ac:dyDescent="0.3">
      <c r="A379" t="s">
        <v>409</v>
      </c>
      <c r="B379" s="1">
        <v>45654</v>
      </c>
      <c r="C379" t="s">
        <v>43</v>
      </c>
      <c r="D379" t="s">
        <v>21</v>
      </c>
      <c r="E379">
        <v>41</v>
      </c>
      <c r="F379" t="s">
        <v>28</v>
      </c>
      <c r="G379">
        <v>230.85</v>
      </c>
      <c r="H379">
        <v>59</v>
      </c>
      <c r="I379" t="s">
        <v>16</v>
      </c>
      <c r="J379">
        <v>4.5</v>
      </c>
      <c r="K379" t="s">
        <v>26</v>
      </c>
      <c r="L379" t="s">
        <v>23</v>
      </c>
      <c r="M379" t="str">
        <f>VLOOKUP(D383,Restaurant_Master!A:B,2,FALSE)</f>
        <v>https://media-cdn.tripadvisor.com/media/photo-s/1c/c7/97/b6/photo6jpg.jpg</v>
      </c>
    </row>
    <row r="380" spans="1:13" x14ac:dyDescent="0.3">
      <c r="A380" t="s">
        <v>410</v>
      </c>
      <c r="B380" s="1">
        <v>45471</v>
      </c>
      <c r="C380" t="s">
        <v>36</v>
      </c>
      <c r="D380" t="s">
        <v>38</v>
      </c>
      <c r="E380">
        <v>47</v>
      </c>
      <c r="F380" t="s">
        <v>15</v>
      </c>
      <c r="G380">
        <v>968.71</v>
      </c>
      <c r="H380">
        <v>52</v>
      </c>
      <c r="I380" t="s">
        <v>16</v>
      </c>
      <c r="J380">
        <v>3.7</v>
      </c>
      <c r="K380" t="s">
        <v>17</v>
      </c>
      <c r="L380" t="s">
        <v>23</v>
      </c>
      <c r="M380" t="str">
        <f>VLOOKUP(D384,Restaurant_Master!A:B,2,FALSE)</f>
        <v>https://www.chatswoodinterchange.com/storages/2018/08/Sushi-World_666x448.jpg</v>
      </c>
    </row>
    <row r="381" spans="1:13" x14ac:dyDescent="0.3">
      <c r="A381" t="s">
        <v>411</v>
      </c>
      <c r="B381" s="1">
        <v>45450</v>
      </c>
      <c r="C381" t="s">
        <v>43</v>
      </c>
      <c r="D381" t="s">
        <v>21</v>
      </c>
      <c r="E381">
        <v>37</v>
      </c>
      <c r="F381" t="s">
        <v>15</v>
      </c>
      <c r="G381">
        <v>1168.6600000000001</v>
      </c>
      <c r="H381">
        <v>44</v>
      </c>
      <c r="I381" t="s">
        <v>16</v>
      </c>
      <c r="J381">
        <v>2.9</v>
      </c>
      <c r="K381" t="s">
        <v>41</v>
      </c>
      <c r="L381" t="s">
        <v>23</v>
      </c>
      <c r="M381" t="str">
        <f>VLOOKUP(D385,Restaurant_Master!A:B,2,FALSE)</f>
        <v>https://media-cdn.tripadvisor.com/media/photo-s/1c/c7/97/b6/photo6jpg.jpg</v>
      </c>
    </row>
    <row r="382" spans="1:13" x14ac:dyDescent="0.3">
      <c r="A382" t="s">
        <v>412</v>
      </c>
      <c r="B382" s="1">
        <v>45300</v>
      </c>
      <c r="C382" t="s">
        <v>34</v>
      </c>
      <c r="D382" t="s">
        <v>14</v>
      </c>
      <c r="E382">
        <v>41</v>
      </c>
      <c r="F382" t="s">
        <v>28</v>
      </c>
      <c r="G382">
        <v>478.31</v>
      </c>
      <c r="H382">
        <v>35</v>
      </c>
      <c r="I382" t="s">
        <v>22</v>
      </c>
      <c r="J382">
        <v>2.6</v>
      </c>
      <c r="K382" t="s">
        <v>41</v>
      </c>
      <c r="L382" t="s">
        <v>18</v>
      </c>
      <c r="M382" t="str">
        <f>VLOOKUP(D386,Restaurant_Master!A:B,2,FALSE)</f>
        <v>https://dineout-media-assets.swiggy.com/swiggy/image/upload/fl_lossy,f_auto,q_auto/v1660793737/fdqxvxcxg1wtdwvyv45v.jpg</v>
      </c>
    </row>
    <row r="383" spans="1:13" x14ac:dyDescent="0.3">
      <c r="A383" t="s">
        <v>413</v>
      </c>
      <c r="B383" s="1">
        <v>45511</v>
      </c>
      <c r="C383" t="s">
        <v>13</v>
      </c>
      <c r="D383" t="s">
        <v>25</v>
      </c>
      <c r="E383">
        <v>40</v>
      </c>
      <c r="F383" t="s">
        <v>15</v>
      </c>
      <c r="G383">
        <v>857.21</v>
      </c>
      <c r="H383">
        <v>22</v>
      </c>
      <c r="I383" t="s">
        <v>22</v>
      </c>
      <c r="J383">
        <v>4.5</v>
      </c>
      <c r="K383" t="s">
        <v>29</v>
      </c>
      <c r="L383" t="s">
        <v>18</v>
      </c>
      <c r="M383" t="str">
        <f>VLOOKUP(D387,Restaurant_Master!A:B,2,FALSE)</f>
        <v>https://dynamic-media-cdn.tripadvisor.com/media/photo-o/1c/e7/04/0d/front-of-the-local-easily.jpg</v>
      </c>
    </row>
    <row r="384" spans="1:13" x14ac:dyDescent="0.3">
      <c r="A384" t="s">
        <v>414</v>
      </c>
      <c r="B384" s="1">
        <v>45401</v>
      </c>
      <c r="C384" t="s">
        <v>13</v>
      </c>
      <c r="D384" t="s">
        <v>38</v>
      </c>
      <c r="E384">
        <v>37</v>
      </c>
      <c r="F384" t="s">
        <v>15</v>
      </c>
      <c r="G384">
        <v>731.83</v>
      </c>
      <c r="H384">
        <v>46</v>
      </c>
      <c r="I384" t="s">
        <v>16</v>
      </c>
      <c r="J384">
        <v>3.8</v>
      </c>
      <c r="K384" t="s">
        <v>17</v>
      </c>
      <c r="L384" t="s">
        <v>23</v>
      </c>
      <c r="M384" t="str">
        <f>VLOOKUP(D388,Restaurant_Master!A:B,2,FALSE)</f>
        <v>https://dynamic-media-cdn.tripadvisor.com/media/photo-o/1c/e7/04/0d/front-of-the-local-easily.jpg</v>
      </c>
    </row>
    <row r="385" spans="1:13" x14ac:dyDescent="0.3">
      <c r="A385" t="s">
        <v>415</v>
      </c>
      <c r="B385" s="1">
        <v>45596</v>
      </c>
      <c r="C385" t="s">
        <v>20</v>
      </c>
      <c r="D385" t="s">
        <v>25</v>
      </c>
      <c r="E385">
        <v>37</v>
      </c>
      <c r="F385" t="s">
        <v>15</v>
      </c>
      <c r="G385">
        <v>987.51</v>
      </c>
      <c r="H385">
        <v>52</v>
      </c>
      <c r="I385" t="s">
        <v>16</v>
      </c>
      <c r="J385">
        <v>4.8</v>
      </c>
      <c r="K385" t="s">
        <v>29</v>
      </c>
      <c r="L385" t="s">
        <v>23</v>
      </c>
      <c r="M385" t="str">
        <f>VLOOKUP(D389,Restaurant_Master!A:B,2,FALSE)</f>
        <v>https://dineout-media-assets.swiggy.com/swiggy/image/upload/fl_lossy,f_auto,q_auto/v1660793737/fdqxvxcxg1wtdwvyv45v.jpg</v>
      </c>
    </row>
    <row r="386" spans="1:13" x14ac:dyDescent="0.3">
      <c r="A386" t="s">
        <v>416</v>
      </c>
      <c r="B386" s="1">
        <v>45437</v>
      </c>
      <c r="C386" t="s">
        <v>20</v>
      </c>
      <c r="D386" t="s">
        <v>14</v>
      </c>
      <c r="E386">
        <v>23</v>
      </c>
      <c r="F386" t="s">
        <v>15</v>
      </c>
      <c r="G386">
        <v>564.01</v>
      </c>
      <c r="H386">
        <v>33</v>
      </c>
      <c r="I386" t="s">
        <v>22</v>
      </c>
      <c r="J386">
        <v>4</v>
      </c>
      <c r="K386" t="s">
        <v>17</v>
      </c>
      <c r="L386" t="s">
        <v>23</v>
      </c>
      <c r="M386" t="str">
        <f>VLOOKUP(D390,Restaurant_Master!A:B,2,FALSE)</f>
        <v>https://content.jdmagicbox.com/comp/deoria/g6/9999p5568.5568.200119143033.m4g6/catalogue/biryani-house-deoria-ho-deoria-mktc2xph0o.jpg</v>
      </c>
    </row>
    <row r="387" spans="1:13" x14ac:dyDescent="0.3">
      <c r="A387" t="s">
        <v>417</v>
      </c>
      <c r="B387" s="1">
        <v>45528</v>
      </c>
      <c r="C387" t="s">
        <v>34</v>
      </c>
      <c r="D387" t="s">
        <v>21</v>
      </c>
      <c r="E387">
        <v>34</v>
      </c>
      <c r="F387" t="s">
        <v>15</v>
      </c>
      <c r="G387">
        <v>522.91999999999996</v>
      </c>
      <c r="H387">
        <v>43</v>
      </c>
      <c r="I387" t="s">
        <v>16</v>
      </c>
      <c r="J387">
        <v>4.5</v>
      </c>
      <c r="K387" t="s">
        <v>17</v>
      </c>
      <c r="L387" t="s">
        <v>23</v>
      </c>
      <c r="M387" t="str">
        <f>VLOOKUP(D391,Restaurant_Master!A:B,2,FALSE)</f>
        <v>https://dineout-media-assets.swiggy.com/swiggy/image/upload/fl_lossy,f_auto,q_auto/v1660793737/fdqxvxcxg1wtdwvyv45v.jpg</v>
      </c>
    </row>
    <row r="388" spans="1:13" x14ac:dyDescent="0.3">
      <c r="A388" t="s">
        <v>418</v>
      </c>
      <c r="B388" s="1">
        <v>45315</v>
      </c>
      <c r="C388" t="s">
        <v>13</v>
      </c>
      <c r="D388" t="s">
        <v>21</v>
      </c>
      <c r="E388">
        <v>39</v>
      </c>
      <c r="F388" t="s">
        <v>28</v>
      </c>
      <c r="G388">
        <v>1002.23</v>
      </c>
      <c r="H388">
        <v>24</v>
      </c>
      <c r="I388" t="s">
        <v>22</v>
      </c>
      <c r="J388">
        <v>3.3</v>
      </c>
      <c r="K388" t="s">
        <v>29</v>
      </c>
      <c r="L388" t="s">
        <v>18</v>
      </c>
      <c r="M388" t="str">
        <f>VLOOKUP(D392,Restaurant_Master!A:B,2,FALSE)</f>
        <v>https://dineout-media-assets.swiggy.com/swiggy/image/upload/fl_lossy,f_auto,q_auto/v1660793737/fdqxvxcxg1wtdwvyv45v.jpg</v>
      </c>
    </row>
    <row r="389" spans="1:13" x14ac:dyDescent="0.3">
      <c r="A389" t="s">
        <v>419</v>
      </c>
      <c r="B389" s="1">
        <v>45603</v>
      </c>
      <c r="C389" t="s">
        <v>20</v>
      </c>
      <c r="D389" t="s">
        <v>14</v>
      </c>
      <c r="E389">
        <v>56</v>
      </c>
      <c r="F389" t="s">
        <v>15</v>
      </c>
      <c r="G389">
        <v>228.55</v>
      </c>
      <c r="H389">
        <v>41</v>
      </c>
      <c r="I389" t="s">
        <v>16</v>
      </c>
      <c r="J389">
        <v>3.5</v>
      </c>
      <c r="K389" t="s">
        <v>41</v>
      </c>
      <c r="L389" t="s">
        <v>23</v>
      </c>
      <c r="M389" t="str">
        <f>VLOOKUP(D393,Restaurant_Master!A:B,2,FALSE)</f>
        <v>https://dineout-media-assets.swiggy.com/swiggy/image/upload/fl_lossy,f_auto,q_auto/v1660793737/fdqxvxcxg1wtdwvyv45v.jpg</v>
      </c>
    </row>
    <row r="390" spans="1:13" x14ac:dyDescent="0.3">
      <c r="A390" t="s">
        <v>420</v>
      </c>
      <c r="B390" s="1">
        <v>45346</v>
      </c>
      <c r="C390" t="s">
        <v>36</v>
      </c>
      <c r="D390" t="s">
        <v>32</v>
      </c>
      <c r="E390">
        <v>28</v>
      </c>
      <c r="F390" t="s">
        <v>28</v>
      </c>
      <c r="G390">
        <v>398.97</v>
      </c>
      <c r="H390">
        <v>56</v>
      </c>
      <c r="I390" t="s">
        <v>16</v>
      </c>
      <c r="J390">
        <v>3.5</v>
      </c>
      <c r="K390" t="s">
        <v>29</v>
      </c>
      <c r="L390" t="s">
        <v>18</v>
      </c>
      <c r="M390" t="str">
        <f>VLOOKUP(D394,Restaurant_Master!A:B,2,FALSE)</f>
        <v>https://dynamic-media-cdn.tripadvisor.com/media/photo-o/1c/e7/04/0d/front-of-the-local-easily.jpg</v>
      </c>
    </row>
    <row r="391" spans="1:13" x14ac:dyDescent="0.3">
      <c r="A391" t="s">
        <v>421</v>
      </c>
      <c r="B391" s="1">
        <v>45445</v>
      </c>
      <c r="C391" t="s">
        <v>43</v>
      </c>
      <c r="D391" t="s">
        <v>14</v>
      </c>
      <c r="E391">
        <v>40</v>
      </c>
      <c r="F391" t="s">
        <v>15</v>
      </c>
      <c r="G391">
        <v>688.71</v>
      </c>
      <c r="H391">
        <v>42</v>
      </c>
      <c r="I391" t="s">
        <v>16</v>
      </c>
      <c r="J391">
        <v>3.2</v>
      </c>
      <c r="K391" t="s">
        <v>17</v>
      </c>
      <c r="L391" t="s">
        <v>23</v>
      </c>
      <c r="M391" t="str">
        <f>VLOOKUP(D395,Restaurant_Master!A:B,2,FALSE)</f>
        <v>https://content.jdmagicbox.com/comp/deoria/g6/9999p5568.5568.200119143033.m4g6/catalogue/biryani-house-deoria-ho-deoria-mktc2xph0o.jpg</v>
      </c>
    </row>
    <row r="392" spans="1:13" x14ac:dyDescent="0.3">
      <c r="A392" t="s">
        <v>422</v>
      </c>
      <c r="B392" s="1">
        <v>45558</v>
      </c>
      <c r="C392" t="s">
        <v>20</v>
      </c>
      <c r="D392" t="s">
        <v>14</v>
      </c>
      <c r="E392">
        <v>56</v>
      </c>
      <c r="F392" t="s">
        <v>15</v>
      </c>
      <c r="G392">
        <v>740.66</v>
      </c>
      <c r="H392">
        <v>55</v>
      </c>
      <c r="I392" t="s">
        <v>16</v>
      </c>
      <c r="J392">
        <v>3.7</v>
      </c>
      <c r="K392" t="s">
        <v>29</v>
      </c>
      <c r="L392" t="s">
        <v>23</v>
      </c>
      <c r="M392" t="str">
        <f>VLOOKUP(D396,Restaurant_Master!A:B,2,FALSE)</f>
        <v>https://www.chatswoodinterchange.com/storages/2018/08/Sushi-World_666x448.jpg</v>
      </c>
    </row>
    <row r="393" spans="1:13" x14ac:dyDescent="0.3">
      <c r="A393" t="s">
        <v>423</v>
      </c>
      <c r="B393" s="1">
        <v>45335</v>
      </c>
      <c r="C393" t="s">
        <v>34</v>
      </c>
      <c r="D393" t="s">
        <v>14</v>
      </c>
      <c r="E393">
        <v>21</v>
      </c>
      <c r="F393" t="s">
        <v>15</v>
      </c>
      <c r="G393">
        <v>1181.5999999999999</v>
      </c>
      <c r="H393">
        <v>22</v>
      </c>
      <c r="I393" t="s">
        <v>22</v>
      </c>
      <c r="J393">
        <v>3.1</v>
      </c>
      <c r="K393" t="s">
        <v>17</v>
      </c>
      <c r="L393" t="s">
        <v>18</v>
      </c>
      <c r="M393" t="str">
        <f>VLOOKUP(D397,Restaurant_Master!A:B,2,FALSE)</f>
        <v>https://media-cdn.tripadvisor.com/media/photo-s/1c/c7/97/b6/photo6jpg.jpg</v>
      </c>
    </row>
    <row r="394" spans="1:13" x14ac:dyDescent="0.3">
      <c r="A394" t="s">
        <v>424</v>
      </c>
      <c r="B394" s="1">
        <v>45404</v>
      </c>
      <c r="C394" t="s">
        <v>36</v>
      </c>
      <c r="D394" t="s">
        <v>21</v>
      </c>
      <c r="E394">
        <v>48</v>
      </c>
      <c r="F394" t="s">
        <v>15</v>
      </c>
      <c r="G394">
        <v>705.16</v>
      </c>
      <c r="H394">
        <v>29</v>
      </c>
      <c r="I394" t="s">
        <v>22</v>
      </c>
      <c r="J394">
        <v>4.5999999999999996</v>
      </c>
      <c r="K394" t="s">
        <v>26</v>
      </c>
      <c r="L394" t="s">
        <v>23</v>
      </c>
      <c r="M394" t="str">
        <f>VLOOKUP(D398,Restaurant_Master!A:B,2,FALSE)</f>
        <v>https://dineout-media-assets.swiggy.com/swiggy/image/upload/fl_lossy,f_auto,q_auto/v1660793737/fdqxvxcxg1wtdwvyv45v.jpg</v>
      </c>
    </row>
    <row r="395" spans="1:13" x14ac:dyDescent="0.3">
      <c r="A395" t="s">
        <v>425</v>
      </c>
      <c r="B395" s="1">
        <v>45539</v>
      </c>
      <c r="C395" t="s">
        <v>43</v>
      </c>
      <c r="D395" t="s">
        <v>32</v>
      </c>
      <c r="E395">
        <v>57</v>
      </c>
      <c r="F395" t="s">
        <v>15</v>
      </c>
      <c r="G395">
        <v>558.42999999999995</v>
      </c>
      <c r="H395">
        <v>47</v>
      </c>
      <c r="I395" t="s">
        <v>16</v>
      </c>
      <c r="J395">
        <v>3.2</v>
      </c>
      <c r="K395" t="s">
        <v>17</v>
      </c>
      <c r="L395" t="s">
        <v>23</v>
      </c>
      <c r="M395" t="str">
        <f>VLOOKUP(D399,Restaurant_Master!A:B,2,FALSE)</f>
        <v>https://dynamic-media-cdn.tripadvisor.com/media/photo-o/1c/e7/04/0d/front-of-the-local-easily.jpg</v>
      </c>
    </row>
    <row r="396" spans="1:13" x14ac:dyDescent="0.3">
      <c r="A396" t="s">
        <v>426</v>
      </c>
      <c r="B396" s="1">
        <v>45499</v>
      </c>
      <c r="C396" t="s">
        <v>20</v>
      </c>
      <c r="D396" t="s">
        <v>38</v>
      </c>
      <c r="E396">
        <v>37</v>
      </c>
      <c r="F396" t="s">
        <v>28</v>
      </c>
      <c r="G396">
        <v>638.21</v>
      </c>
      <c r="H396">
        <v>30</v>
      </c>
      <c r="I396" t="s">
        <v>22</v>
      </c>
      <c r="J396">
        <v>2.7</v>
      </c>
      <c r="K396" t="s">
        <v>26</v>
      </c>
      <c r="L396" t="s">
        <v>23</v>
      </c>
      <c r="M396" t="str">
        <f>VLOOKUP(D400,Restaurant_Master!A:B,2,FALSE)</f>
        <v>https://dynamic-media-cdn.tripadvisor.com/media/photo-o/1c/e7/04/0d/front-of-the-local-easily.jpg</v>
      </c>
    </row>
    <row r="397" spans="1:13" x14ac:dyDescent="0.3">
      <c r="A397" t="s">
        <v>427</v>
      </c>
      <c r="B397" s="1">
        <v>45358</v>
      </c>
      <c r="C397" t="s">
        <v>43</v>
      </c>
      <c r="D397" t="s">
        <v>25</v>
      </c>
      <c r="E397">
        <v>19</v>
      </c>
      <c r="F397" t="s">
        <v>15</v>
      </c>
      <c r="G397">
        <v>667.25</v>
      </c>
      <c r="H397">
        <v>23</v>
      </c>
      <c r="I397" t="s">
        <v>22</v>
      </c>
      <c r="J397">
        <v>4.4000000000000004</v>
      </c>
      <c r="K397" t="s">
        <v>17</v>
      </c>
      <c r="L397" t="s">
        <v>23</v>
      </c>
      <c r="M397" t="str">
        <f>VLOOKUP(D401,Restaurant_Master!A:B,2,FALSE)</f>
        <v>https://media-cdn.tripadvisor.com/media/photo-s/1c/c7/97/b6/photo6jpg.jpg</v>
      </c>
    </row>
    <row r="398" spans="1:13" x14ac:dyDescent="0.3">
      <c r="A398" t="s">
        <v>428</v>
      </c>
      <c r="B398" s="1">
        <v>45613</v>
      </c>
      <c r="C398" t="s">
        <v>34</v>
      </c>
      <c r="D398" t="s">
        <v>14</v>
      </c>
      <c r="E398">
        <v>45</v>
      </c>
      <c r="F398" t="s">
        <v>28</v>
      </c>
      <c r="G398">
        <v>447.1</v>
      </c>
      <c r="H398">
        <v>25</v>
      </c>
      <c r="I398" t="s">
        <v>22</v>
      </c>
      <c r="J398">
        <v>2.8</v>
      </c>
      <c r="K398" t="s">
        <v>26</v>
      </c>
      <c r="L398" t="s">
        <v>18</v>
      </c>
      <c r="M398" t="str">
        <f>VLOOKUP(D402,Restaurant_Master!A:B,2,FALSE)</f>
        <v>https://content.jdmagicbox.com/comp/deoria/g6/9999p5568.5568.200119143033.m4g6/catalogue/biryani-house-deoria-ho-deoria-mktc2xph0o.jpg</v>
      </c>
    </row>
    <row r="399" spans="1:13" x14ac:dyDescent="0.3">
      <c r="A399" t="s">
        <v>429</v>
      </c>
      <c r="B399" s="1">
        <v>45342</v>
      </c>
      <c r="C399" t="s">
        <v>34</v>
      </c>
      <c r="D399" t="s">
        <v>21</v>
      </c>
      <c r="E399">
        <v>50</v>
      </c>
      <c r="F399" t="s">
        <v>28</v>
      </c>
      <c r="G399">
        <v>583.12</v>
      </c>
      <c r="H399">
        <v>59</v>
      </c>
      <c r="I399" t="s">
        <v>16</v>
      </c>
      <c r="J399">
        <v>3.3</v>
      </c>
      <c r="K399" t="s">
        <v>26</v>
      </c>
      <c r="L399" t="s">
        <v>23</v>
      </c>
      <c r="M399" t="str">
        <f>VLOOKUP(D403,Restaurant_Master!A:B,2,FALSE)</f>
        <v>https://dineout-media-assets.swiggy.com/swiggy/image/upload/fl_lossy,f_auto,q_auto/v1660793737/fdqxvxcxg1wtdwvyv45v.jpg</v>
      </c>
    </row>
    <row r="400" spans="1:13" x14ac:dyDescent="0.3">
      <c r="A400" t="s">
        <v>430</v>
      </c>
      <c r="B400" s="1">
        <v>45549</v>
      </c>
      <c r="C400" t="s">
        <v>43</v>
      </c>
      <c r="D400" t="s">
        <v>21</v>
      </c>
      <c r="E400">
        <v>40</v>
      </c>
      <c r="F400" t="s">
        <v>28</v>
      </c>
      <c r="G400">
        <v>394.73</v>
      </c>
      <c r="H400">
        <v>40</v>
      </c>
      <c r="I400" t="s">
        <v>22</v>
      </c>
      <c r="J400">
        <v>3.7</v>
      </c>
      <c r="K400" t="s">
        <v>41</v>
      </c>
      <c r="L400" t="s">
        <v>18</v>
      </c>
      <c r="M400" t="str">
        <f>VLOOKUP(D404,Restaurant_Master!A:B,2,FALSE)</f>
        <v>https://content.jdmagicbox.com/comp/deoria/g6/9999p5568.5568.200119143033.m4g6/catalogue/biryani-house-deoria-ho-deoria-mktc2xph0o.jpg</v>
      </c>
    </row>
    <row r="401" spans="1:13" x14ac:dyDescent="0.3">
      <c r="A401" t="s">
        <v>431</v>
      </c>
      <c r="B401" s="1">
        <v>45418</v>
      </c>
      <c r="C401" t="s">
        <v>20</v>
      </c>
      <c r="D401" t="s">
        <v>25</v>
      </c>
      <c r="E401">
        <v>45</v>
      </c>
      <c r="F401" t="s">
        <v>15</v>
      </c>
      <c r="G401">
        <v>742.96</v>
      </c>
      <c r="H401">
        <v>57</v>
      </c>
      <c r="I401" t="s">
        <v>16</v>
      </c>
      <c r="J401">
        <v>3.7</v>
      </c>
      <c r="K401" t="s">
        <v>41</v>
      </c>
      <c r="L401" t="s">
        <v>18</v>
      </c>
      <c r="M401" t="str">
        <f>VLOOKUP(D405,Restaurant_Master!A:B,2,FALSE)</f>
        <v>https://content.jdmagicbox.com/comp/deoria/g6/9999p5568.5568.200119143033.m4g6/catalogue/biryani-house-deoria-ho-deoria-mktc2xph0o.jpg</v>
      </c>
    </row>
    <row r="402" spans="1:13" x14ac:dyDescent="0.3">
      <c r="A402" t="s">
        <v>432</v>
      </c>
      <c r="B402" s="1">
        <v>45424</v>
      </c>
      <c r="C402" t="s">
        <v>43</v>
      </c>
      <c r="D402" t="s">
        <v>32</v>
      </c>
      <c r="E402">
        <v>53</v>
      </c>
      <c r="F402" t="s">
        <v>15</v>
      </c>
      <c r="G402">
        <v>885.07</v>
      </c>
      <c r="H402">
        <v>34</v>
      </c>
      <c r="I402" t="s">
        <v>22</v>
      </c>
      <c r="J402">
        <v>2.5</v>
      </c>
      <c r="K402" t="s">
        <v>17</v>
      </c>
      <c r="L402" t="s">
        <v>18</v>
      </c>
      <c r="M402" t="str">
        <f>VLOOKUP(D406,Restaurant_Master!A:B,2,FALSE)</f>
        <v>https://media-cdn.tripadvisor.com/media/photo-s/1c/c7/97/b6/photo6jpg.jpg</v>
      </c>
    </row>
    <row r="403" spans="1:13" x14ac:dyDescent="0.3">
      <c r="A403" t="s">
        <v>433</v>
      </c>
      <c r="B403" s="1">
        <v>45472</v>
      </c>
      <c r="C403" t="s">
        <v>20</v>
      </c>
      <c r="D403" t="s">
        <v>14</v>
      </c>
      <c r="E403">
        <v>39</v>
      </c>
      <c r="F403" t="s">
        <v>28</v>
      </c>
      <c r="G403">
        <v>184.36</v>
      </c>
      <c r="H403">
        <v>56</v>
      </c>
      <c r="I403" t="s">
        <v>16</v>
      </c>
      <c r="J403">
        <v>4.8</v>
      </c>
      <c r="K403" t="s">
        <v>26</v>
      </c>
      <c r="L403" t="s">
        <v>23</v>
      </c>
      <c r="M403" t="str">
        <f>VLOOKUP(D407,Restaurant_Master!A:B,2,FALSE)</f>
        <v>https://content.jdmagicbox.com/comp/deoria/g6/9999p5568.5568.200119143033.m4g6/catalogue/biryani-house-deoria-ho-deoria-mktc2xph0o.jpg</v>
      </c>
    </row>
    <row r="404" spans="1:13" x14ac:dyDescent="0.3">
      <c r="A404" t="s">
        <v>434</v>
      </c>
      <c r="B404" s="1">
        <v>45571</v>
      </c>
      <c r="C404" t="s">
        <v>13</v>
      </c>
      <c r="D404" t="s">
        <v>32</v>
      </c>
      <c r="E404">
        <v>54</v>
      </c>
      <c r="F404" t="s">
        <v>15</v>
      </c>
      <c r="G404">
        <v>549.41</v>
      </c>
      <c r="H404">
        <v>35</v>
      </c>
      <c r="I404" t="s">
        <v>22</v>
      </c>
      <c r="J404">
        <v>2.8</v>
      </c>
      <c r="K404" t="s">
        <v>41</v>
      </c>
      <c r="L404" t="s">
        <v>18</v>
      </c>
      <c r="M404" t="str">
        <f>VLOOKUP(D408,Restaurant_Master!A:B,2,FALSE)</f>
        <v>https://dynamic-media-cdn.tripadvisor.com/media/photo-o/1c/e7/04/0d/front-of-the-local-easily.jpg</v>
      </c>
    </row>
    <row r="405" spans="1:13" x14ac:dyDescent="0.3">
      <c r="A405" t="s">
        <v>435</v>
      </c>
      <c r="B405" s="1">
        <v>45435</v>
      </c>
      <c r="C405" t="s">
        <v>43</v>
      </c>
      <c r="D405" t="s">
        <v>32</v>
      </c>
      <c r="E405">
        <v>22</v>
      </c>
      <c r="F405" t="s">
        <v>28</v>
      </c>
      <c r="G405">
        <v>575.09</v>
      </c>
      <c r="H405">
        <v>59</v>
      </c>
      <c r="I405" t="s">
        <v>16</v>
      </c>
      <c r="J405">
        <v>4.2</v>
      </c>
      <c r="K405" t="s">
        <v>29</v>
      </c>
      <c r="L405" t="s">
        <v>18</v>
      </c>
      <c r="M405" t="str">
        <f>VLOOKUP(D409,Restaurant_Master!A:B,2,FALSE)</f>
        <v>https://dynamic-media-cdn.tripadvisor.com/media/photo-o/1c/e7/04/0d/front-of-the-local-easily.jpg</v>
      </c>
    </row>
    <row r="406" spans="1:13" x14ac:dyDescent="0.3">
      <c r="A406" t="s">
        <v>436</v>
      </c>
      <c r="B406" s="1">
        <v>45521</v>
      </c>
      <c r="C406" t="s">
        <v>36</v>
      </c>
      <c r="D406" t="s">
        <v>25</v>
      </c>
      <c r="E406">
        <v>19</v>
      </c>
      <c r="F406" t="s">
        <v>15</v>
      </c>
      <c r="G406">
        <v>985.1</v>
      </c>
      <c r="H406">
        <v>33</v>
      </c>
      <c r="I406" t="s">
        <v>22</v>
      </c>
      <c r="J406">
        <v>3.5</v>
      </c>
      <c r="K406" t="s">
        <v>29</v>
      </c>
      <c r="L406" t="s">
        <v>23</v>
      </c>
      <c r="M406" t="str">
        <f>VLOOKUP(D410,Restaurant_Master!A:B,2,FALSE)</f>
        <v>https://dineout-media-assets.swiggy.com/swiggy/image/upload/fl_lossy,f_auto,q_auto/v1660793737/fdqxvxcxg1wtdwvyv45v.jpg</v>
      </c>
    </row>
    <row r="407" spans="1:13" x14ac:dyDescent="0.3">
      <c r="A407" t="s">
        <v>437</v>
      </c>
      <c r="B407" s="1">
        <v>45431</v>
      </c>
      <c r="C407" t="s">
        <v>36</v>
      </c>
      <c r="D407" t="s">
        <v>32</v>
      </c>
      <c r="E407">
        <v>30</v>
      </c>
      <c r="F407" t="s">
        <v>15</v>
      </c>
      <c r="G407">
        <v>919.7</v>
      </c>
      <c r="H407">
        <v>54</v>
      </c>
      <c r="I407" t="s">
        <v>16</v>
      </c>
      <c r="J407">
        <v>4.4000000000000004</v>
      </c>
      <c r="K407" t="s">
        <v>17</v>
      </c>
      <c r="L407" t="s">
        <v>18</v>
      </c>
      <c r="M407" t="str">
        <f>VLOOKUP(D411,Restaurant_Master!A:B,2,FALSE)</f>
        <v>https://content.jdmagicbox.com/comp/deoria/g6/9999p5568.5568.200119143033.m4g6/catalogue/biryani-house-deoria-ho-deoria-mktc2xph0o.jpg</v>
      </c>
    </row>
    <row r="408" spans="1:13" x14ac:dyDescent="0.3">
      <c r="A408" t="s">
        <v>438</v>
      </c>
      <c r="B408" s="1">
        <v>45317</v>
      </c>
      <c r="C408" t="s">
        <v>34</v>
      </c>
      <c r="D408" t="s">
        <v>21</v>
      </c>
      <c r="E408">
        <v>26</v>
      </c>
      <c r="F408" t="s">
        <v>15</v>
      </c>
      <c r="G408">
        <v>339.93</v>
      </c>
      <c r="H408">
        <v>46</v>
      </c>
      <c r="I408" t="s">
        <v>16</v>
      </c>
      <c r="J408">
        <v>3.4</v>
      </c>
      <c r="K408" t="s">
        <v>29</v>
      </c>
      <c r="L408" t="s">
        <v>23</v>
      </c>
      <c r="M408" t="str">
        <f>VLOOKUP(D412,Restaurant_Master!A:B,2,FALSE)</f>
        <v>https://content.jdmagicbox.com/comp/deoria/g6/9999p5568.5568.200119143033.m4g6/catalogue/biryani-house-deoria-ho-deoria-mktc2xph0o.jpg</v>
      </c>
    </row>
    <row r="409" spans="1:13" x14ac:dyDescent="0.3">
      <c r="A409" t="s">
        <v>439</v>
      </c>
      <c r="B409" s="1">
        <v>45651</v>
      </c>
      <c r="C409" t="s">
        <v>20</v>
      </c>
      <c r="D409" t="s">
        <v>21</v>
      </c>
      <c r="E409">
        <v>43</v>
      </c>
      <c r="F409" t="s">
        <v>28</v>
      </c>
      <c r="G409">
        <v>1018.96</v>
      </c>
      <c r="H409">
        <v>47</v>
      </c>
      <c r="I409" t="s">
        <v>16</v>
      </c>
      <c r="J409">
        <v>5</v>
      </c>
      <c r="K409" t="s">
        <v>17</v>
      </c>
      <c r="L409" t="s">
        <v>23</v>
      </c>
      <c r="M409" t="str">
        <f>VLOOKUP(D413,Restaurant_Master!A:B,2,FALSE)</f>
        <v>https://content.jdmagicbox.com/comp/deoria/g6/9999p5568.5568.200119143033.m4g6/catalogue/biryani-house-deoria-ho-deoria-mktc2xph0o.jpg</v>
      </c>
    </row>
    <row r="410" spans="1:13" x14ac:dyDescent="0.3">
      <c r="A410" t="s">
        <v>440</v>
      </c>
      <c r="B410" s="1">
        <v>45442</v>
      </c>
      <c r="C410" t="s">
        <v>20</v>
      </c>
      <c r="D410" t="s">
        <v>14</v>
      </c>
      <c r="E410">
        <v>34</v>
      </c>
      <c r="F410" t="s">
        <v>15</v>
      </c>
      <c r="G410">
        <v>971.66</v>
      </c>
      <c r="H410">
        <v>54</v>
      </c>
      <c r="I410" t="s">
        <v>16</v>
      </c>
      <c r="J410">
        <v>4</v>
      </c>
      <c r="K410" t="s">
        <v>41</v>
      </c>
      <c r="L410" t="s">
        <v>18</v>
      </c>
      <c r="M410" t="str">
        <f>VLOOKUP(D414,Restaurant_Master!A:B,2,FALSE)</f>
        <v>https://dynamic-media-cdn.tripadvisor.com/media/photo-o/1c/e7/04/0d/front-of-the-local-easily.jpg</v>
      </c>
    </row>
    <row r="411" spans="1:13" x14ac:dyDescent="0.3">
      <c r="A411" t="s">
        <v>441</v>
      </c>
      <c r="B411" s="1">
        <v>45391</v>
      </c>
      <c r="C411" t="s">
        <v>13</v>
      </c>
      <c r="D411" t="s">
        <v>32</v>
      </c>
      <c r="E411">
        <v>56</v>
      </c>
      <c r="F411" t="s">
        <v>15</v>
      </c>
      <c r="G411">
        <v>829.25</v>
      </c>
      <c r="H411">
        <v>28</v>
      </c>
      <c r="I411" t="s">
        <v>22</v>
      </c>
      <c r="J411">
        <v>2.9</v>
      </c>
      <c r="K411" t="s">
        <v>17</v>
      </c>
      <c r="L411" t="s">
        <v>23</v>
      </c>
      <c r="M411" t="str">
        <f>VLOOKUP(D415,Restaurant_Master!A:B,2,FALSE)</f>
        <v>https://dynamic-media-cdn.tripadvisor.com/media/photo-o/1c/e7/04/0d/front-of-the-local-easily.jpg</v>
      </c>
    </row>
    <row r="412" spans="1:13" x14ac:dyDescent="0.3">
      <c r="A412" t="s">
        <v>442</v>
      </c>
      <c r="B412" s="1">
        <v>45542</v>
      </c>
      <c r="C412" t="s">
        <v>36</v>
      </c>
      <c r="D412" t="s">
        <v>32</v>
      </c>
      <c r="E412">
        <v>59</v>
      </c>
      <c r="F412" t="s">
        <v>15</v>
      </c>
      <c r="G412">
        <v>807.55</v>
      </c>
      <c r="H412">
        <v>40</v>
      </c>
      <c r="I412" t="s">
        <v>22</v>
      </c>
      <c r="J412">
        <v>3.1</v>
      </c>
      <c r="K412" t="s">
        <v>41</v>
      </c>
      <c r="L412" t="s">
        <v>23</v>
      </c>
      <c r="M412" t="str">
        <f>VLOOKUP(D416,Restaurant_Master!A:B,2,FALSE)</f>
        <v>https://content.jdmagicbox.com/comp/deoria/g6/9999p5568.5568.200119143033.m4g6/catalogue/biryani-house-deoria-ho-deoria-mktc2xph0o.jpg</v>
      </c>
    </row>
    <row r="413" spans="1:13" x14ac:dyDescent="0.3">
      <c r="A413" t="s">
        <v>443</v>
      </c>
      <c r="B413" s="1">
        <v>45625</v>
      </c>
      <c r="C413" t="s">
        <v>36</v>
      </c>
      <c r="D413" t="s">
        <v>32</v>
      </c>
      <c r="E413">
        <v>49</v>
      </c>
      <c r="F413" t="s">
        <v>28</v>
      </c>
      <c r="G413">
        <v>399.95</v>
      </c>
      <c r="H413">
        <v>39</v>
      </c>
      <c r="I413" t="s">
        <v>22</v>
      </c>
      <c r="J413">
        <v>2.6</v>
      </c>
      <c r="K413" t="s">
        <v>29</v>
      </c>
      <c r="L413" t="s">
        <v>23</v>
      </c>
      <c r="M413" t="str">
        <f>VLOOKUP(D417,Restaurant_Master!A:B,2,FALSE)</f>
        <v>https://dynamic-media-cdn.tripadvisor.com/media/photo-o/1c/e7/04/0d/front-of-the-local-easily.jpg</v>
      </c>
    </row>
    <row r="414" spans="1:13" x14ac:dyDescent="0.3">
      <c r="A414" t="s">
        <v>444</v>
      </c>
      <c r="B414" s="1">
        <v>45321</v>
      </c>
      <c r="C414" t="s">
        <v>43</v>
      </c>
      <c r="D414" t="s">
        <v>21</v>
      </c>
      <c r="E414">
        <v>39</v>
      </c>
      <c r="F414" t="s">
        <v>15</v>
      </c>
      <c r="G414">
        <v>278.24</v>
      </c>
      <c r="H414">
        <v>25</v>
      </c>
      <c r="I414" t="s">
        <v>22</v>
      </c>
      <c r="J414">
        <v>4</v>
      </c>
      <c r="K414" t="s">
        <v>41</v>
      </c>
      <c r="L414" t="s">
        <v>18</v>
      </c>
      <c r="M414" t="str">
        <f>VLOOKUP(D418,Restaurant_Master!A:B,2,FALSE)</f>
        <v>https://dynamic-media-cdn.tripadvisor.com/media/photo-o/1c/e7/04/0d/front-of-the-local-easily.jpg</v>
      </c>
    </row>
    <row r="415" spans="1:13" x14ac:dyDescent="0.3">
      <c r="A415" t="s">
        <v>445</v>
      </c>
      <c r="B415" s="1">
        <v>45504</v>
      </c>
      <c r="C415" t="s">
        <v>34</v>
      </c>
      <c r="D415" t="s">
        <v>21</v>
      </c>
      <c r="E415">
        <v>39</v>
      </c>
      <c r="F415" t="s">
        <v>28</v>
      </c>
      <c r="G415">
        <v>476.23</v>
      </c>
      <c r="H415">
        <v>36</v>
      </c>
      <c r="I415" t="s">
        <v>22</v>
      </c>
      <c r="J415">
        <v>4.7</v>
      </c>
      <c r="K415" t="s">
        <v>29</v>
      </c>
      <c r="L415" t="s">
        <v>23</v>
      </c>
      <c r="M415" t="str">
        <f>VLOOKUP(D419,Restaurant_Master!A:B,2,FALSE)</f>
        <v>https://dynamic-media-cdn.tripadvisor.com/media/photo-o/1c/e7/04/0d/front-of-the-local-easily.jpg</v>
      </c>
    </row>
    <row r="416" spans="1:13" x14ac:dyDescent="0.3">
      <c r="A416" t="s">
        <v>446</v>
      </c>
      <c r="B416" s="1">
        <v>45314</v>
      </c>
      <c r="C416" t="s">
        <v>34</v>
      </c>
      <c r="D416" t="s">
        <v>32</v>
      </c>
      <c r="E416">
        <v>30</v>
      </c>
      <c r="F416" t="s">
        <v>15</v>
      </c>
      <c r="G416">
        <v>551.16</v>
      </c>
      <c r="H416">
        <v>60</v>
      </c>
      <c r="I416" t="s">
        <v>16</v>
      </c>
      <c r="J416">
        <v>3.1</v>
      </c>
      <c r="K416" t="s">
        <v>26</v>
      </c>
      <c r="L416" t="s">
        <v>23</v>
      </c>
      <c r="M416" t="str">
        <f>VLOOKUP(D420,Restaurant_Master!A:B,2,FALSE)</f>
        <v>https://media-cdn.tripadvisor.com/media/photo-s/1c/c7/97/b6/photo6jpg.jpg</v>
      </c>
    </row>
    <row r="417" spans="1:13" x14ac:dyDescent="0.3">
      <c r="A417" t="s">
        <v>447</v>
      </c>
      <c r="B417" s="1">
        <v>45466</v>
      </c>
      <c r="C417" t="s">
        <v>43</v>
      </c>
      <c r="D417" t="s">
        <v>21</v>
      </c>
      <c r="E417">
        <v>31</v>
      </c>
      <c r="F417" t="s">
        <v>28</v>
      </c>
      <c r="G417">
        <v>1173.47</v>
      </c>
      <c r="H417">
        <v>51</v>
      </c>
      <c r="I417" t="s">
        <v>16</v>
      </c>
      <c r="J417">
        <v>3.5</v>
      </c>
      <c r="K417" t="s">
        <v>41</v>
      </c>
      <c r="L417" t="s">
        <v>23</v>
      </c>
      <c r="M417" t="str">
        <f>VLOOKUP(D421,Restaurant_Master!A:B,2,FALSE)</f>
        <v>https://content.jdmagicbox.com/comp/deoria/g6/9999p5568.5568.200119143033.m4g6/catalogue/biryani-house-deoria-ho-deoria-mktc2xph0o.jpg</v>
      </c>
    </row>
    <row r="418" spans="1:13" x14ac:dyDescent="0.3">
      <c r="A418" t="s">
        <v>448</v>
      </c>
      <c r="B418" s="1">
        <v>45455</v>
      </c>
      <c r="C418" t="s">
        <v>13</v>
      </c>
      <c r="D418" t="s">
        <v>21</v>
      </c>
      <c r="E418">
        <v>21</v>
      </c>
      <c r="F418" t="s">
        <v>28</v>
      </c>
      <c r="G418">
        <v>404.26</v>
      </c>
      <c r="H418">
        <v>28</v>
      </c>
      <c r="I418" t="s">
        <v>22</v>
      </c>
      <c r="J418">
        <v>3.7</v>
      </c>
      <c r="K418" t="s">
        <v>17</v>
      </c>
      <c r="L418" t="s">
        <v>18</v>
      </c>
      <c r="M418" t="str">
        <f>VLOOKUP(D422,Restaurant_Master!A:B,2,FALSE)</f>
        <v>https://content.jdmagicbox.com/comp/deoria/g6/9999p5568.5568.200119143033.m4g6/catalogue/biryani-house-deoria-ho-deoria-mktc2xph0o.jpg</v>
      </c>
    </row>
    <row r="419" spans="1:13" x14ac:dyDescent="0.3">
      <c r="A419" t="s">
        <v>449</v>
      </c>
      <c r="B419" s="1">
        <v>45411</v>
      </c>
      <c r="C419" t="s">
        <v>36</v>
      </c>
      <c r="D419" t="s">
        <v>21</v>
      </c>
      <c r="E419">
        <v>59</v>
      </c>
      <c r="F419" t="s">
        <v>15</v>
      </c>
      <c r="G419">
        <v>426.88</v>
      </c>
      <c r="H419">
        <v>23</v>
      </c>
      <c r="I419" t="s">
        <v>22</v>
      </c>
      <c r="J419">
        <v>4.5999999999999996</v>
      </c>
      <c r="K419" t="s">
        <v>29</v>
      </c>
      <c r="L419" t="s">
        <v>18</v>
      </c>
      <c r="M419" t="str">
        <f>VLOOKUP(D423,Restaurant_Master!A:B,2,FALSE)</f>
        <v>https://media-cdn.tripadvisor.com/media/photo-s/1c/c7/97/b6/photo6jpg.jpg</v>
      </c>
    </row>
    <row r="420" spans="1:13" x14ac:dyDescent="0.3">
      <c r="A420" t="s">
        <v>450</v>
      </c>
      <c r="B420" s="1">
        <v>45592</v>
      </c>
      <c r="C420" t="s">
        <v>20</v>
      </c>
      <c r="D420" t="s">
        <v>25</v>
      </c>
      <c r="E420">
        <v>26</v>
      </c>
      <c r="F420" t="s">
        <v>28</v>
      </c>
      <c r="G420">
        <v>245.34</v>
      </c>
      <c r="H420">
        <v>57</v>
      </c>
      <c r="I420" t="s">
        <v>16</v>
      </c>
      <c r="J420">
        <v>3.2</v>
      </c>
      <c r="K420" t="s">
        <v>41</v>
      </c>
      <c r="L420" t="s">
        <v>23</v>
      </c>
      <c r="M420" t="str">
        <f>VLOOKUP(D424,Restaurant_Master!A:B,2,FALSE)</f>
        <v>https://www.chatswoodinterchange.com/storages/2018/08/Sushi-World_666x448.jpg</v>
      </c>
    </row>
    <row r="421" spans="1:13" x14ac:dyDescent="0.3">
      <c r="A421" t="s">
        <v>451</v>
      </c>
      <c r="B421" s="1">
        <v>45474</v>
      </c>
      <c r="C421" t="s">
        <v>34</v>
      </c>
      <c r="D421" t="s">
        <v>32</v>
      </c>
      <c r="E421">
        <v>44</v>
      </c>
      <c r="F421" t="s">
        <v>28</v>
      </c>
      <c r="G421">
        <v>546.39</v>
      </c>
      <c r="H421">
        <v>34</v>
      </c>
      <c r="I421" t="s">
        <v>22</v>
      </c>
      <c r="J421">
        <v>4.2</v>
      </c>
      <c r="K421" t="s">
        <v>26</v>
      </c>
      <c r="L421" t="s">
        <v>23</v>
      </c>
      <c r="M421" t="str">
        <f>VLOOKUP(D425,Restaurant_Master!A:B,2,FALSE)</f>
        <v>https://dineout-media-assets.swiggy.com/swiggy/image/upload/fl_lossy,f_auto,q_auto/v1660793737/fdqxvxcxg1wtdwvyv45v.jpg</v>
      </c>
    </row>
    <row r="422" spans="1:13" x14ac:dyDescent="0.3">
      <c r="A422" t="s">
        <v>452</v>
      </c>
      <c r="B422" s="1">
        <v>45374</v>
      </c>
      <c r="C422" t="s">
        <v>13</v>
      </c>
      <c r="D422" t="s">
        <v>32</v>
      </c>
      <c r="E422">
        <v>53</v>
      </c>
      <c r="F422" t="s">
        <v>28</v>
      </c>
      <c r="G422">
        <v>819.64</v>
      </c>
      <c r="H422">
        <v>54</v>
      </c>
      <c r="I422" t="s">
        <v>16</v>
      </c>
      <c r="J422">
        <v>3.7</v>
      </c>
      <c r="K422" t="s">
        <v>26</v>
      </c>
      <c r="L422" t="s">
        <v>23</v>
      </c>
      <c r="M422" t="str">
        <f>VLOOKUP(D426,Restaurant_Master!A:B,2,FALSE)</f>
        <v>https://dynamic-media-cdn.tripadvisor.com/media/photo-o/1c/e7/04/0d/front-of-the-local-easily.jpg</v>
      </c>
    </row>
    <row r="423" spans="1:13" x14ac:dyDescent="0.3">
      <c r="A423" t="s">
        <v>453</v>
      </c>
      <c r="B423" s="1">
        <v>45451</v>
      </c>
      <c r="C423" t="s">
        <v>43</v>
      </c>
      <c r="D423" t="s">
        <v>25</v>
      </c>
      <c r="E423">
        <v>54</v>
      </c>
      <c r="F423" t="s">
        <v>28</v>
      </c>
      <c r="G423">
        <v>324.48</v>
      </c>
      <c r="H423">
        <v>50</v>
      </c>
      <c r="I423" t="s">
        <v>16</v>
      </c>
      <c r="J423">
        <v>4.8</v>
      </c>
      <c r="K423" t="s">
        <v>17</v>
      </c>
      <c r="L423" t="s">
        <v>23</v>
      </c>
      <c r="M423" t="str">
        <f>VLOOKUP(D427,Restaurant_Master!A:B,2,FALSE)</f>
        <v>https://dynamic-media-cdn.tripadvisor.com/media/photo-o/1c/e7/04/0d/front-of-the-local-easily.jpg</v>
      </c>
    </row>
    <row r="424" spans="1:13" x14ac:dyDescent="0.3">
      <c r="A424" t="s">
        <v>454</v>
      </c>
      <c r="B424" s="1">
        <v>45613</v>
      </c>
      <c r="C424" t="s">
        <v>20</v>
      </c>
      <c r="D424" t="s">
        <v>38</v>
      </c>
      <c r="E424">
        <v>35</v>
      </c>
      <c r="F424" t="s">
        <v>15</v>
      </c>
      <c r="G424">
        <v>1006.52</v>
      </c>
      <c r="H424">
        <v>60</v>
      </c>
      <c r="I424" t="s">
        <v>16</v>
      </c>
      <c r="J424">
        <v>3.9</v>
      </c>
      <c r="K424" t="s">
        <v>26</v>
      </c>
      <c r="L424" t="s">
        <v>18</v>
      </c>
      <c r="M424" t="str">
        <f>VLOOKUP(D428,Restaurant_Master!A:B,2,FALSE)</f>
        <v>https://dynamic-media-cdn.tripadvisor.com/media/photo-o/1c/e7/04/0d/front-of-the-local-easily.jpg</v>
      </c>
    </row>
    <row r="425" spans="1:13" x14ac:dyDescent="0.3">
      <c r="A425" t="s">
        <v>455</v>
      </c>
      <c r="B425" s="1">
        <v>45293</v>
      </c>
      <c r="C425" t="s">
        <v>20</v>
      </c>
      <c r="D425" t="s">
        <v>14</v>
      </c>
      <c r="E425">
        <v>46</v>
      </c>
      <c r="F425" t="s">
        <v>15</v>
      </c>
      <c r="G425">
        <v>218.56</v>
      </c>
      <c r="H425">
        <v>53</v>
      </c>
      <c r="I425" t="s">
        <v>16</v>
      </c>
      <c r="J425">
        <v>3</v>
      </c>
      <c r="K425" t="s">
        <v>17</v>
      </c>
      <c r="L425" t="s">
        <v>23</v>
      </c>
      <c r="M425" t="str">
        <f>VLOOKUP(D429,Restaurant_Master!A:B,2,FALSE)</f>
        <v>https://media-cdn.tripadvisor.com/media/photo-s/1c/c7/97/b6/photo6jpg.jpg</v>
      </c>
    </row>
    <row r="426" spans="1:13" x14ac:dyDescent="0.3">
      <c r="A426" t="s">
        <v>456</v>
      </c>
      <c r="B426" s="1">
        <v>45517</v>
      </c>
      <c r="C426" t="s">
        <v>13</v>
      </c>
      <c r="D426" t="s">
        <v>21</v>
      </c>
      <c r="E426">
        <v>19</v>
      </c>
      <c r="F426" t="s">
        <v>28</v>
      </c>
      <c r="G426">
        <v>655.16999999999996</v>
      </c>
      <c r="H426">
        <v>34</v>
      </c>
      <c r="I426" t="s">
        <v>22</v>
      </c>
      <c r="J426">
        <v>3.2</v>
      </c>
      <c r="K426" t="s">
        <v>26</v>
      </c>
      <c r="L426" t="s">
        <v>23</v>
      </c>
      <c r="M426" t="str">
        <f>VLOOKUP(D430,Restaurant_Master!A:B,2,FALSE)</f>
        <v>https://content.jdmagicbox.com/comp/deoria/g6/9999p5568.5568.200119143033.m4g6/catalogue/biryani-house-deoria-ho-deoria-mktc2xph0o.jpg</v>
      </c>
    </row>
    <row r="427" spans="1:13" x14ac:dyDescent="0.3">
      <c r="A427" t="s">
        <v>457</v>
      </c>
      <c r="B427" s="1">
        <v>45428</v>
      </c>
      <c r="C427" t="s">
        <v>13</v>
      </c>
      <c r="D427" t="s">
        <v>21</v>
      </c>
      <c r="E427">
        <v>29</v>
      </c>
      <c r="F427" t="s">
        <v>28</v>
      </c>
      <c r="G427">
        <v>240.91</v>
      </c>
      <c r="H427">
        <v>54</v>
      </c>
      <c r="I427" t="s">
        <v>16</v>
      </c>
      <c r="J427">
        <v>4.0999999999999996</v>
      </c>
      <c r="K427" t="s">
        <v>17</v>
      </c>
      <c r="L427" t="s">
        <v>18</v>
      </c>
      <c r="M427" t="str">
        <f>VLOOKUP(D431,Restaurant_Master!A:B,2,FALSE)</f>
        <v>https://www.chatswoodinterchange.com/storages/2018/08/Sushi-World_666x448.jpg</v>
      </c>
    </row>
    <row r="428" spans="1:13" x14ac:dyDescent="0.3">
      <c r="A428" t="s">
        <v>458</v>
      </c>
      <c r="B428" s="1">
        <v>45427</v>
      </c>
      <c r="C428" t="s">
        <v>34</v>
      </c>
      <c r="D428" t="s">
        <v>21</v>
      </c>
      <c r="E428">
        <v>18</v>
      </c>
      <c r="F428" t="s">
        <v>28</v>
      </c>
      <c r="G428">
        <v>558.15</v>
      </c>
      <c r="H428">
        <v>24</v>
      </c>
      <c r="I428" t="s">
        <v>22</v>
      </c>
      <c r="J428">
        <v>3.1</v>
      </c>
      <c r="K428" t="s">
        <v>29</v>
      </c>
      <c r="L428" t="s">
        <v>18</v>
      </c>
      <c r="M428" t="str">
        <f>VLOOKUP(D432,Restaurant_Master!A:B,2,FALSE)</f>
        <v>https://www.chatswoodinterchange.com/storages/2018/08/Sushi-World_666x448.jpg</v>
      </c>
    </row>
    <row r="429" spans="1:13" x14ac:dyDescent="0.3">
      <c r="A429" t="s">
        <v>459</v>
      </c>
      <c r="B429" s="1">
        <v>45467</v>
      </c>
      <c r="C429" t="s">
        <v>34</v>
      </c>
      <c r="D429" t="s">
        <v>25</v>
      </c>
      <c r="E429">
        <v>32</v>
      </c>
      <c r="F429" t="s">
        <v>15</v>
      </c>
      <c r="G429">
        <v>685.21</v>
      </c>
      <c r="H429">
        <v>53</v>
      </c>
      <c r="I429" t="s">
        <v>16</v>
      </c>
      <c r="J429">
        <v>2.9</v>
      </c>
      <c r="K429" t="s">
        <v>26</v>
      </c>
      <c r="L429" t="s">
        <v>23</v>
      </c>
      <c r="M429" t="str">
        <f>VLOOKUP(D433,Restaurant_Master!A:B,2,FALSE)</f>
        <v>https://www.chatswoodinterchange.com/storages/2018/08/Sushi-World_666x448.jpg</v>
      </c>
    </row>
    <row r="430" spans="1:13" x14ac:dyDescent="0.3">
      <c r="A430" t="s">
        <v>460</v>
      </c>
      <c r="B430" s="1">
        <v>45344</v>
      </c>
      <c r="C430" t="s">
        <v>34</v>
      </c>
      <c r="D430" t="s">
        <v>32</v>
      </c>
      <c r="E430">
        <v>37</v>
      </c>
      <c r="F430" t="s">
        <v>15</v>
      </c>
      <c r="G430">
        <v>607.66999999999996</v>
      </c>
      <c r="H430">
        <v>55</v>
      </c>
      <c r="I430" t="s">
        <v>16</v>
      </c>
      <c r="J430">
        <v>3.2</v>
      </c>
      <c r="K430" t="s">
        <v>29</v>
      </c>
      <c r="L430" t="s">
        <v>23</v>
      </c>
      <c r="M430" t="str">
        <f>VLOOKUP(D434,Restaurant_Master!A:B,2,FALSE)</f>
        <v>https://dineout-media-assets.swiggy.com/swiggy/image/upload/fl_lossy,f_auto,q_auto/v1660793737/fdqxvxcxg1wtdwvyv45v.jpg</v>
      </c>
    </row>
    <row r="431" spans="1:13" x14ac:dyDescent="0.3">
      <c r="A431" t="s">
        <v>461</v>
      </c>
      <c r="B431" s="1">
        <v>45628</v>
      </c>
      <c r="C431" t="s">
        <v>34</v>
      </c>
      <c r="D431" t="s">
        <v>38</v>
      </c>
      <c r="E431">
        <v>35</v>
      </c>
      <c r="F431" t="s">
        <v>15</v>
      </c>
      <c r="G431">
        <v>872.27</v>
      </c>
      <c r="H431">
        <v>26</v>
      </c>
      <c r="I431" t="s">
        <v>22</v>
      </c>
      <c r="J431">
        <v>2.6</v>
      </c>
      <c r="K431" t="s">
        <v>26</v>
      </c>
      <c r="L431" t="s">
        <v>23</v>
      </c>
      <c r="M431" t="str">
        <f>VLOOKUP(D435,Restaurant_Master!A:B,2,FALSE)</f>
        <v>https://content.jdmagicbox.com/comp/deoria/g6/9999p5568.5568.200119143033.m4g6/catalogue/biryani-house-deoria-ho-deoria-mktc2xph0o.jpg</v>
      </c>
    </row>
    <row r="432" spans="1:13" x14ac:dyDescent="0.3">
      <c r="A432" t="s">
        <v>462</v>
      </c>
      <c r="B432" s="1">
        <v>45606</v>
      </c>
      <c r="C432" t="s">
        <v>20</v>
      </c>
      <c r="D432" t="s">
        <v>38</v>
      </c>
      <c r="E432">
        <v>33</v>
      </c>
      <c r="F432" t="s">
        <v>28</v>
      </c>
      <c r="G432">
        <v>263.56</v>
      </c>
      <c r="H432">
        <v>42</v>
      </c>
      <c r="I432" t="s">
        <v>16</v>
      </c>
      <c r="J432">
        <v>2.8</v>
      </c>
      <c r="K432" t="s">
        <v>26</v>
      </c>
      <c r="L432" t="s">
        <v>23</v>
      </c>
      <c r="M432" t="str">
        <f>VLOOKUP(D436,Restaurant_Master!A:B,2,FALSE)</f>
        <v>https://media-cdn.tripadvisor.com/media/photo-s/1c/c7/97/b6/photo6jpg.jpg</v>
      </c>
    </row>
    <row r="433" spans="1:13" x14ac:dyDescent="0.3">
      <c r="A433" t="s">
        <v>463</v>
      </c>
      <c r="B433" s="1">
        <v>45646</v>
      </c>
      <c r="C433" t="s">
        <v>13</v>
      </c>
      <c r="D433" t="s">
        <v>38</v>
      </c>
      <c r="E433">
        <v>50</v>
      </c>
      <c r="F433" t="s">
        <v>15</v>
      </c>
      <c r="G433">
        <v>481.76</v>
      </c>
      <c r="H433">
        <v>34</v>
      </c>
      <c r="I433" t="s">
        <v>22</v>
      </c>
      <c r="J433">
        <v>4.0999999999999996</v>
      </c>
      <c r="K433" t="s">
        <v>41</v>
      </c>
      <c r="L433" t="s">
        <v>23</v>
      </c>
      <c r="M433" t="str">
        <f>VLOOKUP(D437,Restaurant_Master!A:B,2,FALSE)</f>
        <v>https://dineout-media-assets.swiggy.com/swiggy/image/upload/fl_lossy,f_auto,q_auto/v1660793737/fdqxvxcxg1wtdwvyv45v.jpg</v>
      </c>
    </row>
    <row r="434" spans="1:13" x14ac:dyDescent="0.3">
      <c r="A434" t="s">
        <v>464</v>
      </c>
      <c r="B434" s="1">
        <v>45603</v>
      </c>
      <c r="C434" t="s">
        <v>20</v>
      </c>
      <c r="D434" t="s">
        <v>14</v>
      </c>
      <c r="E434">
        <v>23</v>
      </c>
      <c r="F434" t="s">
        <v>28</v>
      </c>
      <c r="G434">
        <v>277.37</v>
      </c>
      <c r="H434">
        <v>59</v>
      </c>
      <c r="I434" t="s">
        <v>16</v>
      </c>
      <c r="J434">
        <v>3.9</v>
      </c>
      <c r="K434" t="s">
        <v>17</v>
      </c>
      <c r="L434" t="s">
        <v>23</v>
      </c>
      <c r="M434" t="str">
        <f>VLOOKUP(D438,Restaurant_Master!A:B,2,FALSE)</f>
        <v>https://dynamic-media-cdn.tripadvisor.com/media/photo-o/1c/e7/04/0d/front-of-the-local-easily.jpg</v>
      </c>
    </row>
    <row r="435" spans="1:13" x14ac:dyDescent="0.3">
      <c r="A435" t="s">
        <v>465</v>
      </c>
      <c r="B435" s="1">
        <v>45427</v>
      </c>
      <c r="C435" t="s">
        <v>34</v>
      </c>
      <c r="D435" t="s">
        <v>32</v>
      </c>
      <c r="E435">
        <v>34</v>
      </c>
      <c r="F435" t="s">
        <v>28</v>
      </c>
      <c r="G435">
        <v>799.95</v>
      </c>
      <c r="H435">
        <v>36</v>
      </c>
      <c r="I435" t="s">
        <v>22</v>
      </c>
      <c r="J435">
        <v>4.9000000000000004</v>
      </c>
      <c r="K435" t="s">
        <v>26</v>
      </c>
      <c r="L435" t="s">
        <v>18</v>
      </c>
      <c r="M435" t="str">
        <f>VLOOKUP(D439,Restaurant_Master!A:B,2,FALSE)</f>
        <v>https://content.jdmagicbox.com/comp/deoria/g6/9999p5568.5568.200119143033.m4g6/catalogue/biryani-house-deoria-ho-deoria-mktc2xph0o.jpg</v>
      </c>
    </row>
    <row r="436" spans="1:13" x14ac:dyDescent="0.3">
      <c r="A436" t="s">
        <v>466</v>
      </c>
      <c r="B436" s="1">
        <v>45524</v>
      </c>
      <c r="C436" t="s">
        <v>13</v>
      </c>
      <c r="D436" t="s">
        <v>25</v>
      </c>
      <c r="E436">
        <v>54</v>
      </c>
      <c r="F436" t="s">
        <v>15</v>
      </c>
      <c r="G436">
        <v>833</v>
      </c>
      <c r="H436">
        <v>38</v>
      </c>
      <c r="I436" t="s">
        <v>22</v>
      </c>
      <c r="J436">
        <v>4.4000000000000004</v>
      </c>
      <c r="K436" t="s">
        <v>26</v>
      </c>
      <c r="L436" t="s">
        <v>23</v>
      </c>
      <c r="M436" t="str">
        <f>VLOOKUP(D440,Restaurant_Master!A:B,2,FALSE)</f>
        <v>https://www.chatswoodinterchange.com/storages/2018/08/Sushi-World_666x448.jpg</v>
      </c>
    </row>
    <row r="437" spans="1:13" x14ac:dyDescent="0.3">
      <c r="A437" t="s">
        <v>467</v>
      </c>
      <c r="B437" s="1">
        <v>45641</v>
      </c>
      <c r="C437" t="s">
        <v>20</v>
      </c>
      <c r="D437" t="s">
        <v>14</v>
      </c>
      <c r="E437">
        <v>55</v>
      </c>
      <c r="F437" t="s">
        <v>15</v>
      </c>
      <c r="G437">
        <v>209.31</v>
      </c>
      <c r="H437">
        <v>38</v>
      </c>
      <c r="I437" t="s">
        <v>22</v>
      </c>
      <c r="J437">
        <v>4.3</v>
      </c>
      <c r="K437" t="s">
        <v>26</v>
      </c>
      <c r="L437" t="s">
        <v>23</v>
      </c>
      <c r="M437" t="str">
        <f>VLOOKUP(D441,Restaurant_Master!A:B,2,FALSE)</f>
        <v>https://media-cdn.tripadvisor.com/media/photo-s/1c/c7/97/b6/photo6jpg.jpg</v>
      </c>
    </row>
    <row r="438" spans="1:13" x14ac:dyDescent="0.3">
      <c r="A438" t="s">
        <v>468</v>
      </c>
      <c r="B438" s="1">
        <v>45533</v>
      </c>
      <c r="C438" t="s">
        <v>34</v>
      </c>
      <c r="D438" t="s">
        <v>21</v>
      </c>
      <c r="E438">
        <v>30</v>
      </c>
      <c r="F438" t="s">
        <v>28</v>
      </c>
      <c r="G438">
        <v>690.22</v>
      </c>
      <c r="H438">
        <v>21</v>
      </c>
      <c r="I438" t="s">
        <v>22</v>
      </c>
      <c r="J438">
        <v>4.7</v>
      </c>
      <c r="K438" t="s">
        <v>26</v>
      </c>
      <c r="L438" t="s">
        <v>18</v>
      </c>
      <c r="M438" t="str">
        <f>VLOOKUP(D442,Restaurant_Master!A:B,2,FALSE)</f>
        <v>https://media-cdn.tripadvisor.com/media/photo-s/1c/c7/97/b6/photo6jpg.jpg</v>
      </c>
    </row>
    <row r="439" spans="1:13" x14ac:dyDescent="0.3">
      <c r="A439" t="s">
        <v>469</v>
      </c>
      <c r="B439" s="1">
        <v>45574</v>
      </c>
      <c r="C439" t="s">
        <v>36</v>
      </c>
      <c r="D439" t="s">
        <v>32</v>
      </c>
      <c r="E439">
        <v>59</v>
      </c>
      <c r="F439" t="s">
        <v>15</v>
      </c>
      <c r="G439">
        <v>1079.0999999999999</v>
      </c>
      <c r="H439">
        <v>43</v>
      </c>
      <c r="I439" t="s">
        <v>16</v>
      </c>
      <c r="J439">
        <v>4.3</v>
      </c>
      <c r="K439" t="s">
        <v>17</v>
      </c>
      <c r="L439" t="s">
        <v>18</v>
      </c>
      <c r="M439" t="str">
        <f>VLOOKUP(D443,Restaurant_Master!A:B,2,FALSE)</f>
        <v>https://content.jdmagicbox.com/comp/deoria/g6/9999p5568.5568.200119143033.m4g6/catalogue/biryani-house-deoria-ho-deoria-mktc2xph0o.jpg</v>
      </c>
    </row>
    <row r="440" spans="1:13" x14ac:dyDescent="0.3">
      <c r="A440" t="s">
        <v>470</v>
      </c>
      <c r="B440" s="1">
        <v>45478</v>
      </c>
      <c r="C440" t="s">
        <v>13</v>
      </c>
      <c r="D440" t="s">
        <v>38</v>
      </c>
      <c r="E440">
        <v>37</v>
      </c>
      <c r="F440" t="s">
        <v>28</v>
      </c>
      <c r="G440">
        <v>611.17999999999995</v>
      </c>
      <c r="H440">
        <v>42</v>
      </c>
      <c r="I440" t="s">
        <v>16</v>
      </c>
      <c r="J440">
        <v>3.9</v>
      </c>
      <c r="K440" t="s">
        <v>29</v>
      </c>
      <c r="L440" t="s">
        <v>18</v>
      </c>
      <c r="M440" t="str">
        <f>VLOOKUP(D444,Restaurant_Master!A:B,2,FALSE)</f>
        <v>https://www.chatswoodinterchange.com/storages/2018/08/Sushi-World_666x448.jpg</v>
      </c>
    </row>
    <row r="441" spans="1:13" x14ac:dyDescent="0.3">
      <c r="A441" t="s">
        <v>471</v>
      </c>
      <c r="B441" s="1">
        <v>45356</v>
      </c>
      <c r="C441" t="s">
        <v>13</v>
      </c>
      <c r="D441" t="s">
        <v>25</v>
      </c>
      <c r="E441">
        <v>33</v>
      </c>
      <c r="F441" t="s">
        <v>15</v>
      </c>
      <c r="G441">
        <v>595.04999999999995</v>
      </c>
      <c r="H441">
        <v>20</v>
      </c>
      <c r="I441" t="s">
        <v>22</v>
      </c>
      <c r="J441">
        <v>3</v>
      </c>
      <c r="K441" t="s">
        <v>17</v>
      </c>
      <c r="L441" t="s">
        <v>18</v>
      </c>
      <c r="M441" t="str">
        <f>VLOOKUP(D445,Restaurant_Master!A:B,2,FALSE)</f>
        <v>https://www.chatswoodinterchange.com/storages/2018/08/Sushi-World_666x448.jpg</v>
      </c>
    </row>
    <row r="442" spans="1:13" x14ac:dyDescent="0.3">
      <c r="A442" t="s">
        <v>472</v>
      </c>
      <c r="B442" s="1">
        <v>45423</v>
      </c>
      <c r="C442" t="s">
        <v>20</v>
      </c>
      <c r="D442" t="s">
        <v>25</v>
      </c>
      <c r="E442">
        <v>19</v>
      </c>
      <c r="F442" t="s">
        <v>28</v>
      </c>
      <c r="G442">
        <v>541.15</v>
      </c>
      <c r="H442">
        <v>48</v>
      </c>
      <c r="I442" t="s">
        <v>16</v>
      </c>
      <c r="J442">
        <v>4.7</v>
      </c>
      <c r="K442" t="s">
        <v>26</v>
      </c>
      <c r="L442" t="s">
        <v>23</v>
      </c>
      <c r="M442" t="str">
        <f>VLOOKUP(D446,Restaurant_Master!A:B,2,FALSE)</f>
        <v>https://media-cdn.tripadvisor.com/media/photo-s/1c/c7/97/b6/photo6jpg.jpg</v>
      </c>
    </row>
    <row r="443" spans="1:13" x14ac:dyDescent="0.3">
      <c r="A443" t="s">
        <v>473</v>
      </c>
      <c r="B443" s="1">
        <v>45646</v>
      </c>
      <c r="C443" t="s">
        <v>13</v>
      </c>
      <c r="D443" t="s">
        <v>32</v>
      </c>
      <c r="E443">
        <v>23</v>
      </c>
      <c r="F443" t="s">
        <v>15</v>
      </c>
      <c r="G443">
        <v>847.4</v>
      </c>
      <c r="H443">
        <v>47</v>
      </c>
      <c r="I443" t="s">
        <v>16</v>
      </c>
      <c r="J443">
        <v>4.0999999999999996</v>
      </c>
      <c r="K443" t="s">
        <v>29</v>
      </c>
      <c r="L443" t="s">
        <v>23</v>
      </c>
      <c r="M443" t="str">
        <f>VLOOKUP(D447,Restaurant_Master!A:B,2,FALSE)</f>
        <v>https://media-cdn.tripadvisor.com/media/photo-s/1c/c7/97/b6/photo6jpg.jpg</v>
      </c>
    </row>
    <row r="444" spans="1:13" x14ac:dyDescent="0.3">
      <c r="A444" t="s">
        <v>474</v>
      </c>
      <c r="B444" s="1">
        <v>45610</v>
      </c>
      <c r="C444" t="s">
        <v>36</v>
      </c>
      <c r="D444" t="s">
        <v>38</v>
      </c>
      <c r="E444">
        <v>50</v>
      </c>
      <c r="F444" t="s">
        <v>15</v>
      </c>
      <c r="G444">
        <v>221.91</v>
      </c>
      <c r="H444">
        <v>42</v>
      </c>
      <c r="I444" t="s">
        <v>16</v>
      </c>
      <c r="J444">
        <v>3.9</v>
      </c>
      <c r="K444" t="s">
        <v>29</v>
      </c>
      <c r="L444" t="s">
        <v>18</v>
      </c>
      <c r="M444" t="str">
        <f>VLOOKUP(D448,Restaurant_Master!A:B,2,FALSE)</f>
        <v>https://dineout-media-assets.swiggy.com/swiggy/image/upload/fl_lossy,f_auto,q_auto/v1660793737/fdqxvxcxg1wtdwvyv45v.jpg</v>
      </c>
    </row>
    <row r="445" spans="1:13" x14ac:dyDescent="0.3">
      <c r="A445" t="s">
        <v>475</v>
      </c>
      <c r="B445" s="1">
        <v>45496</v>
      </c>
      <c r="C445" t="s">
        <v>36</v>
      </c>
      <c r="D445" t="s">
        <v>38</v>
      </c>
      <c r="E445">
        <v>52</v>
      </c>
      <c r="F445" t="s">
        <v>15</v>
      </c>
      <c r="G445">
        <v>816.34</v>
      </c>
      <c r="H445">
        <v>55</v>
      </c>
      <c r="I445" t="s">
        <v>16</v>
      </c>
      <c r="J445">
        <v>2.8</v>
      </c>
      <c r="K445" t="s">
        <v>26</v>
      </c>
      <c r="L445" t="s">
        <v>18</v>
      </c>
      <c r="M445" t="str">
        <f>VLOOKUP(D449,Restaurant_Master!A:B,2,FALSE)</f>
        <v>https://www.chatswoodinterchange.com/storages/2018/08/Sushi-World_666x448.jpg</v>
      </c>
    </row>
    <row r="446" spans="1:13" x14ac:dyDescent="0.3">
      <c r="A446" t="s">
        <v>476</v>
      </c>
      <c r="B446" s="1">
        <v>45630</v>
      </c>
      <c r="C446" t="s">
        <v>34</v>
      </c>
      <c r="D446" t="s">
        <v>25</v>
      </c>
      <c r="E446">
        <v>58</v>
      </c>
      <c r="F446" t="s">
        <v>15</v>
      </c>
      <c r="G446">
        <v>389.39</v>
      </c>
      <c r="H446">
        <v>34</v>
      </c>
      <c r="I446" t="s">
        <v>22</v>
      </c>
      <c r="J446">
        <v>4.5</v>
      </c>
      <c r="K446" t="s">
        <v>41</v>
      </c>
      <c r="L446" t="s">
        <v>18</v>
      </c>
      <c r="M446" t="str">
        <f>VLOOKUP(D450,Restaurant_Master!A:B,2,FALSE)</f>
        <v>https://dynamic-media-cdn.tripadvisor.com/media/photo-o/1c/e7/04/0d/front-of-the-local-easily.jpg</v>
      </c>
    </row>
    <row r="447" spans="1:13" x14ac:dyDescent="0.3">
      <c r="A447" t="s">
        <v>477</v>
      </c>
      <c r="B447" s="1">
        <v>45319</v>
      </c>
      <c r="C447" t="s">
        <v>20</v>
      </c>
      <c r="D447" t="s">
        <v>25</v>
      </c>
      <c r="E447">
        <v>24</v>
      </c>
      <c r="F447" t="s">
        <v>15</v>
      </c>
      <c r="G447">
        <v>993.62</v>
      </c>
      <c r="H447">
        <v>42</v>
      </c>
      <c r="I447" t="s">
        <v>16</v>
      </c>
      <c r="J447">
        <v>3.2</v>
      </c>
      <c r="K447" t="s">
        <v>26</v>
      </c>
      <c r="L447" t="s">
        <v>23</v>
      </c>
      <c r="M447" t="str">
        <f>VLOOKUP(D451,Restaurant_Master!A:B,2,FALSE)</f>
        <v>https://dineout-media-assets.swiggy.com/swiggy/image/upload/fl_lossy,f_auto,q_auto/v1660793737/fdqxvxcxg1wtdwvyv45v.jpg</v>
      </c>
    </row>
    <row r="448" spans="1:13" x14ac:dyDescent="0.3">
      <c r="A448" t="s">
        <v>478</v>
      </c>
      <c r="B448" s="1">
        <v>45422</v>
      </c>
      <c r="C448" t="s">
        <v>36</v>
      </c>
      <c r="D448" t="s">
        <v>14</v>
      </c>
      <c r="E448">
        <v>49</v>
      </c>
      <c r="F448" t="s">
        <v>15</v>
      </c>
      <c r="G448">
        <v>186.97</v>
      </c>
      <c r="H448">
        <v>58</v>
      </c>
      <c r="I448" t="s">
        <v>16</v>
      </c>
      <c r="J448">
        <v>4.9000000000000004</v>
      </c>
      <c r="K448" t="s">
        <v>17</v>
      </c>
      <c r="L448" t="s">
        <v>23</v>
      </c>
      <c r="M448" t="str">
        <f>VLOOKUP(D452,Restaurant_Master!A:B,2,FALSE)</f>
        <v>https://dynamic-media-cdn.tripadvisor.com/media/photo-o/1c/e7/04/0d/front-of-the-local-easily.jpg</v>
      </c>
    </row>
    <row r="449" spans="1:13" x14ac:dyDescent="0.3">
      <c r="A449" t="s">
        <v>479</v>
      </c>
      <c r="B449" s="1">
        <v>45486</v>
      </c>
      <c r="C449" t="s">
        <v>43</v>
      </c>
      <c r="D449" t="s">
        <v>38</v>
      </c>
      <c r="E449">
        <v>38</v>
      </c>
      <c r="F449" t="s">
        <v>15</v>
      </c>
      <c r="G449">
        <v>815.16</v>
      </c>
      <c r="H449">
        <v>42</v>
      </c>
      <c r="I449" t="s">
        <v>16</v>
      </c>
      <c r="J449">
        <v>3.8</v>
      </c>
      <c r="K449" t="s">
        <v>17</v>
      </c>
      <c r="L449" t="s">
        <v>18</v>
      </c>
      <c r="M449" t="str">
        <f>VLOOKUP(D453,Restaurant_Master!A:B,2,FALSE)</f>
        <v>https://media-cdn.tripadvisor.com/media/photo-s/1c/c7/97/b6/photo6jpg.jpg</v>
      </c>
    </row>
    <row r="450" spans="1:13" x14ac:dyDescent="0.3">
      <c r="A450" t="s">
        <v>480</v>
      </c>
      <c r="B450" s="1">
        <v>45458</v>
      </c>
      <c r="C450" t="s">
        <v>13</v>
      </c>
      <c r="D450" t="s">
        <v>21</v>
      </c>
      <c r="E450">
        <v>35</v>
      </c>
      <c r="F450" t="s">
        <v>28</v>
      </c>
      <c r="G450">
        <v>519.27</v>
      </c>
      <c r="H450">
        <v>36</v>
      </c>
      <c r="I450" t="s">
        <v>22</v>
      </c>
      <c r="J450">
        <v>2.8</v>
      </c>
      <c r="K450" t="s">
        <v>26</v>
      </c>
      <c r="L450" t="s">
        <v>23</v>
      </c>
      <c r="M450" t="str">
        <f>VLOOKUP(D454,Restaurant_Master!A:B,2,FALSE)</f>
        <v>https://dynamic-media-cdn.tripadvisor.com/media/photo-o/1c/e7/04/0d/front-of-the-local-easily.jpg</v>
      </c>
    </row>
    <row r="451" spans="1:13" x14ac:dyDescent="0.3">
      <c r="A451" t="s">
        <v>481</v>
      </c>
      <c r="B451" s="1">
        <v>45359</v>
      </c>
      <c r="C451" t="s">
        <v>43</v>
      </c>
      <c r="D451" t="s">
        <v>14</v>
      </c>
      <c r="E451">
        <v>25</v>
      </c>
      <c r="F451" t="s">
        <v>15</v>
      </c>
      <c r="G451">
        <v>233.15</v>
      </c>
      <c r="H451">
        <v>25</v>
      </c>
      <c r="I451" t="s">
        <v>22</v>
      </c>
      <c r="J451">
        <v>2.9</v>
      </c>
      <c r="K451" t="s">
        <v>26</v>
      </c>
      <c r="L451" t="s">
        <v>23</v>
      </c>
      <c r="M451" t="str">
        <f>VLOOKUP(D455,Restaurant_Master!A:B,2,FALSE)</f>
        <v>https://www.chatswoodinterchange.com/storages/2018/08/Sushi-World_666x448.jpg</v>
      </c>
    </row>
    <row r="452" spans="1:13" x14ac:dyDescent="0.3">
      <c r="A452" t="s">
        <v>482</v>
      </c>
      <c r="B452" s="1">
        <v>45458</v>
      </c>
      <c r="C452" t="s">
        <v>20</v>
      </c>
      <c r="D452" t="s">
        <v>21</v>
      </c>
      <c r="E452">
        <v>30</v>
      </c>
      <c r="F452" t="s">
        <v>28</v>
      </c>
      <c r="G452">
        <v>968.63</v>
      </c>
      <c r="H452">
        <v>21</v>
      </c>
      <c r="I452" t="s">
        <v>22</v>
      </c>
      <c r="J452">
        <v>4.9000000000000004</v>
      </c>
      <c r="K452" t="s">
        <v>41</v>
      </c>
      <c r="L452" t="s">
        <v>23</v>
      </c>
      <c r="M452" t="str">
        <f>VLOOKUP(D456,Restaurant_Master!A:B,2,FALSE)</f>
        <v>https://dineout-media-assets.swiggy.com/swiggy/image/upload/fl_lossy,f_auto,q_auto/v1660793737/fdqxvxcxg1wtdwvyv45v.jpg</v>
      </c>
    </row>
    <row r="453" spans="1:13" x14ac:dyDescent="0.3">
      <c r="A453" t="s">
        <v>483</v>
      </c>
      <c r="B453" s="1">
        <v>45437</v>
      </c>
      <c r="C453" t="s">
        <v>13</v>
      </c>
      <c r="D453" t="s">
        <v>25</v>
      </c>
      <c r="E453">
        <v>42</v>
      </c>
      <c r="F453" t="s">
        <v>15</v>
      </c>
      <c r="G453">
        <v>771.36</v>
      </c>
      <c r="H453">
        <v>32</v>
      </c>
      <c r="I453" t="s">
        <v>22</v>
      </c>
      <c r="J453">
        <v>3.5</v>
      </c>
      <c r="K453" t="s">
        <v>26</v>
      </c>
      <c r="L453" t="s">
        <v>18</v>
      </c>
      <c r="M453" t="str">
        <f>VLOOKUP(D457,Restaurant_Master!A:B,2,FALSE)</f>
        <v>https://dynamic-media-cdn.tripadvisor.com/media/photo-o/1c/e7/04/0d/front-of-the-local-easily.jpg</v>
      </c>
    </row>
    <row r="454" spans="1:13" x14ac:dyDescent="0.3">
      <c r="A454" t="s">
        <v>484</v>
      </c>
      <c r="B454" s="1">
        <v>45299</v>
      </c>
      <c r="C454" t="s">
        <v>43</v>
      </c>
      <c r="D454" t="s">
        <v>21</v>
      </c>
      <c r="E454">
        <v>25</v>
      </c>
      <c r="F454" t="s">
        <v>28</v>
      </c>
      <c r="G454">
        <v>848.1</v>
      </c>
      <c r="H454">
        <v>44</v>
      </c>
      <c r="I454" t="s">
        <v>16</v>
      </c>
      <c r="J454">
        <v>4.5999999999999996</v>
      </c>
      <c r="K454" t="s">
        <v>17</v>
      </c>
      <c r="L454" t="s">
        <v>18</v>
      </c>
      <c r="M454" t="str">
        <f>VLOOKUP(D458,Restaurant_Master!A:B,2,FALSE)</f>
        <v>https://media-cdn.tripadvisor.com/media/photo-s/1c/c7/97/b6/photo6jpg.jpg</v>
      </c>
    </row>
    <row r="455" spans="1:13" x14ac:dyDescent="0.3">
      <c r="A455" t="s">
        <v>485</v>
      </c>
      <c r="B455" s="1">
        <v>45583</v>
      </c>
      <c r="C455" t="s">
        <v>43</v>
      </c>
      <c r="D455" t="s">
        <v>38</v>
      </c>
      <c r="E455">
        <v>36</v>
      </c>
      <c r="F455" t="s">
        <v>28</v>
      </c>
      <c r="G455">
        <v>1017.47</v>
      </c>
      <c r="H455">
        <v>24</v>
      </c>
      <c r="I455" t="s">
        <v>22</v>
      </c>
      <c r="J455">
        <v>2.8</v>
      </c>
      <c r="K455" t="s">
        <v>41</v>
      </c>
      <c r="L455" t="s">
        <v>18</v>
      </c>
      <c r="M455" t="str">
        <f>VLOOKUP(D459,Restaurant_Master!A:B,2,FALSE)</f>
        <v>https://dynamic-media-cdn.tripadvisor.com/media/photo-o/1c/e7/04/0d/front-of-the-local-easily.jpg</v>
      </c>
    </row>
    <row r="456" spans="1:13" x14ac:dyDescent="0.3">
      <c r="A456" t="s">
        <v>486</v>
      </c>
      <c r="B456" s="1">
        <v>45313</v>
      </c>
      <c r="C456" t="s">
        <v>43</v>
      </c>
      <c r="D456" t="s">
        <v>14</v>
      </c>
      <c r="E456">
        <v>23</v>
      </c>
      <c r="F456" t="s">
        <v>28</v>
      </c>
      <c r="G456">
        <v>680.31</v>
      </c>
      <c r="H456">
        <v>40</v>
      </c>
      <c r="I456" t="s">
        <v>22</v>
      </c>
      <c r="J456">
        <v>4</v>
      </c>
      <c r="K456" t="s">
        <v>29</v>
      </c>
      <c r="L456" t="s">
        <v>23</v>
      </c>
      <c r="M456" t="str">
        <f>VLOOKUP(D460,Restaurant_Master!A:B,2,FALSE)</f>
        <v>https://media-cdn.tripadvisor.com/media/photo-s/1c/c7/97/b6/photo6jpg.jpg</v>
      </c>
    </row>
    <row r="457" spans="1:13" x14ac:dyDescent="0.3">
      <c r="A457" t="s">
        <v>487</v>
      </c>
      <c r="B457" s="1">
        <v>45603</v>
      </c>
      <c r="C457" t="s">
        <v>36</v>
      </c>
      <c r="D457" t="s">
        <v>21</v>
      </c>
      <c r="E457">
        <v>55</v>
      </c>
      <c r="F457" t="s">
        <v>28</v>
      </c>
      <c r="G457">
        <v>768.06</v>
      </c>
      <c r="H457">
        <v>48</v>
      </c>
      <c r="I457" t="s">
        <v>16</v>
      </c>
      <c r="J457">
        <v>4.0999999999999996</v>
      </c>
      <c r="K457" t="s">
        <v>41</v>
      </c>
      <c r="L457" t="s">
        <v>23</v>
      </c>
      <c r="M457" t="str">
        <f>VLOOKUP(D461,Restaurant_Master!A:B,2,FALSE)</f>
        <v>https://dynamic-media-cdn.tripadvisor.com/media/photo-o/1c/e7/04/0d/front-of-the-local-easily.jpg</v>
      </c>
    </row>
    <row r="458" spans="1:13" x14ac:dyDescent="0.3">
      <c r="A458" t="s">
        <v>488</v>
      </c>
      <c r="B458" s="1">
        <v>45336</v>
      </c>
      <c r="C458" t="s">
        <v>34</v>
      </c>
      <c r="D458" t="s">
        <v>25</v>
      </c>
      <c r="E458">
        <v>39</v>
      </c>
      <c r="F458" t="s">
        <v>15</v>
      </c>
      <c r="G458">
        <v>741.14</v>
      </c>
      <c r="H458">
        <v>50</v>
      </c>
      <c r="I458" t="s">
        <v>16</v>
      </c>
      <c r="J458">
        <v>3.8</v>
      </c>
      <c r="K458" t="s">
        <v>41</v>
      </c>
      <c r="L458" t="s">
        <v>23</v>
      </c>
      <c r="M458" t="str">
        <f>VLOOKUP(D462,Restaurant_Master!A:B,2,FALSE)</f>
        <v>https://dynamic-media-cdn.tripadvisor.com/media/photo-o/1c/e7/04/0d/front-of-the-local-easily.jpg</v>
      </c>
    </row>
    <row r="459" spans="1:13" x14ac:dyDescent="0.3">
      <c r="A459" t="s">
        <v>489</v>
      </c>
      <c r="B459" s="1">
        <v>45336</v>
      </c>
      <c r="C459" t="s">
        <v>43</v>
      </c>
      <c r="D459" t="s">
        <v>21</v>
      </c>
      <c r="E459">
        <v>27</v>
      </c>
      <c r="F459" t="s">
        <v>28</v>
      </c>
      <c r="G459">
        <v>305.64999999999998</v>
      </c>
      <c r="H459">
        <v>31</v>
      </c>
      <c r="I459" t="s">
        <v>22</v>
      </c>
      <c r="J459">
        <v>3.1</v>
      </c>
      <c r="K459" t="s">
        <v>29</v>
      </c>
      <c r="L459" t="s">
        <v>23</v>
      </c>
      <c r="M459" t="str">
        <f>VLOOKUP(D463,Restaurant_Master!A:B,2,FALSE)</f>
        <v>https://www.chatswoodinterchange.com/storages/2018/08/Sushi-World_666x448.jpg</v>
      </c>
    </row>
    <row r="460" spans="1:13" x14ac:dyDescent="0.3">
      <c r="A460" t="s">
        <v>490</v>
      </c>
      <c r="B460" s="1">
        <v>45481</v>
      </c>
      <c r="C460" t="s">
        <v>43</v>
      </c>
      <c r="D460" t="s">
        <v>25</v>
      </c>
      <c r="E460">
        <v>40</v>
      </c>
      <c r="F460" t="s">
        <v>28</v>
      </c>
      <c r="G460">
        <v>513.70000000000005</v>
      </c>
      <c r="H460">
        <v>46</v>
      </c>
      <c r="I460" t="s">
        <v>16</v>
      </c>
      <c r="J460">
        <v>3</v>
      </c>
      <c r="K460" t="s">
        <v>17</v>
      </c>
      <c r="L460" t="s">
        <v>23</v>
      </c>
      <c r="M460" t="str">
        <f>VLOOKUP(D464,Restaurant_Master!A:B,2,FALSE)</f>
        <v>https://media-cdn.tripadvisor.com/media/photo-s/1c/c7/97/b6/photo6jpg.jpg</v>
      </c>
    </row>
    <row r="461" spans="1:13" x14ac:dyDescent="0.3">
      <c r="A461" t="s">
        <v>491</v>
      </c>
      <c r="B461" s="1">
        <v>45655</v>
      </c>
      <c r="C461" t="s">
        <v>34</v>
      </c>
      <c r="D461" t="s">
        <v>21</v>
      </c>
      <c r="E461">
        <v>47</v>
      </c>
      <c r="F461" t="s">
        <v>15</v>
      </c>
      <c r="G461">
        <v>462.28</v>
      </c>
      <c r="H461">
        <v>29</v>
      </c>
      <c r="I461" t="s">
        <v>22</v>
      </c>
      <c r="J461">
        <v>4.9000000000000004</v>
      </c>
      <c r="K461" t="s">
        <v>26</v>
      </c>
      <c r="L461" t="s">
        <v>18</v>
      </c>
      <c r="M461" t="str">
        <f>VLOOKUP(D465,Restaurant_Master!A:B,2,FALSE)</f>
        <v>https://dynamic-media-cdn.tripadvisor.com/media/photo-o/1c/e7/04/0d/front-of-the-local-easily.jpg</v>
      </c>
    </row>
    <row r="462" spans="1:13" x14ac:dyDescent="0.3">
      <c r="A462" t="s">
        <v>492</v>
      </c>
      <c r="B462" s="1">
        <v>45346</v>
      </c>
      <c r="C462" t="s">
        <v>43</v>
      </c>
      <c r="D462" t="s">
        <v>21</v>
      </c>
      <c r="E462">
        <v>45</v>
      </c>
      <c r="F462" t="s">
        <v>15</v>
      </c>
      <c r="G462">
        <v>323.18</v>
      </c>
      <c r="H462">
        <v>34</v>
      </c>
      <c r="I462" t="s">
        <v>22</v>
      </c>
      <c r="J462">
        <v>3.9</v>
      </c>
      <c r="K462" t="s">
        <v>29</v>
      </c>
      <c r="L462" t="s">
        <v>23</v>
      </c>
      <c r="M462" t="str">
        <f>VLOOKUP(D466,Restaurant_Master!A:B,2,FALSE)</f>
        <v>https://www.chatswoodinterchange.com/storages/2018/08/Sushi-World_666x448.jpg</v>
      </c>
    </row>
    <row r="463" spans="1:13" x14ac:dyDescent="0.3">
      <c r="A463" t="s">
        <v>493</v>
      </c>
      <c r="B463" s="1">
        <v>45347</v>
      </c>
      <c r="C463" t="s">
        <v>36</v>
      </c>
      <c r="D463" t="s">
        <v>38</v>
      </c>
      <c r="E463">
        <v>58</v>
      </c>
      <c r="F463" t="s">
        <v>15</v>
      </c>
      <c r="G463">
        <v>1098.8399999999999</v>
      </c>
      <c r="H463">
        <v>56</v>
      </c>
      <c r="I463" t="s">
        <v>16</v>
      </c>
      <c r="J463">
        <v>5</v>
      </c>
      <c r="K463" t="s">
        <v>41</v>
      </c>
      <c r="L463" t="s">
        <v>23</v>
      </c>
      <c r="M463" t="str">
        <f>VLOOKUP(D467,Restaurant_Master!A:B,2,FALSE)</f>
        <v>https://dynamic-media-cdn.tripadvisor.com/media/photo-o/1c/e7/04/0d/front-of-the-local-easily.jpg</v>
      </c>
    </row>
    <row r="464" spans="1:13" x14ac:dyDescent="0.3">
      <c r="A464" t="s">
        <v>494</v>
      </c>
      <c r="B464" s="1">
        <v>45311</v>
      </c>
      <c r="C464" t="s">
        <v>36</v>
      </c>
      <c r="D464" t="s">
        <v>25</v>
      </c>
      <c r="E464">
        <v>19</v>
      </c>
      <c r="F464" t="s">
        <v>28</v>
      </c>
      <c r="G464">
        <v>584.51</v>
      </c>
      <c r="H464">
        <v>21</v>
      </c>
      <c r="I464" t="s">
        <v>22</v>
      </c>
      <c r="J464">
        <v>4.5999999999999996</v>
      </c>
      <c r="K464" t="s">
        <v>41</v>
      </c>
      <c r="L464" t="s">
        <v>18</v>
      </c>
      <c r="M464" t="str">
        <f>VLOOKUP(D468,Restaurant_Master!A:B,2,FALSE)</f>
        <v>https://content.jdmagicbox.com/comp/deoria/g6/9999p5568.5568.200119143033.m4g6/catalogue/biryani-house-deoria-ho-deoria-mktc2xph0o.jpg</v>
      </c>
    </row>
    <row r="465" spans="1:13" x14ac:dyDescent="0.3">
      <c r="A465" t="s">
        <v>495</v>
      </c>
      <c r="B465" s="1">
        <v>45568</v>
      </c>
      <c r="C465" t="s">
        <v>43</v>
      </c>
      <c r="D465" t="s">
        <v>21</v>
      </c>
      <c r="E465">
        <v>34</v>
      </c>
      <c r="F465" t="s">
        <v>28</v>
      </c>
      <c r="G465">
        <v>244.91</v>
      </c>
      <c r="H465">
        <v>33</v>
      </c>
      <c r="I465" t="s">
        <v>22</v>
      </c>
      <c r="J465">
        <v>4.7</v>
      </c>
      <c r="K465" t="s">
        <v>29</v>
      </c>
      <c r="L465" t="s">
        <v>18</v>
      </c>
      <c r="M465" t="str">
        <f>VLOOKUP(D469,Restaurant_Master!A:B,2,FALSE)</f>
        <v>https://media-cdn.tripadvisor.com/media/photo-s/1c/c7/97/b6/photo6jpg.jpg</v>
      </c>
    </row>
    <row r="466" spans="1:13" x14ac:dyDescent="0.3">
      <c r="A466" t="s">
        <v>496</v>
      </c>
      <c r="B466" s="1">
        <v>45562</v>
      </c>
      <c r="C466" t="s">
        <v>20</v>
      </c>
      <c r="D466" t="s">
        <v>38</v>
      </c>
      <c r="E466">
        <v>26</v>
      </c>
      <c r="F466" t="s">
        <v>28</v>
      </c>
      <c r="G466">
        <v>763.8</v>
      </c>
      <c r="H466">
        <v>46</v>
      </c>
      <c r="I466" t="s">
        <v>16</v>
      </c>
      <c r="J466">
        <v>3.5</v>
      </c>
      <c r="K466" t="s">
        <v>41</v>
      </c>
      <c r="L466" t="s">
        <v>18</v>
      </c>
      <c r="M466" t="str">
        <f>VLOOKUP(D470,Restaurant_Master!A:B,2,FALSE)</f>
        <v>https://dineout-media-assets.swiggy.com/swiggy/image/upload/fl_lossy,f_auto,q_auto/v1660793737/fdqxvxcxg1wtdwvyv45v.jpg</v>
      </c>
    </row>
    <row r="467" spans="1:13" x14ac:dyDescent="0.3">
      <c r="A467" t="s">
        <v>497</v>
      </c>
      <c r="B467" s="1">
        <v>45325</v>
      </c>
      <c r="C467" t="s">
        <v>13</v>
      </c>
      <c r="D467" t="s">
        <v>21</v>
      </c>
      <c r="E467">
        <v>30</v>
      </c>
      <c r="F467" t="s">
        <v>15</v>
      </c>
      <c r="G467">
        <v>164.85</v>
      </c>
      <c r="H467">
        <v>51</v>
      </c>
      <c r="I467" t="s">
        <v>16</v>
      </c>
      <c r="J467">
        <v>2.5</v>
      </c>
      <c r="K467" t="s">
        <v>29</v>
      </c>
      <c r="L467" t="s">
        <v>23</v>
      </c>
      <c r="M467" t="str">
        <f>VLOOKUP(D471,Restaurant_Master!A:B,2,FALSE)</f>
        <v>https://dineout-media-assets.swiggy.com/swiggy/image/upload/fl_lossy,f_auto,q_auto/v1660793737/fdqxvxcxg1wtdwvyv45v.jpg</v>
      </c>
    </row>
    <row r="468" spans="1:13" x14ac:dyDescent="0.3">
      <c r="A468" t="s">
        <v>498</v>
      </c>
      <c r="B468" s="1">
        <v>45448</v>
      </c>
      <c r="C468" t="s">
        <v>34</v>
      </c>
      <c r="D468" t="s">
        <v>32</v>
      </c>
      <c r="E468">
        <v>49</v>
      </c>
      <c r="F468" t="s">
        <v>28</v>
      </c>
      <c r="G468">
        <v>1012.13</v>
      </c>
      <c r="H468">
        <v>55</v>
      </c>
      <c r="I468" t="s">
        <v>16</v>
      </c>
      <c r="J468">
        <v>2.8</v>
      </c>
      <c r="K468" t="s">
        <v>41</v>
      </c>
      <c r="L468" t="s">
        <v>23</v>
      </c>
      <c r="M468" t="str">
        <f>VLOOKUP(D472,Restaurant_Master!A:B,2,FALSE)</f>
        <v>https://dineout-media-assets.swiggy.com/swiggy/image/upload/fl_lossy,f_auto,q_auto/v1660793737/fdqxvxcxg1wtdwvyv45v.jpg</v>
      </c>
    </row>
    <row r="469" spans="1:13" x14ac:dyDescent="0.3">
      <c r="A469" t="s">
        <v>499</v>
      </c>
      <c r="B469" s="1">
        <v>45518</v>
      </c>
      <c r="C469" t="s">
        <v>20</v>
      </c>
      <c r="D469" t="s">
        <v>25</v>
      </c>
      <c r="E469">
        <v>58</v>
      </c>
      <c r="F469" t="s">
        <v>15</v>
      </c>
      <c r="G469">
        <v>441.65</v>
      </c>
      <c r="H469">
        <v>38</v>
      </c>
      <c r="I469" t="s">
        <v>22</v>
      </c>
      <c r="J469">
        <v>3.3</v>
      </c>
      <c r="K469" t="s">
        <v>26</v>
      </c>
      <c r="L469" t="s">
        <v>23</v>
      </c>
      <c r="M469" t="str">
        <f>VLOOKUP(D473,Restaurant_Master!A:B,2,FALSE)</f>
        <v>https://dineout-media-assets.swiggy.com/swiggy/image/upload/fl_lossy,f_auto,q_auto/v1660793737/fdqxvxcxg1wtdwvyv45v.jpg</v>
      </c>
    </row>
    <row r="470" spans="1:13" x14ac:dyDescent="0.3">
      <c r="A470" t="s">
        <v>500</v>
      </c>
      <c r="B470" s="1">
        <v>45633</v>
      </c>
      <c r="C470" t="s">
        <v>36</v>
      </c>
      <c r="D470" t="s">
        <v>14</v>
      </c>
      <c r="E470">
        <v>18</v>
      </c>
      <c r="F470" t="s">
        <v>15</v>
      </c>
      <c r="G470">
        <v>1155.17</v>
      </c>
      <c r="H470">
        <v>35</v>
      </c>
      <c r="I470" t="s">
        <v>22</v>
      </c>
      <c r="J470">
        <v>4.8</v>
      </c>
      <c r="K470" t="s">
        <v>41</v>
      </c>
      <c r="L470" t="s">
        <v>18</v>
      </c>
      <c r="M470" t="str">
        <f>VLOOKUP(D474,Restaurant_Master!A:B,2,FALSE)</f>
        <v>https://content.jdmagicbox.com/comp/deoria/g6/9999p5568.5568.200119143033.m4g6/catalogue/biryani-house-deoria-ho-deoria-mktc2xph0o.jpg</v>
      </c>
    </row>
    <row r="471" spans="1:13" x14ac:dyDescent="0.3">
      <c r="A471" t="s">
        <v>501</v>
      </c>
      <c r="B471" s="1">
        <v>45463</v>
      </c>
      <c r="C471" t="s">
        <v>34</v>
      </c>
      <c r="D471" t="s">
        <v>14</v>
      </c>
      <c r="E471">
        <v>60</v>
      </c>
      <c r="F471" t="s">
        <v>15</v>
      </c>
      <c r="G471">
        <v>839.04</v>
      </c>
      <c r="H471">
        <v>51</v>
      </c>
      <c r="I471" t="s">
        <v>16</v>
      </c>
      <c r="J471">
        <v>2.6</v>
      </c>
      <c r="K471" t="s">
        <v>26</v>
      </c>
      <c r="L471" t="s">
        <v>18</v>
      </c>
      <c r="M471" t="str">
        <f>VLOOKUP(D475,Restaurant_Master!A:B,2,FALSE)</f>
        <v>https://content.jdmagicbox.com/comp/deoria/g6/9999p5568.5568.200119143033.m4g6/catalogue/biryani-house-deoria-ho-deoria-mktc2xph0o.jpg</v>
      </c>
    </row>
    <row r="472" spans="1:13" x14ac:dyDescent="0.3">
      <c r="A472" t="s">
        <v>502</v>
      </c>
      <c r="B472" s="1">
        <v>45588</v>
      </c>
      <c r="C472" t="s">
        <v>36</v>
      </c>
      <c r="D472" t="s">
        <v>14</v>
      </c>
      <c r="E472">
        <v>46</v>
      </c>
      <c r="F472" t="s">
        <v>28</v>
      </c>
      <c r="G472">
        <v>960.15</v>
      </c>
      <c r="H472">
        <v>23</v>
      </c>
      <c r="I472" t="s">
        <v>22</v>
      </c>
      <c r="J472">
        <v>4.4000000000000004</v>
      </c>
      <c r="K472" t="s">
        <v>17</v>
      </c>
      <c r="L472" t="s">
        <v>23</v>
      </c>
      <c r="M472" t="str">
        <f>VLOOKUP(D476,Restaurant_Master!A:B,2,FALSE)</f>
        <v>https://content.jdmagicbox.com/comp/deoria/g6/9999p5568.5568.200119143033.m4g6/catalogue/biryani-house-deoria-ho-deoria-mktc2xph0o.jpg</v>
      </c>
    </row>
    <row r="473" spans="1:13" x14ac:dyDescent="0.3">
      <c r="A473" t="s">
        <v>503</v>
      </c>
      <c r="B473" s="1">
        <v>45640</v>
      </c>
      <c r="C473" t="s">
        <v>43</v>
      </c>
      <c r="D473" t="s">
        <v>14</v>
      </c>
      <c r="E473">
        <v>54</v>
      </c>
      <c r="F473" t="s">
        <v>15</v>
      </c>
      <c r="G473">
        <v>454.31</v>
      </c>
      <c r="H473">
        <v>34</v>
      </c>
      <c r="I473" t="s">
        <v>22</v>
      </c>
      <c r="J473">
        <v>4.8</v>
      </c>
      <c r="K473" t="s">
        <v>17</v>
      </c>
      <c r="L473" t="s">
        <v>18</v>
      </c>
      <c r="M473" t="str">
        <f>VLOOKUP(D477,Restaurant_Master!A:B,2,FALSE)</f>
        <v>https://media-cdn.tripadvisor.com/media/photo-s/1c/c7/97/b6/photo6jpg.jpg</v>
      </c>
    </row>
    <row r="474" spans="1:13" x14ac:dyDescent="0.3">
      <c r="A474" t="s">
        <v>504</v>
      </c>
      <c r="B474" s="1">
        <v>45517</v>
      </c>
      <c r="C474" t="s">
        <v>43</v>
      </c>
      <c r="D474" t="s">
        <v>32</v>
      </c>
      <c r="E474">
        <v>26</v>
      </c>
      <c r="F474" t="s">
        <v>28</v>
      </c>
      <c r="G474">
        <v>497.76</v>
      </c>
      <c r="H474">
        <v>35</v>
      </c>
      <c r="I474" t="s">
        <v>22</v>
      </c>
      <c r="J474">
        <v>3.4</v>
      </c>
      <c r="K474" t="s">
        <v>41</v>
      </c>
      <c r="L474" t="s">
        <v>18</v>
      </c>
      <c r="M474" t="str">
        <f>VLOOKUP(D478,Restaurant_Master!A:B,2,FALSE)</f>
        <v>https://dynamic-media-cdn.tripadvisor.com/media/photo-o/1c/e7/04/0d/front-of-the-local-easily.jpg</v>
      </c>
    </row>
    <row r="475" spans="1:13" x14ac:dyDescent="0.3">
      <c r="A475" t="s">
        <v>505</v>
      </c>
      <c r="B475" s="1">
        <v>45325</v>
      </c>
      <c r="C475" t="s">
        <v>13</v>
      </c>
      <c r="D475" t="s">
        <v>32</v>
      </c>
      <c r="E475">
        <v>42</v>
      </c>
      <c r="F475" t="s">
        <v>15</v>
      </c>
      <c r="G475">
        <v>999.64</v>
      </c>
      <c r="H475">
        <v>42</v>
      </c>
      <c r="I475" t="s">
        <v>16</v>
      </c>
      <c r="J475">
        <v>4.3</v>
      </c>
      <c r="K475" t="s">
        <v>17</v>
      </c>
      <c r="L475" t="s">
        <v>18</v>
      </c>
      <c r="M475" t="str">
        <f>VLOOKUP(D479,Restaurant_Master!A:B,2,FALSE)</f>
        <v>https://dineout-media-assets.swiggy.com/swiggy/image/upload/fl_lossy,f_auto,q_auto/v1660793737/fdqxvxcxg1wtdwvyv45v.jpg</v>
      </c>
    </row>
    <row r="476" spans="1:13" x14ac:dyDescent="0.3">
      <c r="A476" t="s">
        <v>506</v>
      </c>
      <c r="B476" s="1">
        <v>45352</v>
      </c>
      <c r="C476" t="s">
        <v>36</v>
      </c>
      <c r="D476" t="s">
        <v>32</v>
      </c>
      <c r="E476">
        <v>33</v>
      </c>
      <c r="F476" t="s">
        <v>28</v>
      </c>
      <c r="G476">
        <v>1070.07</v>
      </c>
      <c r="H476">
        <v>56</v>
      </c>
      <c r="I476" t="s">
        <v>16</v>
      </c>
      <c r="J476">
        <v>3.1</v>
      </c>
      <c r="K476" t="s">
        <v>29</v>
      </c>
      <c r="L476" t="s">
        <v>18</v>
      </c>
      <c r="M476" t="str">
        <f>VLOOKUP(D480,Restaurant_Master!A:B,2,FALSE)</f>
        <v>https://content.jdmagicbox.com/comp/deoria/g6/9999p5568.5568.200119143033.m4g6/catalogue/biryani-house-deoria-ho-deoria-mktc2xph0o.jpg</v>
      </c>
    </row>
    <row r="477" spans="1:13" x14ac:dyDescent="0.3">
      <c r="A477" t="s">
        <v>507</v>
      </c>
      <c r="B477" s="1">
        <v>45569</v>
      </c>
      <c r="C477" t="s">
        <v>43</v>
      </c>
      <c r="D477" t="s">
        <v>25</v>
      </c>
      <c r="E477">
        <v>24</v>
      </c>
      <c r="F477" t="s">
        <v>15</v>
      </c>
      <c r="G477">
        <v>326.95999999999998</v>
      </c>
      <c r="H477">
        <v>34</v>
      </c>
      <c r="I477" t="s">
        <v>22</v>
      </c>
      <c r="J477">
        <v>3.2</v>
      </c>
      <c r="K477" t="s">
        <v>29</v>
      </c>
      <c r="L477" t="s">
        <v>23</v>
      </c>
      <c r="M477" t="str">
        <f>VLOOKUP(D481,Restaurant_Master!A:B,2,FALSE)</f>
        <v>https://www.chatswoodinterchange.com/storages/2018/08/Sushi-World_666x448.jpg</v>
      </c>
    </row>
    <row r="478" spans="1:13" x14ac:dyDescent="0.3">
      <c r="A478" t="s">
        <v>508</v>
      </c>
      <c r="B478" s="1">
        <v>45347</v>
      </c>
      <c r="C478" t="s">
        <v>43</v>
      </c>
      <c r="D478" t="s">
        <v>21</v>
      </c>
      <c r="E478">
        <v>20</v>
      </c>
      <c r="F478" t="s">
        <v>15</v>
      </c>
      <c r="G478">
        <v>664.41</v>
      </c>
      <c r="H478">
        <v>56</v>
      </c>
      <c r="I478" t="s">
        <v>16</v>
      </c>
      <c r="J478">
        <v>3.7</v>
      </c>
      <c r="K478" t="s">
        <v>29</v>
      </c>
      <c r="L478" t="s">
        <v>18</v>
      </c>
      <c r="M478" t="str">
        <f>VLOOKUP(D482,Restaurant_Master!A:B,2,FALSE)</f>
        <v>https://media-cdn.tripadvisor.com/media/photo-s/1c/c7/97/b6/photo6jpg.jpg</v>
      </c>
    </row>
    <row r="479" spans="1:13" x14ac:dyDescent="0.3">
      <c r="A479" t="s">
        <v>509</v>
      </c>
      <c r="B479" s="1">
        <v>45300</v>
      </c>
      <c r="C479" t="s">
        <v>13</v>
      </c>
      <c r="D479" t="s">
        <v>14</v>
      </c>
      <c r="E479">
        <v>53</v>
      </c>
      <c r="F479" t="s">
        <v>15</v>
      </c>
      <c r="G479">
        <v>1130.25</v>
      </c>
      <c r="H479">
        <v>30</v>
      </c>
      <c r="I479" t="s">
        <v>22</v>
      </c>
      <c r="J479">
        <v>3.2</v>
      </c>
      <c r="K479" t="s">
        <v>41</v>
      </c>
      <c r="L479" t="s">
        <v>23</v>
      </c>
      <c r="M479" t="str">
        <f>VLOOKUP(D483,Restaurant_Master!A:B,2,FALSE)</f>
        <v>https://media-cdn.tripadvisor.com/media/photo-s/1c/c7/97/b6/photo6jpg.jpg</v>
      </c>
    </row>
    <row r="480" spans="1:13" x14ac:dyDescent="0.3">
      <c r="A480" t="s">
        <v>510</v>
      </c>
      <c r="B480" s="1">
        <v>45570</v>
      </c>
      <c r="C480" t="s">
        <v>13</v>
      </c>
      <c r="D480" t="s">
        <v>32</v>
      </c>
      <c r="E480">
        <v>31</v>
      </c>
      <c r="F480" t="s">
        <v>15</v>
      </c>
      <c r="G480">
        <v>445.8</v>
      </c>
      <c r="H480">
        <v>26</v>
      </c>
      <c r="I480" t="s">
        <v>22</v>
      </c>
      <c r="J480">
        <v>4.8</v>
      </c>
      <c r="K480" t="s">
        <v>29</v>
      </c>
      <c r="L480" t="s">
        <v>18</v>
      </c>
      <c r="M480" t="str">
        <f>VLOOKUP(D484,Restaurant_Master!A:B,2,FALSE)</f>
        <v>https://dineout-media-assets.swiggy.com/swiggy/image/upload/fl_lossy,f_auto,q_auto/v1660793737/fdqxvxcxg1wtdwvyv45v.jpg</v>
      </c>
    </row>
    <row r="481" spans="1:13" x14ac:dyDescent="0.3">
      <c r="A481" t="s">
        <v>511</v>
      </c>
      <c r="B481" s="1">
        <v>45656</v>
      </c>
      <c r="C481" t="s">
        <v>20</v>
      </c>
      <c r="D481" t="s">
        <v>38</v>
      </c>
      <c r="E481">
        <v>60</v>
      </c>
      <c r="F481" t="s">
        <v>28</v>
      </c>
      <c r="G481">
        <v>1147.07</v>
      </c>
      <c r="H481">
        <v>42</v>
      </c>
      <c r="I481" t="s">
        <v>16</v>
      </c>
      <c r="J481">
        <v>3.7</v>
      </c>
      <c r="K481" t="s">
        <v>17</v>
      </c>
      <c r="L481" t="s">
        <v>18</v>
      </c>
      <c r="M481" t="str">
        <f>VLOOKUP(D485,Restaurant_Master!A:B,2,FALSE)</f>
        <v>https://dynamic-media-cdn.tripadvisor.com/media/photo-o/1c/e7/04/0d/front-of-the-local-easily.jpg</v>
      </c>
    </row>
    <row r="482" spans="1:13" x14ac:dyDescent="0.3">
      <c r="A482" t="s">
        <v>512</v>
      </c>
      <c r="B482" s="1">
        <v>45360</v>
      </c>
      <c r="C482" t="s">
        <v>13</v>
      </c>
      <c r="D482" t="s">
        <v>25</v>
      </c>
      <c r="E482">
        <v>20</v>
      </c>
      <c r="F482" t="s">
        <v>28</v>
      </c>
      <c r="G482">
        <v>854.58</v>
      </c>
      <c r="H482">
        <v>26</v>
      </c>
      <c r="I482" t="s">
        <v>22</v>
      </c>
      <c r="J482">
        <v>4.9000000000000004</v>
      </c>
      <c r="K482" t="s">
        <v>41</v>
      </c>
      <c r="L482" t="s">
        <v>23</v>
      </c>
      <c r="M482" t="str">
        <f>VLOOKUP(D486,Restaurant_Master!A:B,2,FALSE)</f>
        <v>https://www.chatswoodinterchange.com/storages/2018/08/Sushi-World_666x448.jpg</v>
      </c>
    </row>
    <row r="483" spans="1:13" x14ac:dyDescent="0.3">
      <c r="A483" t="s">
        <v>513</v>
      </c>
      <c r="B483" s="1">
        <v>45567</v>
      </c>
      <c r="C483" t="s">
        <v>34</v>
      </c>
      <c r="D483" t="s">
        <v>25</v>
      </c>
      <c r="E483">
        <v>41</v>
      </c>
      <c r="F483" t="s">
        <v>28</v>
      </c>
      <c r="G483">
        <v>787.26</v>
      </c>
      <c r="H483">
        <v>34</v>
      </c>
      <c r="I483" t="s">
        <v>22</v>
      </c>
      <c r="J483">
        <v>2.7</v>
      </c>
      <c r="K483" t="s">
        <v>41</v>
      </c>
      <c r="L483" t="s">
        <v>18</v>
      </c>
      <c r="M483" t="str">
        <f>VLOOKUP(D487,Restaurant_Master!A:B,2,FALSE)</f>
        <v>https://media-cdn.tripadvisor.com/media/photo-s/1c/c7/97/b6/photo6jpg.jpg</v>
      </c>
    </row>
    <row r="484" spans="1:13" x14ac:dyDescent="0.3">
      <c r="A484" t="s">
        <v>514</v>
      </c>
      <c r="B484" s="1">
        <v>45401</v>
      </c>
      <c r="C484" t="s">
        <v>20</v>
      </c>
      <c r="D484" t="s">
        <v>14</v>
      </c>
      <c r="E484">
        <v>40</v>
      </c>
      <c r="F484" t="s">
        <v>15</v>
      </c>
      <c r="G484">
        <v>465.07</v>
      </c>
      <c r="H484">
        <v>43</v>
      </c>
      <c r="I484" t="s">
        <v>16</v>
      </c>
      <c r="J484">
        <v>4.2</v>
      </c>
      <c r="K484" t="s">
        <v>29</v>
      </c>
      <c r="L484" t="s">
        <v>23</v>
      </c>
      <c r="M484" t="str">
        <f>VLOOKUP(D488,Restaurant_Master!A:B,2,FALSE)</f>
        <v>https://www.chatswoodinterchange.com/storages/2018/08/Sushi-World_666x448.jpg</v>
      </c>
    </row>
    <row r="485" spans="1:13" x14ac:dyDescent="0.3">
      <c r="A485" t="s">
        <v>515</v>
      </c>
      <c r="B485" s="1">
        <v>45436</v>
      </c>
      <c r="C485" t="s">
        <v>43</v>
      </c>
      <c r="D485" t="s">
        <v>21</v>
      </c>
      <c r="E485">
        <v>39</v>
      </c>
      <c r="F485" t="s">
        <v>28</v>
      </c>
      <c r="G485">
        <v>561.1</v>
      </c>
      <c r="H485">
        <v>52</v>
      </c>
      <c r="I485" t="s">
        <v>16</v>
      </c>
      <c r="J485">
        <v>3.1</v>
      </c>
      <c r="K485" t="s">
        <v>17</v>
      </c>
      <c r="L485" t="s">
        <v>23</v>
      </c>
      <c r="M485" t="str">
        <f>VLOOKUP(D489,Restaurant_Master!A:B,2,FALSE)</f>
        <v>https://dynamic-media-cdn.tripadvisor.com/media/photo-o/1c/e7/04/0d/front-of-the-local-easily.jpg</v>
      </c>
    </row>
    <row r="486" spans="1:13" x14ac:dyDescent="0.3">
      <c r="A486" t="s">
        <v>516</v>
      </c>
      <c r="B486" s="1">
        <v>45426</v>
      </c>
      <c r="C486" t="s">
        <v>13</v>
      </c>
      <c r="D486" t="s">
        <v>38</v>
      </c>
      <c r="E486">
        <v>27</v>
      </c>
      <c r="F486" t="s">
        <v>15</v>
      </c>
      <c r="G486">
        <v>241.48</v>
      </c>
      <c r="H486">
        <v>40</v>
      </c>
      <c r="I486" t="s">
        <v>22</v>
      </c>
      <c r="J486">
        <v>2.5</v>
      </c>
      <c r="K486" t="s">
        <v>29</v>
      </c>
      <c r="L486" t="s">
        <v>23</v>
      </c>
      <c r="M486" t="str">
        <f>VLOOKUP(D490,Restaurant_Master!A:B,2,FALSE)</f>
        <v>https://content.jdmagicbox.com/comp/deoria/g6/9999p5568.5568.200119143033.m4g6/catalogue/biryani-house-deoria-ho-deoria-mktc2xph0o.jpg</v>
      </c>
    </row>
    <row r="487" spans="1:13" x14ac:dyDescent="0.3">
      <c r="A487" t="s">
        <v>517</v>
      </c>
      <c r="B487" s="1">
        <v>45370</v>
      </c>
      <c r="C487" t="s">
        <v>43</v>
      </c>
      <c r="D487" t="s">
        <v>25</v>
      </c>
      <c r="E487">
        <v>43</v>
      </c>
      <c r="F487" t="s">
        <v>28</v>
      </c>
      <c r="G487">
        <v>623.92999999999995</v>
      </c>
      <c r="H487">
        <v>47</v>
      </c>
      <c r="I487" t="s">
        <v>16</v>
      </c>
      <c r="J487">
        <v>2.5</v>
      </c>
      <c r="K487" t="s">
        <v>17</v>
      </c>
      <c r="L487" t="s">
        <v>23</v>
      </c>
      <c r="M487" t="str">
        <f>VLOOKUP(D491,Restaurant_Master!A:B,2,FALSE)</f>
        <v>https://www.chatswoodinterchange.com/storages/2018/08/Sushi-World_666x448.jpg</v>
      </c>
    </row>
    <row r="488" spans="1:13" x14ac:dyDescent="0.3">
      <c r="A488" t="s">
        <v>518</v>
      </c>
      <c r="B488" s="1">
        <v>45418</v>
      </c>
      <c r="C488" t="s">
        <v>20</v>
      </c>
      <c r="D488" t="s">
        <v>38</v>
      </c>
      <c r="E488">
        <v>58</v>
      </c>
      <c r="F488" t="s">
        <v>15</v>
      </c>
      <c r="G488">
        <v>1028.4100000000001</v>
      </c>
      <c r="H488">
        <v>52</v>
      </c>
      <c r="I488" t="s">
        <v>16</v>
      </c>
      <c r="J488">
        <v>2.6</v>
      </c>
      <c r="K488" t="s">
        <v>41</v>
      </c>
      <c r="L488" t="s">
        <v>18</v>
      </c>
      <c r="M488" t="str">
        <f>VLOOKUP(D492,Restaurant_Master!A:B,2,FALSE)</f>
        <v>https://dineout-media-assets.swiggy.com/swiggy/image/upload/fl_lossy,f_auto,q_auto/v1660793737/fdqxvxcxg1wtdwvyv45v.jpg</v>
      </c>
    </row>
    <row r="489" spans="1:13" x14ac:dyDescent="0.3">
      <c r="A489" t="s">
        <v>519</v>
      </c>
      <c r="B489" s="1">
        <v>45452</v>
      </c>
      <c r="C489" t="s">
        <v>43</v>
      </c>
      <c r="D489" t="s">
        <v>21</v>
      </c>
      <c r="E489">
        <v>34</v>
      </c>
      <c r="F489" t="s">
        <v>28</v>
      </c>
      <c r="G489">
        <v>456.03</v>
      </c>
      <c r="H489">
        <v>59</v>
      </c>
      <c r="I489" t="s">
        <v>16</v>
      </c>
      <c r="J489">
        <v>3.2</v>
      </c>
      <c r="K489" t="s">
        <v>41</v>
      </c>
      <c r="L489" t="s">
        <v>18</v>
      </c>
      <c r="M489" t="str">
        <f>VLOOKUP(D493,Restaurant_Master!A:B,2,FALSE)</f>
        <v>https://dineout-media-assets.swiggy.com/swiggy/image/upload/fl_lossy,f_auto,q_auto/v1660793737/fdqxvxcxg1wtdwvyv45v.jpg</v>
      </c>
    </row>
    <row r="490" spans="1:13" x14ac:dyDescent="0.3">
      <c r="A490" t="s">
        <v>520</v>
      </c>
      <c r="B490" s="1">
        <v>45521</v>
      </c>
      <c r="C490" t="s">
        <v>34</v>
      </c>
      <c r="D490" t="s">
        <v>32</v>
      </c>
      <c r="E490">
        <v>52</v>
      </c>
      <c r="F490" t="s">
        <v>28</v>
      </c>
      <c r="G490">
        <v>236.63</v>
      </c>
      <c r="H490">
        <v>24</v>
      </c>
      <c r="I490" t="s">
        <v>22</v>
      </c>
      <c r="J490">
        <v>4.5</v>
      </c>
      <c r="K490" t="s">
        <v>29</v>
      </c>
      <c r="L490" t="s">
        <v>18</v>
      </c>
      <c r="M490" t="str">
        <f>VLOOKUP(D494,Restaurant_Master!A:B,2,FALSE)</f>
        <v>https://content.jdmagicbox.com/comp/deoria/g6/9999p5568.5568.200119143033.m4g6/catalogue/biryani-house-deoria-ho-deoria-mktc2xph0o.jpg</v>
      </c>
    </row>
    <row r="491" spans="1:13" x14ac:dyDescent="0.3">
      <c r="A491" t="s">
        <v>521</v>
      </c>
      <c r="B491" s="1">
        <v>45648</v>
      </c>
      <c r="C491" t="s">
        <v>36</v>
      </c>
      <c r="D491" t="s">
        <v>38</v>
      </c>
      <c r="E491">
        <v>21</v>
      </c>
      <c r="F491" t="s">
        <v>15</v>
      </c>
      <c r="G491">
        <v>304.24</v>
      </c>
      <c r="H491">
        <v>44</v>
      </c>
      <c r="I491" t="s">
        <v>16</v>
      </c>
      <c r="J491">
        <v>3.9</v>
      </c>
      <c r="K491" t="s">
        <v>29</v>
      </c>
      <c r="L491" t="s">
        <v>18</v>
      </c>
      <c r="M491" t="str">
        <f>VLOOKUP(D495,Restaurant_Master!A:B,2,FALSE)</f>
        <v>https://dynamic-media-cdn.tripadvisor.com/media/photo-o/1c/e7/04/0d/front-of-the-local-easily.jpg</v>
      </c>
    </row>
    <row r="492" spans="1:13" x14ac:dyDescent="0.3">
      <c r="A492" t="s">
        <v>522</v>
      </c>
      <c r="B492" s="1">
        <v>45500</v>
      </c>
      <c r="C492" t="s">
        <v>13</v>
      </c>
      <c r="D492" t="s">
        <v>14</v>
      </c>
      <c r="E492">
        <v>25</v>
      </c>
      <c r="F492" t="s">
        <v>28</v>
      </c>
      <c r="G492">
        <v>689.27</v>
      </c>
      <c r="H492">
        <v>20</v>
      </c>
      <c r="I492" t="s">
        <v>22</v>
      </c>
      <c r="J492">
        <v>5</v>
      </c>
      <c r="K492" t="s">
        <v>41</v>
      </c>
      <c r="L492" t="s">
        <v>18</v>
      </c>
      <c r="M492" t="str">
        <f>VLOOKUP(D496,Restaurant_Master!A:B,2,FALSE)</f>
        <v>https://dineout-media-assets.swiggy.com/swiggy/image/upload/fl_lossy,f_auto,q_auto/v1660793737/fdqxvxcxg1wtdwvyv45v.jpg</v>
      </c>
    </row>
    <row r="493" spans="1:13" x14ac:dyDescent="0.3">
      <c r="A493" t="s">
        <v>523</v>
      </c>
      <c r="B493" s="1">
        <v>45509</v>
      </c>
      <c r="C493" t="s">
        <v>20</v>
      </c>
      <c r="D493" t="s">
        <v>14</v>
      </c>
      <c r="E493">
        <v>36</v>
      </c>
      <c r="F493" t="s">
        <v>28</v>
      </c>
      <c r="G493">
        <v>368.2</v>
      </c>
      <c r="H493">
        <v>23</v>
      </c>
      <c r="I493" t="s">
        <v>22</v>
      </c>
      <c r="J493">
        <v>3.9</v>
      </c>
      <c r="K493" t="s">
        <v>26</v>
      </c>
      <c r="L493" t="s">
        <v>18</v>
      </c>
      <c r="M493" t="str">
        <f>VLOOKUP(D497,Restaurant_Master!A:B,2,FALSE)</f>
        <v>https://dineout-media-assets.swiggy.com/swiggy/image/upload/fl_lossy,f_auto,q_auto/v1660793737/fdqxvxcxg1wtdwvyv45v.jpg</v>
      </c>
    </row>
    <row r="494" spans="1:13" x14ac:dyDescent="0.3">
      <c r="A494" t="s">
        <v>524</v>
      </c>
      <c r="B494" s="1">
        <v>45415</v>
      </c>
      <c r="C494" t="s">
        <v>13</v>
      </c>
      <c r="D494" t="s">
        <v>32</v>
      </c>
      <c r="E494">
        <v>43</v>
      </c>
      <c r="F494" t="s">
        <v>28</v>
      </c>
      <c r="G494">
        <v>1011.38</v>
      </c>
      <c r="H494">
        <v>43</v>
      </c>
      <c r="I494" t="s">
        <v>16</v>
      </c>
      <c r="J494">
        <v>3.1</v>
      </c>
      <c r="K494" t="s">
        <v>26</v>
      </c>
      <c r="L494" t="s">
        <v>23</v>
      </c>
      <c r="M494" t="str">
        <f>VLOOKUP(D498,Restaurant_Master!A:B,2,FALSE)</f>
        <v>https://www.chatswoodinterchange.com/storages/2018/08/Sushi-World_666x448.jpg</v>
      </c>
    </row>
    <row r="495" spans="1:13" x14ac:dyDescent="0.3">
      <c r="A495" t="s">
        <v>525</v>
      </c>
      <c r="B495" s="1">
        <v>45420</v>
      </c>
      <c r="C495" t="s">
        <v>20</v>
      </c>
      <c r="D495" t="s">
        <v>21</v>
      </c>
      <c r="E495">
        <v>38</v>
      </c>
      <c r="F495" t="s">
        <v>28</v>
      </c>
      <c r="G495">
        <v>229.5</v>
      </c>
      <c r="H495">
        <v>21</v>
      </c>
      <c r="I495" t="s">
        <v>22</v>
      </c>
      <c r="J495">
        <v>2.8</v>
      </c>
      <c r="K495" t="s">
        <v>17</v>
      </c>
      <c r="L495" t="s">
        <v>18</v>
      </c>
      <c r="M495" t="str">
        <f>VLOOKUP(D499,Restaurant_Master!A:B,2,FALSE)</f>
        <v>https://dynamic-media-cdn.tripadvisor.com/media/photo-o/1c/e7/04/0d/front-of-the-local-easily.jpg</v>
      </c>
    </row>
    <row r="496" spans="1:13" x14ac:dyDescent="0.3">
      <c r="A496" t="s">
        <v>526</v>
      </c>
      <c r="B496" s="1">
        <v>45619</v>
      </c>
      <c r="C496" t="s">
        <v>43</v>
      </c>
      <c r="D496" t="s">
        <v>14</v>
      </c>
      <c r="E496">
        <v>60</v>
      </c>
      <c r="F496" t="s">
        <v>15</v>
      </c>
      <c r="G496">
        <v>924.21</v>
      </c>
      <c r="H496">
        <v>49</v>
      </c>
      <c r="I496" t="s">
        <v>16</v>
      </c>
      <c r="J496">
        <v>4.2</v>
      </c>
      <c r="K496" t="s">
        <v>41</v>
      </c>
      <c r="L496" t="s">
        <v>18</v>
      </c>
      <c r="M496" t="str">
        <f>VLOOKUP(D500,Restaurant_Master!A:B,2,FALSE)</f>
        <v>https://dynamic-media-cdn.tripadvisor.com/media/photo-o/1c/e7/04/0d/front-of-the-local-easily.jpg</v>
      </c>
    </row>
    <row r="497" spans="1:13" x14ac:dyDescent="0.3">
      <c r="A497" t="s">
        <v>527</v>
      </c>
      <c r="B497" s="1">
        <v>45352</v>
      </c>
      <c r="C497" t="s">
        <v>20</v>
      </c>
      <c r="D497" t="s">
        <v>14</v>
      </c>
      <c r="E497">
        <v>18</v>
      </c>
      <c r="F497" t="s">
        <v>15</v>
      </c>
      <c r="G497">
        <v>537.92999999999995</v>
      </c>
      <c r="H497">
        <v>24</v>
      </c>
      <c r="I497" t="s">
        <v>22</v>
      </c>
      <c r="J497">
        <v>4</v>
      </c>
      <c r="K497" t="s">
        <v>29</v>
      </c>
      <c r="L497" t="s">
        <v>18</v>
      </c>
      <c r="M497" t="str">
        <f>VLOOKUP(D501,Restaurant_Master!A:B,2,FALSE)</f>
        <v>https://media-cdn.tripadvisor.com/media/photo-s/1c/c7/97/b6/photo6jpg.jpg</v>
      </c>
    </row>
    <row r="498" spans="1:13" x14ac:dyDescent="0.3">
      <c r="A498" t="s">
        <v>528</v>
      </c>
      <c r="B498" s="1">
        <v>45318</v>
      </c>
      <c r="C498" t="s">
        <v>36</v>
      </c>
      <c r="D498" t="s">
        <v>38</v>
      </c>
      <c r="E498">
        <v>59</v>
      </c>
      <c r="F498" t="s">
        <v>28</v>
      </c>
      <c r="G498">
        <v>643.04</v>
      </c>
      <c r="H498">
        <v>46</v>
      </c>
      <c r="I498" t="s">
        <v>16</v>
      </c>
      <c r="J498">
        <v>2.7</v>
      </c>
      <c r="K498" t="s">
        <v>29</v>
      </c>
      <c r="L498" t="s">
        <v>18</v>
      </c>
      <c r="M498" t="str">
        <f>VLOOKUP(D502,Restaurant_Master!A:B,2,FALSE)</f>
        <v>https://dynamic-media-cdn.tripadvisor.com/media/photo-o/1c/e7/04/0d/front-of-the-local-easily.jpg</v>
      </c>
    </row>
    <row r="499" spans="1:13" x14ac:dyDescent="0.3">
      <c r="A499" t="s">
        <v>529</v>
      </c>
      <c r="B499" s="1">
        <v>45329</v>
      </c>
      <c r="C499" t="s">
        <v>43</v>
      </c>
      <c r="D499" t="s">
        <v>21</v>
      </c>
      <c r="E499">
        <v>28</v>
      </c>
      <c r="F499" t="s">
        <v>28</v>
      </c>
      <c r="G499">
        <v>594.64</v>
      </c>
      <c r="H499">
        <v>38</v>
      </c>
      <c r="I499" t="s">
        <v>22</v>
      </c>
      <c r="J499">
        <v>2.9</v>
      </c>
      <c r="K499" t="s">
        <v>17</v>
      </c>
      <c r="L499" t="s">
        <v>23</v>
      </c>
      <c r="M499" t="str">
        <f>VLOOKUP(D503,Restaurant_Master!A:B,2,FALSE)</f>
        <v>https://dynamic-media-cdn.tripadvisor.com/media/photo-o/1c/e7/04/0d/front-of-the-local-easily.jpg</v>
      </c>
    </row>
    <row r="500" spans="1:13" x14ac:dyDescent="0.3">
      <c r="A500" t="s">
        <v>530</v>
      </c>
      <c r="B500" s="1">
        <v>45602</v>
      </c>
      <c r="C500" t="s">
        <v>13</v>
      </c>
      <c r="D500" t="s">
        <v>21</v>
      </c>
      <c r="E500">
        <v>35</v>
      </c>
      <c r="F500" t="s">
        <v>15</v>
      </c>
      <c r="G500">
        <v>613.01</v>
      </c>
      <c r="H500">
        <v>52</v>
      </c>
      <c r="I500" t="s">
        <v>16</v>
      </c>
      <c r="J500">
        <v>3.5</v>
      </c>
      <c r="K500" t="s">
        <v>26</v>
      </c>
      <c r="L500" t="s">
        <v>18</v>
      </c>
      <c r="M500" t="str">
        <f>VLOOKUP(D504,Restaurant_Master!A:B,2,FALSE)</f>
        <v>https://media-cdn.tripadvisor.com/media/photo-s/1c/c7/97/b6/photo6jpg.jpg</v>
      </c>
    </row>
    <row r="501" spans="1:13" x14ac:dyDescent="0.3">
      <c r="A501" t="s">
        <v>531</v>
      </c>
      <c r="B501" s="1">
        <v>45330</v>
      </c>
      <c r="C501" t="s">
        <v>43</v>
      </c>
      <c r="D501" t="s">
        <v>25</v>
      </c>
      <c r="E501">
        <v>36</v>
      </c>
      <c r="F501" t="s">
        <v>28</v>
      </c>
      <c r="G501">
        <v>721.69</v>
      </c>
      <c r="H501">
        <v>41</v>
      </c>
      <c r="I501" t="s">
        <v>16</v>
      </c>
      <c r="J501">
        <v>4.7</v>
      </c>
      <c r="K501" t="s">
        <v>26</v>
      </c>
      <c r="L501" t="s">
        <v>23</v>
      </c>
      <c r="M501" t="str">
        <f>VLOOKUP(D505,Restaurant_Master!A:B,2,FALSE)</f>
        <v>https://content.jdmagicbox.com/comp/deoria/g6/9999p5568.5568.200119143033.m4g6/catalogue/biryani-house-deoria-ho-deoria-mktc2xph0o.jpg</v>
      </c>
    </row>
    <row r="502" spans="1:13" x14ac:dyDescent="0.3">
      <c r="A502" t="s">
        <v>532</v>
      </c>
      <c r="B502" s="1">
        <v>45431</v>
      </c>
      <c r="C502" t="s">
        <v>36</v>
      </c>
      <c r="D502" t="s">
        <v>21</v>
      </c>
      <c r="E502">
        <v>43</v>
      </c>
      <c r="F502" t="s">
        <v>28</v>
      </c>
      <c r="G502">
        <v>1084.47</v>
      </c>
      <c r="H502">
        <v>60</v>
      </c>
      <c r="I502" t="s">
        <v>16</v>
      </c>
      <c r="J502">
        <v>3.6</v>
      </c>
      <c r="K502" t="s">
        <v>26</v>
      </c>
      <c r="L502" t="s">
        <v>18</v>
      </c>
      <c r="M502" t="str">
        <f>VLOOKUP(D506,Restaurant_Master!A:B,2,FALSE)</f>
        <v>https://media-cdn.tripadvisor.com/media/photo-s/1c/c7/97/b6/photo6jpg.jpg</v>
      </c>
    </row>
    <row r="503" spans="1:13" x14ac:dyDescent="0.3">
      <c r="A503" t="s">
        <v>533</v>
      </c>
      <c r="B503" s="1">
        <v>45298</v>
      </c>
      <c r="C503" t="s">
        <v>13</v>
      </c>
      <c r="D503" t="s">
        <v>21</v>
      </c>
      <c r="E503">
        <v>26</v>
      </c>
      <c r="F503" t="s">
        <v>15</v>
      </c>
      <c r="G503">
        <v>1088.1199999999999</v>
      </c>
      <c r="H503">
        <v>24</v>
      </c>
      <c r="I503" t="s">
        <v>22</v>
      </c>
      <c r="J503">
        <v>3</v>
      </c>
      <c r="K503" t="s">
        <v>41</v>
      </c>
      <c r="L503" t="s">
        <v>23</v>
      </c>
      <c r="M503" t="str">
        <f>VLOOKUP(D507,Restaurant_Master!A:B,2,FALSE)</f>
        <v>https://www.chatswoodinterchange.com/storages/2018/08/Sushi-World_666x448.jpg</v>
      </c>
    </row>
    <row r="504" spans="1:13" x14ac:dyDescent="0.3">
      <c r="A504" t="s">
        <v>534</v>
      </c>
      <c r="B504" s="1">
        <v>45415</v>
      </c>
      <c r="C504" t="s">
        <v>36</v>
      </c>
      <c r="D504" t="s">
        <v>25</v>
      </c>
      <c r="E504">
        <v>33</v>
      </c>
      <c r="F504" t="s">
        <v>15</v>
      </c>
      <c r="G504">
        <v>315.89999999999998</v>
      </c>
      <c r="H504">
        <v>37</v>
      </c>
      <c r="I504" t="s">
        <v>22</v>
      </c>
      <c r="J504">
        <v>2.8</v>
      </c>
      <c r="K504" t="s">
        <v>17</v>
      </c>
      <c r="L504" t="s">
        <v>18</v>
      </c>
      <c r="M504" t="str">
        <f>VLOOKUP(D508,Restaurant_Master!A:B,2,FALSE)</f>
        <v>https://content.jdmagicbox.com/comp/deoria/g6/9999p5568.5568.200119143033.m4g6/catalogue/biryani-house-deoria-ho-deoria-mktc2xph0o.jpg</v>
      </c>
    </row>
    <row r="505" spans="1:13" x14ac:dyDescent="0.3">
      <c r="A505" t="s">
        <v>535</v>
      </c>
      <c r="B505" s="1">
        <v>45335</v>
      </c>
      <c r="C505" t="s">
        <v>43</v>
      </c>
      <c r="D505" t="s">
        <v>32</v>
      </c>
      <c r="E505">
        <v>47</v>
      </c>
      <c r="F505" t="s">
        <v>15</v>
      </c>
      <c r="G505">
        <v>484.22</v>
      </c>
      <c r="H505">
        <v>52</v>
      </c>
      <c r="I505" t="s">
        <v>16</v>
      </c>
      <c r="J505">
        <v>2.8</v>
      </c>
      <c r="K505" t="s">
        <v>41</v>
      </c>
      <c r="L505" t="s">
        <v>18</v>
      </c>
      <c r="M505" t="str">
        <f>VLOOKUP(D509,Restaurant_Master!A:B,2,FALSE)</f>
        <v>https://dynamic-media-cdn.tripadvisor.com/media/photo-o/1c/e7/04/0d/front-of-the-local-easily.jpg</v>
      </c>
    </row>
    <row r="506" spans="1:13" x14ac:dyDescent="0.3">
      <c r="A506" t="s">
        <v>536</v>
      </c>
      <c r="B506" s="1">
        <v>45436</v>
      </c>
      <c r="C506" t="s">
        <v>36</v>
      </c>
      <c r="D506" t="s">
        <v>25</v>
      </c>
      <c r="E506">
        <v>40</v>
      </c>
      <c r="F506" t="s">
        <v>15</v>
      </c>
      <c r="G506">
        <v>896.15</v>
      </c>
      <c r="H506">
        <v>42</v>
      </c>
      <c r="I506" t="s">
        <v>16</v>
      </c>
      <c r="J506">
        <v>4</v>
      </c>
      <c r="K506" t="s">
        <v>17</v>
      </c>
      <c r="L506" t="s">
        <v>18</v>
      </c>
      <c r="M506" t="str">
        <f>VLOOKUP(D510,Restaurant_Master!A:B,2,FALSE)</f>
        <v>https://dynamic-media-cdn.tripadvisor.com/media/photo-o/1c/e7/04/0d/front-of-the-local-easily.jpg</v>
      </c>
    </row>
    <row r="507" spans="1:13" x14ac:dyDescent="0.3">
      <c r="A507" t="s">
        <v>537</v>
      </c>
      <c r="B507" s="1">
        <v>45399</v>
      </c>
      <c r="C507" t="s">
        <v>43</v>
      </c>
      <c r="D507" t="s">
        <v>38</v>
      </c>
      <c r="E507">
        <v>36</v>
      </c>
      <c r="F507" t="s">
        <v>28</v>
      </c>
      <c r="G507">
        <v>533.88</v>
      </c>
      <c r="H507">
        <v>56</v>
      </c>
      <c r="I507" t="s">
        <v>16</v>
      </c>
      <c r="J507">
        <v>2.9</v>
      </c>
      <c r="K507" t="s">
        <v>26</v>
      </c>
      <c r="L507" t="s">
        <v>18</v>
      </c>
      <c r="M507" t="str">
        <f>VLOOKUP(D511,Restaurant_Master!A:B,2,FALSE)</f>
        <v>https://dynamic-media-cdn.tripadvisor.com/media/photo-o/1c/e7/04/0d/front-of-the-local-easily.jpg</v>
      </c>
    </row>
    <row r="508" spans="1:13" x14ac:dyDescent="0.3">
      <c r="A508" t="s">
        <v>538</v>
      </c>
      <c r="B508" s="1">
        <v>45403</v>
      </c>
      <c r="C508" t="s">
        <v>13</v>
      </c>
      <c r="D508" t="s">
        <v>32</v>
      </c>
      <c r="E508">
        <v>52</v>
      </c>
      <c r="F508" t="s">
        <v>28</v>
      </c>
      <c r="G508">
        <v>453.33</v>
      </c>
      <c r="H508">
        <v>54</v>
      </c>
      <c r="I508" t="s">
        <v>16</v>
      </c>
      <c r="J508">
        <v>3.2</v>
      </c>
      <c r="K508" t="s">
        <v>26</v>
      </c>
      <c r="L508" t="s">
        <v>23</v>
      </c>
      <c r="M508" t="str">
        <f>VLOOKUP(D512,Restaurant_Master!A:B,2,FALSE)</f>
        <v>https://media-cdn.tripadvisor.com/media/photo-s/1c/c7/97/b6/photo6jpg.jpg</v>
      </c>
    </row>
    <row r="509" spans="1:13" x14ac:dyDescent="0.3">
      <c r="A509" t="s">
        <v>539</v>
      </c>
      <c r="B509" s="1">
        <v>45498</v>
      </c>
      <c r="C509" t="s">
        <v>34</v>
      </c>
      <c r="D509" t="s">
        <v>21</v>
      </c>
      <c r="E509">
        <v>25</v>
      </c>
      <c r="F509" t="s">
        <v>28</v>
      </c>
      <c r="G509">
        <v>639.95000000000005</v>
      </c>
      <c r="H509">
        <v>38</v>
      </c>
      <c r="I509" t="s">
        <v>22</v>
      </c>
      <c r="J509">
        <v>3.9</v>
      </c>
      <c r="K509" t="s">
        <v>41</v>
      </c>
      <c r="L509" t="s">
        <v>18</v>
      </c>
      <c r="M509" t="str">
        <f>VLOOKUP(D513,Restaurant_Master!A:B,2,FALSE)</f>
        <v>https://media-cdn.tripadvisor.com/media/photo-s/1c/c7/97/b6/photo6jpg.jpg</v>
      </c>
    </row>
    <row r="510" spans="1:13" x14ac:dyDescent="0.3">
      <c r="A510" t="s">
        <v>540</v>
      </c>
      <c r="B510" s="1">
        <v>45334</v>
      </c>
      <c r="C510" t="s">
        <v>34</v>
      </c>
      <c r="D510" t="s">
        <v>21</v>
      </c>
      <c r="E510">
        <v>46</v>
      </c>
      <c r="F510" t="s">
        <v>15</v>
      </c>
      <c r="G510">
        <v>960</v>
      </c>
      <c r="H510">
        <v>23</v>
      </c>
      <c r="I510" t="s">
        <v>22</v>
      </c>
      <c r="J510">
        <v>4.5</v>
      </c>
      <c r="K510" t="s">
        <v>17</v>
      </c>
      <c r="L510" t="s">
        <v>18</v>
      </c>
      <c r="M510" t="str">
        <f>VLOOKUP(D514,Restaurant_Master!A:B,2,FALSE)</f>
        <v>https://content.jdmagicbox.com/comp/deoria/g6/9999p5568.5568.200119143033.m4g6/catalogue/biryani-house-deoria-ho-deoria-mktc2xph0o.jpg</v>
      </c>
    </row>
    <row r="511" spans="1:13" x14ac:dyDescent="0.3">
      <c r="A511" t="s">
        <v>541</v>
      </c>
      <c r="B511" s="1">
        <v>45378</v>
      </c>
      <c r="C511" t="s">
        <v>13</v>
      </c>
      <c r="D511" t="s">
        <v>21</v>
      </c>
      <c r="E511">
        <v>28</v>
      </c>
      <c r="F511" t="s">
        <v>15</v>
      </c>
      <c r="G511">
        <v>160.68</v>
      </c>
      <c r="H511">
        <v>56</v>
      </c>
      <c r="I511" t="s">
        <v>16</v>
      </c>
      <c r="J511">
        <v>3.7</v>
      </c>
      <c r="K511" t="s">
        <v>41</v>
      </c>
      <c r="L511" t="s">
        <v>23</v>
      </c>
      <c r="M511" t="str">
        <f>VLOOKUP(D515,Restaurant_Master!A:B,2,FALSE)</f>
        <v>https://dineout-media-assets.swiggy.com/swiggy/image/upload/fl_lossy,f_auto,q_auto/v1660793737/fdqxvxcxg1wtdwvyv45v.jpg</v>
      </c>
    </row>
    <row r="512" spans="1:13" x14ac:dyDescent="0.3">
      <c r="A512" t="s">
        <v>542</v>
      </c>
      <c r="B512" s="1">
        <v>45594</v>
      </c>
      <c r="C512" t="s">
        <v>20</v>
      </c>
      <c r="D512" t="s">
        <v>25</v>
      </c>
      <c r="E512">
        <v>19</v>
      </c>
      <c r="F512" t="s">
        <v>15</v>
      </c>
      <c r="G512">
        <v>1149.82</v>
      </c>
      <c r="H512">
        <v>25</v>
      </c>
      <c r="I512" t="s">
        <v>22</v>
      </c>
      <c r="J512">
        <v>3.8</v>
      </c>
      <c r="K512" t="s">
        <v>41</v>
      </c>
      <c r="L512" t="s">
        <v>18</v>
      </c>
      <c r="M512" t="str">
        <f>VLOOKUP(D516,Restaurant_Master!A:B,2,FALSE)</f>
        <v>https://dineout-media-assets.swiggy.com/swiggy/image/upload/fl_lossy,f_auto,q_auto/v1660793737/fdqxvxcxg1wtdwvyv45v.jpg</v>
      </c>
    </row>
    <row r="513" spans="1:13" x14ac:dyDescent="0.3">
      <c r="A513" t="s">
        <v>543</v>
      </c>
      <c r="B513" s="1">
        <v>45433</v>
      </c>
      <c r="C513" t="s">
        <v>20</v>
      </c>
      <c r="D513" t="s">
        <v>25</v>
      </c>
      <c r="E513">
        <v>31</v>
      </c>
      <c r="F513" t="s">
        <v>28</v>
      </c>
      <c r="G513">
        <v>1194.46</v>
      </c>
      <c r="H513">
        <v>50</v>
      </c>
      <c r="I513" t="s">
        <v>16</v>
      </c>
      <c r="J513">
        <v>3.3</v>
      </c>
      <c r="K513" t="s">
        <v>17</v>
      </c>
      <c r="L513" t="s">
        <v>18</v>
      </c>
      <c r="M513" t="str">
        <f>VLOOKUP(D517,Restaurant_Master!A:B,2,FALSE)</f>
        <v>https://www.chatswoodinterchange.com/storages/2018/08/Sushi-World_666x448.jpg</v>
      </c>
    </row>
    <row r="514" spans="1:13" x14ac:dyDescent="0.3">
      <c r="A514" t="s">
        <v>544</v>
      </c>
      <c r="B514" s="1">
        <v>45399</v>
      </c>
      <c r="C514" t="s">
        <v>36</v>
      </c>
      <c r="D514" t="s">
        <v>32</v>
      </c>
      <c r="E514">
        <v>25</v>
      </c>
      <c r="F514" t="s">
        <v>28</v>
      </c>
      <c r="G514">
        <v>760.51</v>
      </c>
      <c r="H514">
        <v>36</v>
      </c>
      <c r="I514" t="s">
        <v>22</v>
      </c>
      <c r="J514">
        <v>4.3</v>
      </c>
      <c r="K514" t="s">
        <v>17</v>
      </c>
      <c r="L514" t="s">
        <v>18</v>
      </c>
      <c r="M514" t="str">
        <f>VLOOKUP(D518,Restaurant_Master!A:B,2,FALSE)</f>
        <v>https://www.chatswoodinterchange.com/storages/2018/08/Sushi-World_666x448.jpg</v>
      </c>
    </row>
    <row r="515" spans="1:13" x14ac:dyDescent="0.3">
      <c r="A515" t="s">
        <v>545</v>
      </c>
      <c r="B515" s="1">
        <v>45330</v>
      </c>
      <c r="C515" t="s">
        <v>13</v>
      </c>
      <c r="D515" t="s">
        <v>14</v>
      </c>
      <c r="E515">
        <v>22</v>
      </c>
      <c r="F515" t="s">
        <v>15</v>
      </c>
      <c r="G515">
        <v>155.09</v>
      </c>
      <c r="H515">
        <v>35</v>
      </c>
      <c r="I515" t="s">
        <v>22</v>
      </c>
      <c r="J515">
        <v>4.8</v>
      </c>
      <c r="K515" t="s">
        <v>17</v>
      </c>
      <c r="L515" t="s">
        <v>18</v>
      </c>
      <c r="M515" t="str">
        <f>VLOOKUP(D519,Restaurant_Master!A:B,2,FALSE)</f>
        <v>https://dynamic-media-cdn.tripadvisor.com/media/photo-o/1c/e7/04/0d/front-of-the-local-easily.jpg</v>
      </c>
    </row>
    <row r="516" spans="1:13" x14ac:dyDescent="0.3">
      <c r="A516" t="s">
        <v>546</v>
      </c>
      <c r="B516" s="1">
        <v>45644</v>
      </c>
      <c r="C516" t="s">
        <v>43</v>
      </c>
      <c r="D516" t="s">
        <v>14</v>
      </c>
      <c r="E516">
        <v>53</v>
      </c>
      <c r="F516" t="s">
        <v>15</v>
      </c>
      <c r="G516">
        <v>570.27</v>
      </c>
      <c r="H516">
        <v>33</v>
      </c>
      <c r="I516" t="s">
        <v>22</v>
      </c>
      <c r="J516">
        <v>3</v>
      </c>
      <c r="K516" t="s">
        <v>26</v>
      </c>
      <c r="L516" t="s">
        <v>18</v>
      </c>
      <c r="M516" t="str">
        <f>VLOOKUP(D520,Restaurant_Master!A:B,2,FALSE)</f>
        <v>https://dineout-media-assets.swiggy.com/swiggy/image/upload/fl_lossy,f_auto,q_auto/v1660793737/fdqxvxcxg1wtdwvyv45v.jpg</v>
      </c>
    </row>
    <row r="517" spans="1:13" x14ac:dyDescent="0.3">
      <c r="A517" t="s">
        <v>547</v>
      </c>
      <c r="B517" s="1">
        <v>45520</v>
      </c>
      <c r="C517" t="s">
        <v>20</v>
      </c>
      <c r="D517" t="s">
        <v>38</v>
      </c>
      <c r="E517">
        <v>33</v>
      </c>
      <c r="F517" t="s">
        <v>28</v>
      </c>
      <c r="G517">
        <v>985.41</v>
      </c>
      <c r="H517">
        <v>47</v>
      </c>
      <c r="I517" t="s">
        <v>16</v>
      </c>
      <c r="J517">
        <v>3.6</v>
      </c>
      <c r="K517" t="s">
        <v>17</v>
      </c>
      <c r="L517" t="s">
        <v>23</v>
      </c>
      <c r="M517" t="str">
        <f>VLOOKUP(D521,Restaurant_Master!A:B,2,FALSE)</f>
        <v>https://media-cdn.tripadvisor.com/media/photo-s/1c/c7/97/b6/photo6jpg.jpg</v>
      </c>
    </row>
    <row r="518" spans="1:13" x14ac:dyDescent="0.3">
      <c r="A518" t="s">
        <v>548</v>
      </c>
      <c r="B518" s="1">
        <v>45435</v>
      </c>
      <c r="C518" t="s">
        <v>34</v>
      </c>
      <c r="D518" t="s">
        <v>38</v>
      </c>
      <c r="E518">
        <v>31</v>
      </c>
      <c r="F518" t="s">
        <v>28</v>
      </c>
      <c r="G518">
        <v>554.41</v>
      </c>
      <c r="H518">
        <v>23</v>
      </c>
      <c r="I518" t="s">
        <v>22</v>
      </c>
      <c r="J518">
        <v>4.5999999999999996</v>
      </c>
      <c r="K518" t="s">
        <v>26</v>
      </c>
      <c r="L518" t="s">
        <v>23</v>
      </c>
      <c r="M518" t="str">
        <f>VLOOKUP(D522,Restaurant_Master!A:B,2,FALSE)</f>
        <v>https://dineout-media-assets.swiggy.com/swiggy/image/upload/fl_lossy,f_auto,q_auto/v1660793737/fdqxvxcxg1wtdwvyv45v.jpg</v>
      </c>
    </row>
    <row r="519" spans="1:13" x14ac:dyDescent="0.3">
      <c r="A519" t="s">
        <v>549</v>
      </c>
      <c r="B519" s="1">
        <v>45397</v>
      </c>
      <c r="C519" t="s">
        <v>36</v>
      </c>
      <c r="D519" t="s">
        <v>21</v>
      </c>
      <c r="E519">
        <v>52</v>
      </c>
      <c r="F519" t="s">
        <v>15</v>
      </c>
      <c r="G519">
        <v>1120.6600000000001</v>
      </c>
      <c r="H519">
        <v>33</v>
      </c>
      <c r="I519" t="s">
        <v>22</v>
      </c>
      <c r="J519">
        <v>4.9000000000000004</v>
      </c>
      <c r="K519" t="s">
        <v>29</v>
      </c>
      <c r="L519" t="s">
        <v>18</v>
      </c>
      <c r="M519" t="str">
        <f>VLOOKUP(D523,Restaurant_Master!A:B,2,FALSE)</f>
        <v>https://dynamic-media-cdn.tripadvisor.com/media/photo-o/1c/e7/04/0d/front-of-the-local-easily.jpg</v>
      </c>
    </row>
    <row r="520" spans="1:13" x14ac:dyDescent="0.3">
      <c r="A520" t="s">
        <v>550</v>
      </c>
      <c r="B520" s="1">
        <v>45456</v>
      </c>
      <c r="C520" t="s">
        <v>20</v>
      </c>
      <c r="D520" t="s">
        <v>14</v>
      </c>
      <c r="E520">
        <v>49</v>
      </c>
      <c r="F520" t="s">
        <v>15</v>
      </c>
      <c r="G520">
        <v>494.62</v>
      </c>
      <c r="H520">
        <v>34</v>
      </c>
      <c r="I520" t="s">
        <v>22</v>
      </c>
      <c r="J520">
        <v>3.8</v>
      </c>
      <c r="K520" t="s">
        <v>17</v>
      </c>
      <c r="L520" t="s">
        <v>23</v>
      </c>
      <c r="M520" t="str">
        <f>VLOOKUP(D524,Restaurant_Master!A:B,2,FALSE)</f>
        <v>https://www.chatswoodinterchange.com/storages/2018/08/Sushi-World_666x448.jpg</v>
      </c>
    </row>
    <row r="521" spans="1:13" x14ac:dyDescent="0.3">
      <c r="A521" t="s">
        <v>551</v>
      </c>
      <c r="B521" s="1">
        <v>45439</v>
      </c>
      <c r="C521" t="s">
        <v>36</v>
      </c>
      <c r="D521" t="s">
        <v>25</v>
      </c>
      <c r="E521">
        <v>40</v>
      </c>
      <c r="F521" t="s">
        <v>15</v>
      </c>
      <c r="G521">
        <v>972.09</v>
      </c>
      <c r="H521">
        <v>20</v>
      </c>
      <c r="I521" t="s">
        <v>22</v>
      </c>
      <c r="J521">
        <v>4.7</v>
      </c>
      <c r="K521" t="s">
        <v>26</v>
      </c>
      <c r="L521" t="s">
        <v>18</v>
      </c>
      <c r="M521" t="str">
        <f>VLOOKUP(D525,Restaurant_Master!A:B,2,FALSE)</f>
        <v>https://dineout-media-assets.swiggy.com/swiggy/image/upload/fl_lossy,f_auto,q_auto/v1660793737/fdqxvxcxg1wtdwvyv45v.jpg</v>
      </c>
    </row>
    <row r="522" spans="1:13" x14ac:dyDescent="0.3">
      <c r="A522" t="s">
        <v>552</v>
      </c>
      <c r="B522" s="1">
        <v>45512</v>
      </c>
      <c r="C522" t="s">
        <v>13</v>
      </c>
      <c r="D522" t="s">
        <v>14</v>
      </c>
      <c r="E522">
        <v>20</v>
      </c>
      <c r="F522" t="s">
        <v>28</v>
      </c>
      <c r="G522">
        <v>783.33</v>
      </c>
      <c r="H522">
        <v>58</v>
      </c>
      <c r="I522" t="s">
        <v>16</v>
      </c>
      <c r="J522">
        <v>4.4000000000000004</v>
      </c>
      <c r="K522" t="s">
        <v>29</v>
      </c>
      <c r="L522" t="s">
        <v>23</v>
      </c>
      <c r="M522" t="str">
        <f>VLOOKUP(D526,Restaurant_Master!A:B,2,FALSE)</f>
        <v>https://www.chatswoodinterchange.com/storages/2018/08/Sushi-World_666x448.jpg</v>
      </c>
    </row>
    <row r="523" spans="1:13" x14ac:dyDescent="0.3">
      <c r="A523" t="s">
        <v>553</v>
      </c>
      <c r="B523" s="1">
        <v>45518</v>
      </c>
      <c r="C523" t="s">
        <v>20</v>
      </c>
      <c r="D523" t="s">
        <v>21</v>
      </c>
      <c r="E523">
        <v>44</v>
      </c>
      <c r="F523" t="s">
        <v>15</v>
      </c>
      <c r="G523">
        <v>216.25</v>
      </c>
      <c r="H523">
        <v>21</v>
      </c>
      <c r="I523" t="s">
        <v>22</v>
      </c>
      <c r="J523">
        <v>5</v>
      </c>
      <c r="K523" t="s">
        <v>17</v>
      </c>
      <c r="L523" t="s">
        <v>23</v>
      </c>
      <c r="M523" t="str">
        <f>VLOOKUP(D527,Restaurant_Master!A:B,2,FALSE)</f>
        <v>https://dineout-media-assets.swiggy.com/swiggy/image/upload/fl_lossy,f_auto,q_auto/v1660793737/fdqxvxcxg1wtdwvyv45v.jpg</v>
      </c>
    </row>
    <row r="524" spans="1:13" x14ac:dyDescent="0.3">
      <c r="A524" t="s">
        <v>554</v>
      </c>
      <c r="B524" s="1">
        <v>45550</v>
      </c>
      <c r="C524" t="s">
        <v>36</v>
      </c>
      <c r="D524" t="s">
        <v>38</v>
      </c>
      <c r="E524">
        <v>37</v>
      </c>
      <c r="F524" t="s">
        <v>28</v>
      </c>
      <c r="G524">
        <v>784.68</v>
      </c>
      <c r="H524">
        <v>52</v>
      </c>
      <c r="I524" t="s">
        <v>16</v>
      </c>
      <c r="J524">
        <v>4.0999999999999996</v>
      </c>
      <c r="K524" t="s">
        <v>26</v>
      </c>
      <c r="L524" t="s">
        <v>23</v>
      </c>
      <c r="M524" t="str">
        <f>VLOOKUP(D528,Restaurant_Master!A:B,2,FALSE)</f>
        <v>https://media-cdn.tripadvisor.com/media/photo-s/1c/c7/97/b6/photo6jpg.jpg</v>
      </c>
    </row>
    <row r="525" spans="1:13" x14ac:dyDescent="0.3">
      <c r="A525" t="s">
        <v>555</v>
      </c>
      <c r="B525" s="1">
        <v>45647</v>
      </c>
      <c r="C525" t="s">
        <v>34</v>
      </c>
      <c r="D525" t="s">
        <v>14</v>
      </c>
      <c r="E525">
        <v>60</v>
      </c>
      <c r="F525" t="s">
        <v>15</v>
      </c>
      <c r="G525">
        <v>1012.69</v>
      </c>
      <c r="H525">
        <v>39</v>
      </c>
      <c r="I525" t="s">
        <v>22</v>
      </c>
      <c r="J525">
        <v>3.4</v>
      </c>
      <c r="K525" t="s">
        <v>41</v>
      </c>
      <c r="L525" t="s">
        <v>18</v>
      </c>
      <c r="M525" t="str">
        <f>VLOOKUP(D529,Restaurant_Master!A:B,2,FALSE)</f>
        <v>https://dineout-media-assets.swiggy.com/swiggy/image/upload/fl_lossy,f_auto,q_auto/v1660793737/fdqxvxcxg1wtdwvyv45v.jpg</v>
      </c>
    </row>
    <row r="526" spans="1:13" x14ac:dyDescent="0.3">
      <c r="A526" t="s">
        <v>556</v>
      </c>
      <c r="B526" s="1">
        <v>45322</v>
      </c>
      <c r="C526" t="s">
        <v>43</v>
      </c>
      <c r="D526" t="s">
        <v>38</v>
      </c>
      <c r="E526">
        <v>20</v>
      </c>
      <c r="F526" t="s">
        <v>15</v>
      </c>
      <c r="G526">
        <v>770.3</v>
      </c>
      <c r="H526">
        <v>55</v>
      </c>
      <c r="I526" t="s">
        <v>16</v>
      </c>
      <c r="J526">
        <v>2.9</v>
      </c>
      <c r="K526" t="s">
        <v>17</v>
      </c>
      <c r="L526" t="s">
        <v>18</v>
      </c>
      <c r="M526" t="str">
        <f>VLOOKUP(D530,Restaurant_Master!A:B,2,FALSE)</f>
        <v>https://dineout-media-assets.swiggy.com/swiggy/image/upload/fl_lossy,f_auto,q_auto/v1660793737/fdqxvxcxg1wtdwvyv45v.jpg</v>
      </c>
    </row>
    <row r="527" spans="1:13" x14ac:dyDescent="0.3">
      <c r="A527" t="s">
        <v>557</v>
      </c>
      <c r="B527" s="1">
        <v>45591</v>
      </c>
      <c r="C527" t="s">
        <v>36</v>
      </c>
      <c r="D527" t="s">
        <v>14</v>
      </c>
      <c r="E527">
        <v>46</v>
      </c>
      <c r="F527" t="s">
        <v>15</v>
      </c>
      <c r="G527">
        <v>1154.92</v>
      </c>
      <c r="H527">
        <v>48</v>
      </c>
      <c r="I527" t="s">
        <v>16</v>
      </c>
      <c r="J527">
        <v>4.0999999999999996</v>
      </c>
      <c r="K527" t="s">
        <v>26</v>
      </c>
      <c r="L527" t="s">
        <v>23</v>
      </c>
      <c r="M527" t="str">
        <f>VLOOKUP(D531,Restaurant_Master!A:B,2,FALSE)</f>
        <v>https://dineout-media-assets.swiggy.com/swiggy/image/upload/fl_lossy,f_auto,q_auto/v1660793737/fdqxvxcxg1wtdwvyv45v.jpg</v>
      </c>
    </row>
    <row r="528" spans="1:13" x14ac:dyDescent="0.3">
      <c r="A528" t="s">
        <v>558</v>
      </c>
      <c r="B528" s="1">
        <v>45461</v>
      </c>
      <c r="C528" t="s">
        <v>43</v>
      </c>
      <c r="D528" t="s">
        <v>25</v>
      </c>
      <c r="E528">
        <v>40</v>
      </c>
      <c r="F528" t="s">
        <v>28</v>
      </c>
      <c r="G528">
        <v>310.16000000000003</v>
      </c>
      <c r="H528">
        <v>44</v>
      </c>
      <c r="I528" t="s">
        <v>16</v>
      </c>
      <c r="J528">
        <v>3.3</v>
      </c>
      <c r="K528" t="s">
        <v>17</v>
      </c>
      <c r="L528" t="s">
        <v>23</v>
      </c>
      <c r="M528" t="str">
        <f>VLOOKUP(D532,Restaurant_Master!A:B,2,FALSE)</f>
        <v>https://www.chatswoodinterchange.com/storages/2018/08/Sushi-World_666x448.jpg</v>
      </c>
    </row>
    <row r="529" spans="1:13" x14ac:dyDescent="0.3">
      <c r="A529" t="s">
        <v>559</v>
      </c>
      <c r="B529" s="1">
        <v>45302</v>
      </c>
      <c r="C529" t="s">
        <v>20</v>
      </c>
      <c r="D529" t="s">
        <v>14</v>
      </c>
      <c r="E529">
        <v>56</v>
      </c>
      <c r="F529" t="s">
        <v>28</v>
      </c>
      <c r="G529">
        <v>337.79</v>
      </c>
      <c r="H529">
        <v>39</v>
      </c>
      <c r="I529" t="s">
        <v>22</v>
      </c>
      <c r="J529">
        <v>4.4000000000000004</v>
      </c>
      <c r="K529" t="s">
        <v>26</v>
      </c>
      <c r="L529" t="s">
        <v>23</v>
      </c>
      <c r="M529" t="str">
        <f>VLOOKUP(D533,Restaurant_Master!A:B,2,FALSE)</f>
        <v>https://media-cdn.tripadvisor.com/media/photo-s/1c/c7/97/b6/photo6jpg.jpg</v>
      </c>
    </row>
    <row r="530" spans="1:13" x14ac:dyDescent="0.3">
      <c r="A530" t="s">
        <v>560</v>
      </c>
      <c r="B530" s="1">
        <v>45600</v>
      </c>
      <c r="C530" t="s">
        <v>36</v>
      </c>
      <c r="D530" t="s">
        <v>14</v>
      </c>
      <c r="E530">
        <v>58</v>
      </c>
      <c r="F530" t="s">
        <v>28</v>
      </c>
      <c r="G530">
        <v>494.16</v>
      </c>
      <c r="H530">
        <v>38</v>
      </c>
      <c r="I530" t="s">
        <v>22</v>
      </c>
      <c r="J530">
        <v>3</v>
      </c>
      <c r="K530" t="s">
        <v>26</v>
      </c>
      <c r="L530" t="s">
        <v>18</v>
      </c>
      <c r="M530" t="str">
        <f>VLOOKUP(D534,Restaurant_Master!A:B,2,FALSE)</f>
        <v>https://dynamic-media-cdn.tripadvisor.com/media/photo-o/1c/e7/04/0d/front-of-the-local-easily.jpg</v>
      </c>
    </row>
    <row r="531" spans="1:13" x14ac:dyDescent="0.3">
      <c r="A531" t="s">
        <v>561</v>
      </c>
      <c r="B531" s="1">
        <v>45595</v>
      </c>
      <c r="C531" t="s">
        <v>20</v>
      </c>
      <c r="D531" t="s">
        <v>14</v>
      </c>
      <c r="E531">
        <v>18</v>
      </c>
      <c r="F531" t="s">
        <v>15</v>
      </c>
      <c r="G531">
        <v>671.89</v>
      </c>
      <c r="H531">
        <v>36</v>
      </c>
      <c r="I531" t="s">
        <v>22</v>
      </c>
      <c r="J531">
        <v>4.5999999999999996</v>
      </c>
      <c r="K531" t="s">
        <v>17</v>
      </c>
      <c r="L531" t="s">
        <v>23</v>
      </c>
      <c r="M531" t="str">
        <f>VLOOKUP(D535,Restaurant_Master!A:B,2,FALSE)</f>
        <v>https://media-cdn.tripadvisor.com/media/photo-s/1c/c7/97/b6/photo6jpg.jpg</v>
      </c>
    </row>
    <row r="532" spans="1:13" x14ac:dyDescent="0.3">
      <c r="A532" t="s">
        <v>562</v>
      </c>
      <c r="B532" s="1">
        <v>45493</v>
      </c>
      <c r="C532" t="s">
        <v>34</v>
      </c>
      <c r="D532" t="s">
        <v>38</v>
      </c>
      <c r="E532">
        <v>36</v>
      </c>
      <c r="F532" t="s">
        <v>28</v>
      </c>
      <c r="G532">
        <v>1142.29</v>
      </c>
      <c r="H532">
        <v>43</v>
      </c>
      <c r="I532" t="s">
        <v>16</v>
      </c>
      <c r="J532">
        <v>3.9</v>
      </c>
      <c r="K532" t="s">
        <v>26</v>
      </c>
      <c r="L532" t="s">
        <v>18</v>
      </c>
      <c r="M532" t="str">
        <f>VLOOKUP(D536,Restaurant_Master!A:B,2,FALSE)</f>
        <v>https://www.chatswoodinterchange.com/storages/2018/08/Sushi-World_666x448.jpg</v>
      </c>
    </row>
    <row r="533" spans="1:13" x14ac:dyDescent="0.3">
      <c r="A533" t="s">
        <v>563</v>
      </c>
      <c r="B533" s="1">
        <v>45478</v>
      </c>
      <c r="C533" t="s">
        <v>43</v>
      </c>
      <c r="D533" t="s">
        <v>25</v>
      </c>
      <c r="E533">
        <v>41</v>
      </c>
      <c r="F533" t="s">
        <v>28</v>
      </c>
      <c r="G533">
        <v>292.39</v>
      </c>
      <c r="H533">
        <v>42</v>
      </c>
      <c r="I533" t="s">
        <v>16</v>
      </c>
      <c r="J533">
        <v>3.6</v>
      </c>
      <c r="K533" t="s">
        <v>29</v>
      </c>
      <c r="L533" t="s">
        <v>18</v>
      </c>
      <c r="M533" t="str">
        <f>VLOOKUP(D537,Restaurant_Master!A:B,2,FALSE)</f>
        <v>https://dineout-media-assets.swiggy.com/swiggy/image/upload/fl_lossy,f_auto,q_auto/v1660793737/fdqxvxcxg1wtdwvyv45v.jpg</v>
      </c>
    </row>
    <row r="534" spans="1:13" x14ac:dyDescent="0.3">
      <c r="A534" t="s">
        <v>564</v>
      </c>
      <c r="B534" s="1">
        <v>45581</v>
      </c>
      <c r="C534" t="s">
        <v>36</v>
      </c>
      <c r="D534" t="s">
        <v>21</v>
      </c>
      <c r="E534">
        <v>27</v>
      </c>
      <c r="F534" t="s">
        <v>28</v>
      </c>
      <c r="G534">
        <v>413.31</v>
      </c>
      <c r="H534">
        <v>36</v>
      </c>
      <c r="I534" t="s">
        <v>22</v>
      </c>
      <c r="J534">
        <v>4.5999999999999996</v>
      </c>
      <c r="K534" t="s">
        <v>26</v>
      </c>
      <c r="L534" t="s">
        <v>23</v>
      </c>
      <c r="M534" t="str">
        <f>VLOOKUP(D538,Restaurant_Master!A:B,2,FALSE)</f>
        <v>https://www.chatswoodinterchange.com/storages/2018/08/Sushi-World_666x448.jpg</v>
      </c>
    </row>
    <row r="535" spans="1:13" x14ac:dyDescent="0.3">
      <c r="A535" t="s">
        <v>565</v>
      </c>
      <c r="B535" s="1">
        <v>45321</v>
      </c>
      <c r="C535" t="s">
        <v>20</v>
      </c>
      <c r="D535" t="s">
        <v>25</v>
      </c>
      <c r="E535">
        <v>40</v>
      </c>
      <c r="F535" t="s">
        <v>15</v>
      </c>
      <c r="G535">
        <v>398.04</v>
      </c>
      <c r="H535">
        <v>47</v>
      </c>
      <c r="I535" t="s">
        <v>16</v>
      </c>
      <c r="J535">
        <v>2.9</v>
      </c>
      <c r="K535" t="s">
        <v>41</v>
      </c>
      <c r="L535" t="s">
        <v>23</v>
      </c>
      <c r="M535" t="str">
        <f>VLOOKUP(D539,Restaurant_Master!A:B,2,FALSE)</f>
        <v>https://dineout-media-assets.swiggy.com/swiggy/image/upload/fl_lossy,f_auto,q_auto/v1660793737/fdqxvxcxg1wtdwvyv45v.jpg</v>
      </c>
    </row>
    <row r="536" spans="1:13" x14ac:dyDescent="0.3">
      <c r="A536" t="s">
        <v>566</v>
      </c>
      <c r="B536" s="1">
        <v>45380</v>
      </c>
      <c r="C536" t="s">
        <v>43</v>
      </c>
      <c r="D536" t="s">
        <v>38</v>
      </c>
      <c r="E536">
        <v>55</v>
      </c>
      <c r="F536" t="s">
        <v>28</v>
      </c>
      <c r="G536">
        <v>1118.8599999999999</v>
      </c>
      <c r="H536">
        <v>25</v>
      </c>
      <c r="I536" t="s">
        <v>22</v>
      </c>
      <c r="J536">
        <v>4.3</v>
      </c>
      <c r="K536" t="s">
        <v>29</v>
      </c>
      <c r="L536" t="s">
        <v>23</v>
      </c>
      <c r="M536" t="str">
        <f>VLOOKUP(D540,Restaurant_Master!A:B,2,FALSE)</f>
        <v>https://www.chatswoodinterchange.com/storages/2018/08/Sushi-World_666x448.jpg</v>
      </c>
    </row>
    <row r="537" spans="1:13" x14ac:dyDescent="0.3">
      <c r="A537" t="s">
        <v>567</v>
      </c>
      <c r="B537" s="1">
        <v>45466</v>
      </c>
      <c r="C537" t="s">
        <v>13</v>
      </c>
      <c r="D537" t="s">
        <v>14</v>
      </c>
      <c r="E537">
        <v>28</v>
      </c>
      <c r="F537" t="s">
        <v>28</v>
      </c>
      <c r="G537">
        <v>389.98</v>
      </c>
      <c r="H537">
        <v>28</v>
      </c>
      <c r="I537" t="s">
        <v>22</v>
      </c>
      <c r="J537">
        <v>2.5</v>
      </c>
      <c r="K537" t="s">
        <v>17</v>
      </c>
      <c r="L537" t="s">
        <v>18</v>
      </c>
      <c r="M537" t="str">
        <f>VLOOKUP(D541,Restaurant_Master!A:B,2,FALSE)</f>
        <v>https://media-cdn.tripadvisor.com/media/photo-s/1c/c7/97/b6/photo6jpg.jpg</v>
      </c>
    </row>
    <row r="538" spans="1:13" x14ac:dyDescent="0.3">
      <c r="A538" t="s">
        <v>568</v>
      </c>
      <c r="B538" s="1">
        <v>45320</v>
      </c>
      <c r="C538" t="s">
        <v>43</v>
      </c>
      <c r="D538" t="s">
        <v>38</v>
      </c>
      <c r="E538">
        <v>50</v>
      </c>
      <c r="F538" t="s">
        <v>28</v>
      </c>
      <c r="G538">
        <v>374.14</v>
      </c>
      <c r="H538">
        <v>36</v>
      </c>
      <c r="I538" t="s">
        <v>22</v>
      </c>
      <c r="J538">
        <v>3.1</v>
      </c>
      <c r="K538" t="s">
        <v>29</v>
      </c>
      <c r="L538" t="s">
        <v>18</v>
      </c>
      <c r="M538" t="str">
        <f>VLOOKUP(D542,Restaurant_Master!A:B,2,FALSE)</f>
        <v>https://content.jdmagicbox.com/comp/deoria/g6/9999p5568.5568.200119143033.m4g6/catalogue/biryani-house-deoria-ho-deoria-mktc2xph0o.jpg</v>
      </c>
    </row>
    <row r="539" spans="1:13" x14ac:dyDescent="0.3">
      <c r="A539" t="s">
        <v>569</v>
      </c>
      <c r="B539" s="1">
        <v>45402</v>
      </c>
      <c r="C539" t="s">
        <v>36</v>
      </c>
      <c r="D539" t="s">
        <v>14</v>
      </c>
      <c r="E539">
        <v>20</v>
      </c>
      <c r="F539" t="s">
        <v>28</v>
      </c>
      <c r="G539">
        <v>1056.1600000000001</v>
      </c>
      <c r="H539">
        <v>31</v>
      </c>
      <c r="I539" t="s">
        <v>22</v>
      </c>
      <c r="J539">
        <v>4.9000000000000004</v>
      </c>
      <c r="K539" t="s">
        <v>26</v>
      </c>
      <c r="L539" t="s">
        <v>23</v>
      </c>
      <c r="M539" t="str">
        <f>VLOOKUP(D543,Restaurant_Master!A:B,2,FALSE)</f>
        <v>https://dineout-media-assets.swiggy.com/swiggy/image/upload/fl_lossy,f_auto,q_auto/v1660793737/fdqxvxcxg1wtdwvyv45v.jpg</v>
      </c>
    </row>
    <row r="540" spans="1:13" x14ac:dyDescent="0.3">
      <c r="A540" t="s">
        <v>570</v>
      </c>
      <c r="B540" s="1">
        <v>45415</v>
      </c>
      <c r="C540" t="s">
        <v>43</v>
      </c>
      <c r="D540" t="s">
        <v>38</v>
      </c>
      <c r="E540">
        <v>49</v>
      </c>
      <c r="F540" t="s">
        <v>15</v>
      </c>
      <c r="G540">
        <v>1017.43</v>
      </c>
      <c r="H540">
        <v>40</v>
      </c>
      <c r="I540" t="s">
        <v>22</v>
      </c>
      <c r="J540">
        <v>4.5</v>
      </c>
      <c r="K540" t="s">
        <v>17</v>
      </c>
      <c r="L540" t="s">
        <v>18</v>
      </c>
      <c r="M540" t="str">
        <f>VLOOKUP(D544,Restaurant_Master!A:B,2,FALSE)</f>
        <v>https://dineout-media-assets.swiggy.com/swiggy/image/upload/fl_lossy,f_auto,q_auto/v1660793737/fdqxvxcxg1wtdwvyv45v.jpg</v>
      </c>
    </row>
    <row r="541" spans="1:13" x14ac:dyDescent="0.3">
      <c r="A541" t="s">
        <v>571</v>
      </c>
      <c r="B541" s="1">
        <v>45346</v>
      </c>
      <c r="C541" t="s">
        <v>20</v>
      </c>
      <c r="D541" t="s">
        <v>25</v>
      </c>
      <c r="E541">
        <v>38</v>
      </c>
      <c r="F541" t="s">
        <v>15</v>
      </c>
      <c r="G541">
        <v>389.41</v>
      </c>
      <c r="H541">
        <v>59</v>
      </c>
      <c r="I541" t="s">
        <v>16</v>
      </c>
      <c r="J541">
        <v>3</v>
      </c>
      <c r="K541" t="s">
        <v>29</v>
      </c>
      <c r="L541" t="s">
        <v>18</v>
      </c>
      <c r="M541" t="str">
        <f>VLOOKUP(D545,Restaurant_Master!A:B,2,FALSE)</f>
        <v>https://dineout-media-assets.swiggy.com/swiggy/image/upload/fl_lossy,f_auto,q_auto/v1660793737/fdqxvxcxg1wtdwvyv45v.jpg</v>
      </c>
    </row>
    <row r="542" spans="1:13" x14ac:dyDescent="0.3">
      <c r="A542" t="s">
        <v>572</v>
      </c>
      <c r="B542" s="1">
        <v>45536</v>
      </c>
      <c r="C542" t="s">
        <v>13</v>
      </c>
      <c r="D542" t="s">
        <v>32</v>
      </c>
      <c r="E542">
        <v>20</v>
      </c>
      <c r="F542" t="s">
        <v>15</v>
      </c>
      <c r="G542">
        <v>1145.77</v>
      </c>
      <c r="H542">
        <v>50</v>
      </c>
      <c r="I542" t="s">
        <v>16</v>
      </c>
      <c r="J542">
        <v>2.8</v>
      </c>
      <c r="K542" t="s">
        <v>26</v>
      </c>
      <c r="L542" t="s">
        <v>18</v>
      </c>
      <c r="M542" t="str">
        <f>VLOOKUP(D546,Restaurant_Master!A:B,2,FALSE)</f>
        <v>https://dineout-media-assets.swiggy.com/swiggy/image/upload/fl_lossy,f_auto,q_auto/v1660793737/fdqxvxcxg1wtdwvyv45v.jpg</v>
      </c>
    </row>
    <row r="543" spans="1:13" x14ac:dyDescent="0.3">
      <c r="A543" t="s">
        <v>573</v>
      </c>
      <c r="B543" s="1">
        <v>45466</v>
      </c>
      <c r="C543" t="s">
        <v>43</v>
      </c>
      <c r="D543" t="s">
        <v>14</v>
      </c>
      <c r="E543">
        <v>59</v>
      </c>
      <c r="F543" t="s">
        <v>15</v>
      </c>
      <c r="G543">
        <v>546.79</v>
      </c>
      <c r="H543">
        <v>31</v>
      </c>
      <c r="I543" t="s">
        <v>22</v>
      </c>
      <c r="J543">
        <v>3</v>
      </c>
      <c r="K543" t="s">
        <v>41</v>
      </c>
      <c r="L543" t="s">
        <v>18</v>
      </c>
      <c r="M543" t="str">
        <f>VLOOKUP(D547,Restaurant_Master!A:B,2,FALSE)</f>
        <v>https://dynamic-media-cdn.tripadvisor.com/media/photo-o/1c/e7/04/0d/front-of-the-local-easily.jpg</v>
      </c>
    </row>
    <row r="544" spans="1:13" x14ac:dyDescent="0.3">
      <c r="A544" t="s">
        <v>574</v>
      </c>
      <c r="B544" s="1">
        <v>45486</v>
      </c>
      <c r="C544" t="s">
        <v>43</v>
      </c>
      <c r="D544" t="s">
        <v>14</v>
      </c>
      <c r="E544">
        <v>37</v>
      </c>
      <c r="F544" t="s">
        <v>15</v>
      </c>
      <c r="G544">
        <v>968.14</v>
      </c>
      <c r="H544">
        <v>44</v>
      </c>
      <c r="I544" t="s">
        <v>16</v>
      </c>
      <c r="J544">
        <v>3.9</v>
      </c>
      <c r="K544" t="s">
        <v>26</v>
      </c>
      <c r="L544" t="s">
        <v>18</v>
      </c>
      <c r="M544" t="str">
        <f>VLOOKUP(D548,Restaurant_Master!A:B,2,FALSE)</f>
        <v>https://media-cdn.tripadvisor.com/media/photo-s/1c/c7/97/b6/photo6jpg.jpg</v>
      </c>
    </row>
    <row r="545" spans="1:13" x14ac:dyDescent="0.3">
      <c r="A545" t="s">
        <v>575</v>
      </c>
      <c r="B545" s="1">
        <v>45298</v>
      </c>
      <c r="C545" t="s">
        <v>36</v>
      </c>
      <c r="D545" t="s">
        <v>14</v>
      </c>
      <c r="E545">
        <v>32</v>
      </c>
      <c r="F545" t="s">
        <v>28</v>
      </c>
      <c r="G545">
        <v>507.02</v>
      </c>
      <c r="H545">
        <v>32</v>
      </c>
      <c r="I545" t="s">
        <v>22</v>
      </c>
      <c r="J545">
        <v>4.5999999999999996</v>
      </c>
      <c r="K545" t="s">
        <v>29</v>
      </c>
      <c r="L545" t="s">
        <v>23</v>
      </c>
      <c r="M545" t="str">
        <f>VLOOKUP(D549,Restaurant_Master!A:B,2,FALSE)</f>
        <v>https://media-cdn.tripadvisor.com/media/photo-s/1c/c7/97/b6/photo6jpg.jpg</v>
      </c>
    </row>
    <row r="546" spans="1:13" x14ac:dyDescent="0.3">
      <c r="A546" t="s">
        <v>576</v>
      </c>
      <c r="B546" s="1">
        <v>45367</v>
      </c>
      <c r="C546" t="s">
        <v>43</v>
      </c>
      <c r="D546" t="s">
        <v>14</v>
      </c>
      <c r="E546">
        <v>28</v>
      </c>
      <c r="F546" t="s">
        <v>15</v>
      </c>
      <c r="G546">
        <v>1069.55</v>
      </c>
      <c r="H546">
        <v>27</v>
      </c>
      <c r="I546" t="s">
        <v>22</v>
      </c>
      <c r="J546">
        <v>2.5</v>
      </c>
      <c r="K546" t="s">
        <v>26</v>
      </c>
      <c r="L546" t="s">
        <v>23</v>
      </c>
      <c r="M546" t="str">
        <f>VLOOKUP(D550,Restaurant_Master!A:B,2,FALSE)</f>
        <v>https://dineout-media-assets.swiggy.com/swiggy/image/upload/fl_lossy,f_auto,q_auto/v1660793737/fdqxvxcxg1wtdwvyv45v.jpg</v>
      </c>
    </row>
    <row r="547" spans="1:13" x14ac:dyDescent="0.3">
      <c r="A547" t="s">
        <v>577</v>
      </c>
      <c r="B547" s="1">
        <v>45309</v>
      </c>
      <c r="C547" t="s">
        <v>36</v>
      </c>
      <c r="D547" t="s">
        <v>21</v>
      </c>
      <c r="E547">
        <v>28</v>
      </c>
      <c r="F547" t="s">
        <v>28</v>
      </c>
      <c r="G547">
        <v>398.02</v>
      </c>
      <c r="H547">
        <v>25</v>
      </c>
      <c r="I547" t="s">
        <v>22</v>
      </c>
      <c r="J547">
        <v>3</v>
      </c>
      <c r="K547" t="s">
        <v>41</v>
      </c>
      <c r="L547" t="s">
        <v>23</v>
      </c>
      <c r="M547" t="str">
        <f>VLOOKUP(D551,Restaurant_Master!A:B,2,FALSE)</f>
        <v>https://content.jdmagicbox.com/comp/deoria/g6/9999p5568.5568.200119143033.m4g6/catalogue/biryani-house-deoria-ho-deoria-mktc2xph0o.jpg</v>
      </c>
    </row>
    <row r="548" spans="1:13" x14ac:dyDescent="0.3">
      <c r="A548" t="s">
        <v>578</v>
      </c>
      <c r="B548" s="1">
        <v>45564</v>
      </c>
      <c r="C548" t="s">
        <v>36</v>
      </c>
      <c r="D548" t="s">
        <v>25</v>
      </c>
      <c r="E548">
        <v>24</v>
      </c>
      <c r="F548" t="s">
        <v>28</v>
      </c>
      <c r="G548">
        <v>1037.77</v>
      </c>
      <c r="H548">
        <v>28</v>
      </c>
      <c r="I548" t="s">
        <v>22</v>
      </c>
      <c r="J548">
        <v>3.7</v>
      </c>
      <c r="K548" t="s">
        <v>17</v>
      </c>
      <c r="L548" t="s">
        <v>23</v>
      </c>
      <c r="M548" t="str">
        <f>VLOOKUP(D552,Restaurant_Master!A:B,2,FALSE)</f>
        <v>https://content.jdmagicbox.com/comp/deoria/g6/9999p5568.5568.200119143033.m4g6/catalogue/biryani-house-deoria-ho-deoria-mktc2xph0o.jpg</v>
      </c>
    </row>
    <row r="549" spans="1:13" x14ac:dyDescent="0.3">
      <c r="A549" t="s">
        <v>579</v>
      </c>
      <c r="B549" s="1">
        <v>45588</v>
      </c>
      <c r="C549" t="s">
        <v>43</v>
      </c>
      <c r="D549" t="s">
        <v>25</v>
      </c>
      <c r="E549">
        <v>27</v>
      </c>
      <c r="F549" t="s">
        <v>28</v>
      </c>
      <c r="G549">
        <v>541</v>
      </c>
      <c r="H549">
        <v>32</v>
      </c>
      <c r="I549" t="s">
        <v>22</v>
      </c>
      <c r="J549">
        <v>2.9</v>
      </c>
      <c r="K549" t="s">
        <v>26</v>
      </c>
      <c r="L549" t="s">
        <v>18</v>
      </c>
      <c r="M549" t="str">
        <f>VLOOKUP(D553,Restaurant_Master!A:B,2,FALSE)</f>
        <v>https://dynamic-media-cdn.tripadvisor.com/media/photo-o/1c/e7/04/0d/front-of-the-local-easily.jpg</v>
      </c>
    </row>
    <row r="550" spans="1:13" x14ac:dyDescent="0.3">
      <c r="A550" t="s">
        <v>580</v>
      </c>
      <c r="B550" s="1">
        <v>45451</v>
      </c>
      <c r="C550" t="s">
        <v>43</v>
      </c>
      <c r="D550" t="s">
        <v>14</v>
      </c>
      <c r="E550">
        <v>19</v>
      </c>
      <c r="F550" t="s">
        <v>15</v>
      </c>
      <c r="G550">
        <v>895.03</v>
      </c>
      <c r="H550">
        <v>28</v>
      </c>
      <c r="I550" t="s">
        <v>22</v>
      </c>
      <c r="J550">
        <v>4.0999999999999996</v>
      </c>
      <c r="K550" t="s">
        <v>29</v>
      </c>
      <c r="L550" t="s">
        <v>23</v>
      </c>
      <c r="M550" t="str">
        <f>VLOOKUP(D554,Restaurant_Master!A:B,2,FALSE)</f>
        <v>https://dynamic-media-cdn.tripadvisor.com/media/photo-o/1c/e7/04/0d/front-of-the-local-easily.jpg</v>
      </c>
    </row>
    <row r="551" spans="1:13" x14ac:dyDescent="0.3">
      <c r="A551" t="s">
        <v>581</v>
      </c>
      <c r="B551" s="1">
        <v>45577</v>
      </c>
      <c r="C551" t="s">
        <v>36</v>
      </c>
      <c r="D551" t="s">
        <v>32</v>
      </c>
      <c r="E551">
        <v>45</v>
      </c>
      <c r="F551" t="s">
        <v>28</v>
      </c>
      <c r="G551">
        <v>782.76</v>
      </c>
      <c r="H551">
        <v>39</v>
      </c>
      <c r="I551" t="s">
        <v>22</v>
      </c>
      <c r="J551">
        <v>4.5</v>
      </c>
      <c r="K551" t="s">
        <v>26</v>
      </c>
      <c r="L551" t="s">
        <v>23</v>
      </c>
      <c r="M551" t="str">
        <f>VLOOKUP(D555,Restaurant_Master!A:B,2,FALSE)</f>
        <v>https://media-cdn.tripadvisor.com/media/photo-s/1c/c7/97/b6/photo6jpg.jpg</v>
      </c>
    </row>
    <row r="552" spans="1:13" x14ac:dyDescent="0.3">
      <c r="A552" t="s">
        <v>582</v>
      </c>
      <c r="B552" s="1">
        <v>45374</v>
      </c>
      <c r="C552" t="s">
        <v>20</v>
      </c>
      <c r="D552" t="s">
        <v>32</v>
      </c>
      <c r="E552">
        <v>22</v>
      </c>
      <c r="F552" t="s">
        <v>15</v>
      </c>
      <c r="G552">
        <v>583.07000000000005</v>
      </c>
      <c r="H552">
        <v>26</v>
      </c>
      <c r="I552" t="s">
        <v>22</v>
      </c>
      <c r="J552">
        <v>4</v>
      </c>
      <c r="K552" t="s">
        <v>41</v>
      </c>
      <c r="L552" t="s">
        <v>23</v>
      </c>
      <c r="M552" t="str">
        <f>VLOOKUP(D556,Restaurant_Master!A:B,2,FALSE)</f>
        <v>https://dynamic-media-cdn.tripadvisor.com/media/photo-o/1c/e7/04/0d/front-of-the-local-easily.jpg</v>
      </c>
    </row>
    <row r="553" spans="1:13" x14ac:dyDescent="0.3">
      <c r="A553" t="s">
        <v>583</v>
      </c>
      <c r="B553" s="1">
        <v>45476</v>
      </c>
      <c r="C553" t="s">
        <v>36</v>
      </c>
      <c r="D553" t="s">
        <v>21</v>
      </c>
      <c r="E553">
        <v>31</v>
      </c>
      <c r="F553" t="s">
        <v>15</v>
      </c>
      <c r="G553">
        <v>210.35</v>
      </c>
      <c r="H553">
        <v>36</v>
      </c>
      <c r="I553" t="s">
        <v>22</v>
      </c>
      <c r="J553">
        <v>2.9</v>
      </c>
      <c r="K553" t="s">
        <v>29</v>
      </c>
      <c r="L553" t="s">
        <v>23</v>
      </c>
      <c r="M553" t="str">
        <f>VLOOKUP(D557,Restaurant_Master!A:B,2,FALSE)</f>
        <v>https://media-cdn.tripadvisor.com/media/photo-s/1c/c7/97/b6/photo6jpg.jpg</v>
      </c>
    </row>
    <row r="554" spans="1:13" x14ac:dyDescent="0.3">
      <c r="A554" t="s">
        <v>584</v>
      </c>
      <c r="B554" s="1">
        <v>45470</v>
      </c>
      <c r="C554" t="s">
        <v>34</v>
      </c>
      <c r="D554" t="s">
        <v>21</v>
      </c>
      <c r="E554">
        <v>59</v>
      </c>
      <c r="F554" t="s">
        <v>15</v>
      </c>
      <c r="G554">
        <v>886.82</v>
      </c>
      <c r="H554">
        <v>37</v>
      </c>
      <c r="I554" t="s">
        <v>22</v>
      </c>
      <c r="J554">
        <v>4.8</v>
      </c>
      <c r="K554" t="s">
        <v>17</v>
      </c>
      <c r="L554" t="s">
        <v>18</v>
      </c>
      <c r="M554" t="str">
        <f>VLOOKUP(D558,Restaurant_Master!A:B,2,FALSE)</f>
        <v>https://dynamic-media-cdn.tripadvisor.com/media/photo-o/1c/e7/04/0d/front-of-the-local-easily.jpg</v>
      </c>
    </row>
    <row r="555" spans="1:13" x14ac:dyDescent="0.3">
      <c r="A555" t="s">
        <v>585</v>
      </c>
      <c r="B555" s="1">
        <v>45462</v>
      </c>
      <c r="C555" t="s">
        <v>36</v>
      </c>
      <c r="D555" t="s">
        <v>25</v>
      </c>
      <c r="E555">
        <v>48</v>
      </c>
      <c r="F555" t="s">
        <v>15</v>
      </c>
      <c r="G555">
        <v>772.93</v>
      </c>
      <c r="H555">
        <v>50</v>
      </c>
      <c r="I555" t="s">
        <v>16</v>
      </c>
      <c r="J555">
        <v>4.3</v>
      </c>
      <c r="K555" t="s">
        <v>17</v>
      </c>
      <c r="L555" t="s">
        <v>18</v>
      </c>
      <c r="M555" t="str">
        <f>VLOOKUP(D559,Restaurant_Master!A:B,2,FALSE)</f>
        <v>https://dineout-media-assets.swiggy.com/swiggy/image/upload/fl_lossy,f_auto,q_auto/v1660793737/fdqxvxcxg1wtdwvyv45v.jpg</v>
      </c>
    </row>
    <row r="556" spans="1:13" x14ac:dyDescent="0.3">
      <c r="A556" t="s">
        <v>586</v>
      </c>
      <c r="B556" s="1">
        <v>45409</v>
      </c>
      <c r="C556" t="s">
        <v>34</v>
      </c>
      <c r="D556" t="s">
        <v>21</v>
      </c>
      <c r="E556">
        <v>39</v>
      </c>
      <c r="F556" t="s">
        <v>28</v>
      </c>
      <c r="G556">
        <v>544.78</v>
      </c>
      <c r="H556">
        <v>34</v>
      </c>
      <c r="I556" t="s">
        <v>22</v>
      </c>
      <c r="J556">
        <v>4.2</v>
      </c>
      <c r="K556" t="s">
        <v>17</v>
      </c>
      <c r="L556" t="s">
        <v>18</v>
      </c>
      <c r="M556" t="str">
        <f>VLOOKUP(D560,Restaurant_Master!A:B,2,FALSE)</f>
        <v>https://content.jdmagicbox.com/comp/deoria/g6/9999p5568.5568.200119143033.m4g6/catalogue/biryani-house-deoria-ho-deoria-mktc2xph0o.jpg</v>
      </c>
    </row>
    <row r="557" spans="1:13" x14ac:dyDescent="0.3">
      <c r="A557" t="s">
        <v>587</v>
      </c>
      <c r="B557" s="1">
        <v>45315</v>
      </c>
      <c r="C557" t="s">
        <v>34</v>
      </c>
      <c r="D557" t="s">
        <v>25</v>
      </c>
      <c r="E557">
        <v>18</v>
      </c>
      <c r="F557" t="s">
        <v>15</v>
      </c>
      <c r="G557">
        <v>1102.7</v>
      </c>
      <c r="H557">
        <v>39</v>
      </c>
      <c r="I557" t="s">
        <v>22</v>
      </c>
      <c r="J557">
        <v>3.8</v>
      </c>
      <c r="K557" t="s">
        <v>26</v>
      </c>
      <c r="L557" t="s">
        <v>23</v>
      </c>
      <c r="M557" t="str">
        <f>VLOOKUP(D561,Restaurant_Master!A:B,2,FALSE)</f>
        <v>https://media-cdn.tripadvisor.com/media/photo-s/1c/c7/97/b6/photo6jpg.jpg</v>
      </c>
    </row>
    <row r="558" spans="1:13" x14ac:dyDescent="0.3">
      <c r="A558" t="s">
        <v>588</v>
      </c>
      <c r="B558" s="1">
        <v>45619</v>
      </c>
      <c r="C558" t="s">
        <v>13</v>
      </c>
      <c r="D558" t="s">
        <v>21</v>
      </c>
      <c r="E558">
        <v>36</v>
      </c>
      <c r="F558" t="s">
        <v>15</v>
      </c>
      <c r="G558">
        <v>1096.54</v>
      </c>
      <c r="H558">
        <v>56</v>
      </c>
      <c r="I558" t="s">
        <v>16</v>
      </c>
      <c r="J558">
        <v>2.5</v>
      </c>
      <c r="K558" t="s">
        <v>26</v>
      </c>
      <c r="L558" t="s">
        <v>23</v>
      </c>
      <c r="M558" t="str">
        <f>VLOOKUP(D562,Restaurant_Master!A:B,2,FALSE)</f>
        <v>https://media-cdn.tripadvisor.com/media/photo-s/1c/c7/97/b6/photo6jpg.jpg</v>
      </c>
    </row>
    <row r="559" spans="1:13" x14ac:dyDescent="0.3">
      <c r="A559" t="s">
        <v>589</v>
      </c>
      <c r="B559" s="1">
        <v>45497</v>
      </c>
      <c r="C559" t="s">
        <v>13</v>
      </c>
      <c r="D559" t="s">
        <v>14</v>
      </c>
      <c r="E559">
        <v>18</v>
      </c>
      <c r="F559" t="s">
        <v>15</v>
      </c>
      <c r="G559">
        <v>447.51</v>
      </c>
      <c r="H559">
        <v>60</v>
      </c>
      <c r="I559" t="s">
        <v>16</v>
      </c>
      <c r="J559">
        <v>4.5</v>
      </c>
      <c r="K559" t="s">
        <v>29</v>
      </c>
      <c r="L559" t="s">
        <v>18</v>
      </c>
      <c r="M559" t="str">
        <f>VLOOKUP(D563,Restaurant_Master!A:B,2,FALSE)</f>
        <v>https://www.chatswoodinterchange.com/storages/2018/08/Sushi-World_666x448.jpg</v>
      </c>
    </row>
    <row r="560" spans="1:13" x14ac:dyDescent="0.3">
      <c r="A560" t="s">
        <v>590</v>
      </c>
      <c r="B560" s="1">
        <v>45392</v>
      </c>
      <c r="C560" t="s">
        <v>36</v>
      </c>
      <c r="D560" t="s">
        <v>32</v>
      </c>
      <c r="E560">
        <v>24</v>
      </c>
      <c r="F560" t="s">
        <v>28</v>
      </c>
      <c r="G560">
        <v>285.94</v>
      </c>
      <c r="H560">
        <v>37</v>
      </c>
      <c r="I560" t="s">
        <v>22</v>
      </c>
      <c r="J560">
        <v>3.1</v>
      </c>
      <c r="K560" t="s">
        <v>29</v>
      </c>
      <c r="L560" t="s">
        <v>18</v>
      </c>
      <c r="M560" t="str">
        <f>VLOOKUP(D564,Restaurant_Master!A:B,2,FALSE)</f>
        <v>https://www.chatswoodinterchange.com/storages/2018/08/Sushi-World_666x448.jpg</v>
      </c>
    </row>
    <row r="561" spans="1:13" x14ac:dyDescent="0.3">
      <c r="A561" t="s">
        <v>591</v>
      </c>
      <c r="B561" s="1">
        <v>45533</v>
      </c>
      <c r="C561" t="s">
        <v>43</v>
      </c>
      <c r="D561" t="s">
        <v>25</v>
      </c>
      <c r="E561">
        <v>44</v>
      </c>
      <c r="F561" t="s">
        <v>15</v>
      </c>
      <c r="G561">
        <v>919.26</v>
      </c>
      <c r="H561">
        <v>35</v>
      </c>
      <c r="I561" t="s">
        <v>22</v>
      </c>
      <c r="J561">
        <v>4.0999999999999996</v>
      </c>
      <c r="K561" t="s">
        <v>41</v>
      </c>
      <c r="L561" t="s">
        <v>18</v>
      </c>
      <c r="M561" t="str">
        <f>VLOOKUP(D565,Restaurant_Master!A:B,2,FALSE)</f>
        <v>https://dynamic-media-cdn.tripadvisor.com/media/photo-o/1c/e7/04/0d/front-of-the-local-easily.jpg</v>
      </c>
    </row>
    <row r="562" spans="1:13" x14ac:dyDescent="0.3">
      <c r="A562" t="s">
        <v>592</v>
      </c>
      <c r="B562" s="1">
        <v>45296</v>
      </c>
      <c r="C562" t="s">
        <v>13</v>
      </c>
      <c r="D562" t="s">
        <v>25</v>
      </c>
      <c r="E562">
        <v>27</v>
      </c>
      <c r="F562" t="s">
        <v>28</v>
      </c>
      <c r="G562">
        <v>792.58</v>
      </c>
      <c r="H562">
        <v>28</v>
      </c>
      <c r="I562" t="s">
        <v>22</v>
      </c>
      <c r="J562">
        <v>3.1</v>
      </c>
      <c r="K562" t="s">
        <v>17</v>
      </c>
      <c r="L562" t="s">
        <v>23</v>
      </c>
      <c r="M562" t="str">
        <f>VLOOKUP(D566,Restaurant_Master!A:B,2,FALSE)</f>
        <v>https://media-cdn.tripadvisor.com/media/photo-s/1c/c7/97/b6/photo6jpg.jpg</v>
      </c>
    </row>
    <row r="563" spans="1:13" x14ac:dyDescent="0.3">
      <c r="A563" t="s">
        <v>593</v>
      </c>
      <c r="B563" s="1">
        <v>45497</v>
      </c>
      <c r="C563" t="s">
        <v>20</v>
      </c>
      <c r="D563" t="s">
        <v>38</v>
      </c>
      <c r="E563">
        <v>26</v>
      </c>
      <c r="F563" t="s">
        <v>15</v>
      </c>
      <c r="G563">
        <v>846.55</v>
      </c>
      <c r="H563">
        <v>54</v>
      </c>
      <c r="I563" t="s">
        <v>16</v>
      </c>
      <c r="J563">
        <v>4.7</v>
      </c>
      <c r="K563" t="s">
        <v>41</v>
      </c>
      <c r="L563" t="s">
        <v>23</v>
      </c>
      <c r="M563" t="str">
        <f>VLOOKUP(D567,Restaurant_Master!A:B,2,FALSE)</f>
        <v>https://dineout-media-assets.swiggy.com/swiggy/image/upload/fl_lossy,f_auto,q_auto/v1660793737/fdqxvxcxg1wtdwvyv45v.jpg</v>
      </c>
    </row>
    <row r="564" spans="1:13" x14ac:dyDescent="0.3">
      <c r="A564" t="s">
        <v>594</v>
      </c>
      <c r="B564" s="1">
        <v>45536</v>
      </c>
      <c r="C564" t="s">
        <v>20</v>
      </c>
      <c r="D564" t="s">
        <v>38</v>
      </c>
      <c r="E564">
        <v>46</v>
      </c>
      <c r="F564" t="s">
        <v>28</v>
      </c>
      <c r="G564">
        <v>1117.81</v>
      </c>
      <c r="H564">
        <v>30</v>
      </c>
      <c r="I564" t="s">
        <v>22</v>
      </c>
      <c r="J564">
        <v>4</v>
      </c>
      <c r="K564" t="s">
        <v>26</v>
      </c>
      <c r="L564" t="s">
        <v>23</v>
      </c>
      <c r="M564" t="str">
        <f>VLOOKUP(D568,Restaurant_Master!A:B,2,FALSE)</f>
        <v>https://content.jdmagicbox.com/comp/deoria/g6/9999p5568.5568.200119143033.m4g6/catalogue/biryani-house-deoria-ho-deoria-mktc2xph0o.jpg</v>
      </c>
    </row>
    <row r="565" spans="1:13" x14ac:dyDescent="0.3">
      <c r="A565" t="s">
        <v>595</v>
      </c>
      <c r="B565" s="1">
        <v>45598</v>
      </c>
      <c r="C565" t="s">
        <v>20</v>
      </c>
      <c r="D565" t="s">
        <v>21</v>
      </c>
      <c r="E565">
        <v>22</v>
      </c>
      <c r="F565" t="s">
        <v>28</v>
      </c>
      <c r="G565">
        <v>539.76</v>
      </c>
      <c r="H565">
        <v>42</v>
      </c>
      <c r="I565" t="s">
        <v>16</v>
      </c>
      <c r="J565">
        <v>3.8</v>
      </c>
      <c r="K565" t="s">
        <v>29</v>
      </c>
      <c r="L565" t="s">
        <v>23</v>
      </c>
      <c r="M565" t="str">
        <f>VLOOKUP(D569,Restaurant_Master!A:B,2,FALSE)</f>
        <v>https://dynamic-media-cdn.tripadvisor.com/media/photo-o/1c/e7/04/0d/front-of-the-local-easily.jpg</v>
      </c>
    </row>
    <row r="566" spans="1:13" x14ac:dyDescent="0.3">
      <c r="A566" t="s">
        <v>596</v>
      </c>
      <c r="B566" s="1">
        <v>45418</v>
      </c>
      <c r="C566" t="s">
        <v>43</v>
      </c>
      <c r="D566" t="s">
        <v>25</v>
      </c>
      <c r="E566">
        <v>46</v>
      </c>
      <c r="F566" t="s">
        <v>28</v>
      </c>
      <c r="G566">
        <v>1028.1500000000001</v>
      </c>
      <c r="H566">
        <v>23</v>
      </c>
      <c r="I566" t="s">
        <v>22</v>
      </c>
      <c r="J566">
        <v>4.0999999999999996</v>
      </c>
      <c r="K566" t="s">
        <v>41</v>
      </c>
      <c r="L566" t="s">
        <v>23</v>
      </c>
      <c r="M566" t="str">
        <f>VLOOKUP(D570,Restaurant_Master!A:B,2,FALSE)</f>
        <v>https://content.jdmagicbox.com/comp/deoria/g6/9999p5568.5568.200119143033.m4g6/catalogue/biryani-house-deoria-ho-deoria-mktc2xph0o.jpg</v>
      </c>
    </row>
    <row r="567" spans="1:13" x14ac:dyDescent="0.3">
      <c r="A567" t="s">
        <v>597</v>
      </c>
      <c r="B567" s="1">
        <v>45508</v>
      </c>
      <c r="C567" t="s">
        <v>13</v>
      </c>
      <c r="D567" t="s">
        <v>14</v>
      </c>
      <c r="E567">
        <v>32</v>
      </c>
      <c r="F567" t="s">
        <v>28</v>
      </c>
      <c r="G567">
        <v>178.14</v>
      </c>
      <c r="H567">
        <v>29</v>
      </c>
      <c r="I567" t="s">
        <v>22</v>
      </c>
      <c r="J567">
        <v>4.4000000000000004</v>
      </c>
      <c r="K567" t="s">
        <v>17</v>
      </c>
      <c r="L567" t="s">
        <v>18</v>
      </c>
      <c r="M567" t="str">
        <f>VLOOKUP(D571,Restaurant_Master!A:B,2,FALSE)</f>
        <v>https://media-cdn.tripadvisor.com/media/photo-s/1c/c7/97/b6/photo6jpg.jpg</v>
      </c>
    </row>
    <row r="568" spans="1:13" x14ac:dyDescent="0.3">
      <c r="A568" t="s">
        <v>598</v>
      </c>
      <c r="B568" s="1">
        <v>45426</v>
      </c>
      <c r="C568" t="s">
        <v>43</v>
      </c>
      <c r="D568" t="s">
        <v>32</v>
      </c>
      <c r="E568">
        <v>35</v>
      </c>
      <c r="F568" t="s">
        <v>15</v>
      </c>
      <c r="G568">
        <v>207.78</v>
      </c>
      <c r="H568">
        <v>41</v>
      </c>
      <c r="I568" t="s">
        <v>16</v>
      </c>
      <c r="J568">
        <v>2.9</v>
      </c>
      <c r="K568" t="s">
        <v>17</v>
      </c>
      <c r="L568" t="s">
        <v>18</v>
      </c>
      <c r="M568" t="str">
        <f>VLOOKUP(D572,Restaurant_Master!A:B,2,FALSE)</f>
        <v>https://www.chatswoodinterchange.com/storages/2018/08/Sushi-World_666x448.jpg</v>
      </c>
    </row>
    <row r="569" spans="1:13" x14ac:dyDescent="0.3">
      <c r="A569" t="s">
        <v>599</v>
      </c>
      <c r="B569" s="1">
        <v>45357</v>
      </c>
      <c r="C569" t="s">
        <v>36</v>
      </c>
      <c r="D569" t="s">
        <v>21</v>
      </c>
      <c r="E569">
        <v>52</v>
      </c>
      <c r="F569" t="s">
        <v>15</v>
      </c>
      <c r="G569">
        <v>783.51</v>
      </c>
      <c r="H569">
        <v>41</v>
      </c>
      <c r="I569" t="s">
        <v>16</v>
      </c>
      <c r="J569">
        <v>2.6</v>
      </c>
      <c r="K569" t="s">
        <v>26</v>
      </c>
      <c r="L569" t="s">
        <v>23</v>
      </c>
      <c r="M569" t="str">
        <f>VLOOKUP(D573,Restaurant_Master!A:B,2,FALSE)</f>
        <v>https://dynamic-media-cdn.tripadvisor.com/media/photo-o/1c/e7/04/0d/front-of-the-local-easily.jpg</v>
      </c>
    </row>
    <row r="570" spans="1:13" x14ac:dyDescent="0.3">
      <c r="A570" t="s">
        <v>600</v>
      </c>
      <c r="B570" s="1">
        <v>45320</v>
      </c>
      <c r="C570" t="s">
        <v>34</v>
      </c>
      <c r="D570" t="s">
        <v>32</v>
      </c>
      <c r="E570">
        <v>60</v>
      </c>
      <c r="F570" t="s">
        <v>15</v>
      </c>
      <c r="G570">
        <v>867.86</v>
      </c>
      <c r="H570">
        <v>30</v>
      </c>
      <c r="I570" t="s">
        <v>22</v>
      </c>
      <c r="J570">
        <v>4.0999999999999996</v>
      </c>
      <c r="K570" t="s">
        <v>26</v>
      </c>
      <c r="L570" t="s">
        <v>18</v>
      </c>
      <c r="M570" t="str">
        <f>VLOOKUP(D574,Restaurant_Master!A:B,2,FALSE)</f>
        <v>https://content.jdmagicbox.com/comp/deoria/g6/9999p5568.5568.200119143033.m4g6/catalogue/biryani-house-deoria-ho-deoria-mktc2xph0o.jpg</v>
      </c>
    </row>
    <row r="571" spans="1:13" x14ac:dyDescent="0.3">
      <c r="A571" t="s">
        <v>601</v>
      </c>
      <c r="B571" s="1">
        <v>45545</v>
      </c>
      <c r="C571" t="s">
        <v>13</v>
      </c>
      <c r="D571" t="s">
        <v>25</v>
      </c>
      <c r="E571">
        <v>24</v>
      </c>
      <c r="F571" t="s">
        <v>15</v>
      </c>
      <c r="G571">
        <v>432.19</v>
      </c>
      <c r="H571">
        <v>58</v>
      </c>
      <c r="I571" t="s">
        <v>16</v>
      </c>
      <c r="J571">
        <v>3.4</v>
      </c>
      <c r="K571" t="s">
        <v>17</v>
      </c>
      <c r="L571" t="s">
        <v>23</v>
      </c>
      <c r="M571" t="str">
        <f>VLOOKUP(D575,Restaurant_Master!A:B,2,FALSE)</f>
        <v>https://media-cdn.tripadvisor.com/media/photo-s/1c/c7/97/b6/photo6jpg.jpg</v>
      </c>
    </row>
    <row r="572" spans="1:13" x14ac:dyDescent="0.3">
      <c r="A572" t="s">
        <v>602</v>
      </c>
      <c r="B572" s="1">
        <v>45433</v>
      </c>
      <c r="C572" t="s">
        <v>36</v>
      </c>
      <c r="D572" t="s">
        <v>38</v>
      </c>
      <c r="E572">
        <v>49</v>
      </c>
      <c r="F572" t="s">
        <v>15</v>
      </c>
      <c r="G572">
        <v>1145.73</v>
      </c>
      <c r="H572">
        <v>45</v>
      </c>
      <c r="I572" t="s">
        <v>16</v>
      </c>
      <c r="J572">
        <v>3.6</v>
      </c>
      <c r="K572" t="s">
        <v>41</v>
      </c>
      <c r="L572" t="s">
        <v>18</v>
      </c>
      <c r="M572" t="str">
        <f>VLOOKUP(D576,Restaurant_Master!A:B,2,FALSE)</f>
        <v>https://dineout-media-assets.swiggy.com/swiggy/image/upload/fl_lossy,f_auto,q_auto/v1660793737/fdqxvxcxg1wtdwvyv45v.jpg</v>
      </c>
    </row>
    <row r="573" spans="1:13" x14ac:dyDescent="0.3">
      <c r="A573" t="s">
        <v>603</v>
      </c>
      <c r="B573" s="1">
        <v>45527</v>
      </c>
      <c r="C573" t="s">
        <v>43</v>
      </c>
      <c r="D573" t="s">
        <v>21</v>
      </c>
      <c r="E573">
        <v>46</v>
      </c>
      <c r="F573" t="s">
        <v>28</v>
      </c>
      <c r="G573">
        <v>640.91999999999996</v>
      </c>
      <c r="H573">
        <v>46</v>
      </c>
      <c r="I573" t="s">
        <v>16</v>
      </c>
      <c r="J573">
        <v>4.8</v>
      </c>
      <c r="K573" t="s">
        <v>17</v>
      </c>
      <c r="L573" t="s">
        <v>18</v>
      </c>
      <c r="M573" t="str">
        <f>VLOOKUP(D577,Restaurant_Master!A:B,2,FALSE)</f>
        <v>https://dineout-media-assets.swiggy.com/swiggy/image/upload/fl_lossy,f_auto,q_auto/v1660793737/fdqxvxcxg1wtdwvyv45v.jpg</v>
      </c>
    </row>
    <row r="574" spans="1:13" x14ac:dyDescent="0.3">
      <c r="A574" t="s">
        <v>604</v>
      </c>
      <c r="B574" s="1">
        <v>45473</v>
      </c>
      <c r="C574" t="s">
        <v>13</v>
      </c>
      <c r="D574" t="s">
        <v>32</v>
      </c>
      <c r="E574">
        <v>54</v>
      </c>
      <c r="F574" t="s">
        <v>28</v>
      </c>
      <c r="G574">
        <v>646.9</v>
      </c>
      <c r="H574">
        <v>41</v>
      </c>
      <c r="I574" t="s">
        <v>16</v>
      </c>
      <c r="J574">
        <v>4.5</v>
      </c>
      <c r="K574" t="s">
        <v>26</v>
      </c>
      <c r="L574" t="s">
        <v>18</v>
      </c>
      <c r="M574" t="str">
        <f>VLOOKUP(D578,Restaurant_Master!A:B,2,FALSE)</f>
        <v>https://content.jdmagicbox.com/comp/deoria/g6/9999p5568.5568.200119143033.m4g6/catalogue/biryani-house-deoria-ho-deoria-mktc2xph0o.jpg</v>
      </c>
    </row>
    <row r="575" spans="1:13" x14ac:dyDescent="0.3">
      <c r="A575" t="s">
        <v>605</v>
      </c>
      <c r="B575" s="1">
        <v>45360</v>
      </c>
      <c r="C575" t="s">
        <v>20</v>
      </c>
      <c r="D575" t="s">
        <v>25</v>
      </c>
      <c r="E575">
        <v>50</v>
      </c>
      <c r="F575" t="s">
        <v>15</v>
      </c>
      <c r="G575">
        <v>373.46</v>
      </c>
      <c r="H575">
        <v>53</v>
      </c>
      <c r="I575" t="s">
        <v>16</v>
      </c>
      <c r="J575">
        <v>3.9</v>
      </c>
      <c r="K575" t="s">
        <v>26</v>
      </c>
      <c r="L575" t="s">
        <v>18</v>
      </c>
      <c r="M575" t="str">
        <f>VLOOKUP(D579,Restaurant_Master!A:B,2,FALSE)</f>
        <v>https://www.chatswoodinterchange.com/storages/2018/08/Sushi-World_666x448.jpg</v>
      </c>
    </row>
    <row r="576" spans="1:13" x14ac:dyDescent="0.3">
      <c r="A576" t="s">
        <v>606</v>
      </c>
      <c r="B576" s="1">
        <v>45632</v>
      </c>
      <c r="C576" t="s">
        <v>13</v>
      </c>
      <c r="D576" t="s">
        <v>14</v>
      </c>
      <c r="E576">
        <v>55</v>
      </c>
      <c r="F576" t="s">
        <v>28</v>
      </c>
      <c r="G576">
        <v>1062.32</v>
      </c>
      <c r="H576">
        <v>37</v>
      </c>
      <c r="I576" t="s">
        <v>22</v>
      </c>
      <c r="J576">
        <v>3.2</v>
      </c>
      <c r="K576" t="s">
        <v>29</v>
      </c>
      <c r="L576" t="s">
        <v>18</v>
      </c>
      <c r="M576" t="str">
        <f>VLOOKUP(D580,Restaurant_Master!A:B,2,FALSE)</f>
        <v>https://media-cdn.tripadvisor.com/media/photo-s/1c/c7/97/b6/photo6jpg.jpg</v>
      </c>
    </row>
    <row r="577" spans="1:13" x14ac:dyDescent="0.3">
      <c r="A577" t="s">
        <v>607</v>
      </c>
      <c r="B577" s="1">
        <v>45430</v>
      </c>
      <c r="C577" t="s">
        <v>20</v>
      </c>
      <c r="D577" t="s">
        <v>14</v>
      </c>
      <c r="E577">
        <v>58</v>
      </c>
      <c r="F577" t="s">
        <v>15</v>
      </c>
      <c r="G577">
        <v>708.93</v>
      </c>
      <c r="H577">
        <v>39</v>
      </c>
      <c r="I577" t="s">
        <v>22</v>
      </c>
      <c r="J577">
        <v>3.5</v>
      </c>
      <c r="K577" t="s">
        <v>29</v>
      </c>
      <c r="L577" t="s">
        <v>23</v>
      </c>
      <c r="M577" t="str">
        <f>VLOOKUP(D581,Restaurant_Master!A:B,2,FALSE)</f>
        <v>https://media-cdn.tripadvisor.com/media/photo-s/1c/c7/97/b6/photo6jpg.jpg</v>
      </c>
    </row>
    <row r="578" spans="1:13" x14ac:dyDescent="0.3">
      <c r="A578" t="s">
        <v>608</v>
      </c>
      <c r="B578" s="1">
        <v>45435</v>
      </c>
      <c r="C578" t="s">
        <v>20</v>
      </c>
      <c r="D578" t="s">
        <v>32</v>
      </c>
      <c r="E578">
        <v>43</v>
      </c>
      <c r="F578" t="s">
        <v>28</v>
      </c>
      <c r="G578">
        <v>1163.03</v>
      </c>
      <c r="H578">
        <v>48</v>
      </c>
      <c r="I578" t="s">
        <v>16</v>
      </c>
      <c r="J578">
        <v>4.0999999999999996</v>
      </c>
      <c r="K578" t="s">
        <v>29</v>
      </c>
      <c r="L578" t="s">
        <v>23</v>
      </c>
      <c r="M578" t="str">
        <f>VLOOKUP(D582,Restaurant_Master!A:B,2,FALSE)</f>
        <v>https://media-cdn.tripadvisor.com/media/photo-s/1c/c7/97/b6/photo6jpg.jpg</v>
      </c>
    </row>
    <row r="579" spans="1:13" x14ac:dyDescent="0.3">
      <c r="A579" t="s">
        <v>609</v>
      </c>
      <c r="B579" s="1">
        <v>45374</v>
      </c>
      <c r="C579" t="s">
        <v>20</v>
      </c>
      <c r="D579" t="s">
        <v>38</v>
      </c>
      <c r="E579">
        <v>40</v>
      </c>
      <c r="F579" t="s">
        <v>28</v>
      </c>
      <c r="G579">
        <v>627.39</v>
      </c>
      <c r="H579">
        <v>22</v>
      </c>
      <c r="I579" t="s">
        <v>22</v>
      </c>
      <c r="J579">
        <v>2.8</v>
      </c>
      <c r="K579" t="s">
        <v>17</v>
      </c>
      <c r="L579" t="s">
        <v>23</v>
      </c>
      <c r="M579" t="str">
        <f>VLOOKUP(D583,Restaurant_Master!A:B,2,FALSE)</f>
        <v>https://www.chatswoodinterchange.com/storages/2018/08/Sushi-World_666x448.jpg</v>
      </c>
    </row>
    <row r="580" spans="1:13" x14ac:dyDescent="0.3">
      <c r="A580" t="s">
        <v>610</v>
      </c>
      <c r="B580" s="1">
        <v>45565</v>
      </c>
      <c r="C580" t="s">
        <v>20</v>
      </c>
      <c r="D580" t="s">
        <v>25</v>
      </c>
      <c r="E580">
        <v>25</v>
      </c>
      <c r="F580" t="s">
        <v>28</v>
      </c>
      <c r="G580">
        <v>272.08999999999997</v>
      </c>
      <c r="H580">
        <v>23</v>
      </c>
      <c r="I580" t="s">
        <v>22</v>
      </c>
      <c r="J580">
        <v>2.6</v>
      </c>
      <c r="K580" t="s">
        <v>41</v>
      </c>
      <c r="L580" t="s">
        <v>23</v>
      </c>
      <c r="M580" t="str">
        <f>VLOOKUP(D584,Restaurant_Master!A:B,2,FALSE)</f>
        <v>https://content.jdmagicbox.com/comp/deoria/g6/9999p5568.5568.200119143033.m4g6/catalogue/biryani-house-deoria-ho-deoria-mktc2xph0o.jpg</v>
      </c>
    </row>
    <row r="581" spans="1:13" x14ac:dyDescent="0.3">
      <c r="A581" t="s">
        <v>611</v>
      </c>
      <c r="B581" s="1">
        <v>45484</v>
      </c>
      <c r="C581" t="s">
        <v>43</v>
      </c>
      <c r="D581" t="s">
        <v>25</v>
      </c>
      <c r="E581">
        <v>43</v>
      </c>
      <c r="F581" t="s">
        <v>15</v>
      </c>
      <c r="G581">
        <v>1175.8599999999999</v>
      </c>
      <c r="H581">
        <v>58</v>
      </c>
      <c r="I581" t="s">
        <v>16</v>
      </c>
      <c r="J581">
        <v>4.3</v>
      </c>
      <c r="K581" t="s">
        <v>41</v>
      </c>
      <c r="L581" t="s">
        <v>23</v>
      </c>
      <c r="M581" t="str">
        <f>VLOOKUP(D585,Restaurant_Master!A:B,2,FALSE)</f>
        <v>https://media-cdn.tripadvisor.com/media/photo-s/1c/c7/97/b6/photo6jpg.jpg</v>
      </c>
    </row>
    <row r="582" spans="1:13" x14ac:dyDescent="0.3">
      <c r="A582" t="s">
        <v>612</v>
      </c>
      <c r="B582" s="1">
        <v>45472</v>
      </c>
      <c r="C582" t="s">
        <v>43</v>
      </c>
      <c r="D582" t="s">
        <v>25</v>
      </c>
      <c r="E582">
        <v>39</v>
      </c>
      <c r="F582" t="s">
        <v>28</v>
      </c>
      <c r="G582">
        <v>333.04</v>
      </c>
      <c r="H582">
        <v>35</v>
      </c>
      <c r="I582" t="s">
        <v>22</v>
      </c>
      <c r="J582">
        <v>4.5</v>
      </c>
      <c r="K582" t="s">
        <v>26</v>
      </c>
      <c r="L582" t="s">
        <v>23</v>
      </c>
      <c r="M582" t="str">
        <f>VLOOKUP(D586,Restaurant_Master!A:B,2,FALSE)</f>
        <v>https://dynamic-media-cdn.tripadvisor.com/media/photo-o/1c/e7/04/0d/front-of-the-local-easily.jpg</v>
      </c>
    </row>
    <row r="583" spans="1:13" x14ac:dyDescent="0.3">
      <c r="A583" t="s">
        <v>613</v>
      </c>
      <c r="B583" s="1">
        <v>45294</v>
      </c>
      <c r="C583" t="s">
        <v>13</v>
      </c>
      <c r="D583" t="s">
        <v>38</v>
      </c>
      <c r="E583">
        <v>43</v>
      </c>
      <c r="F583" t="s">
        <v>28</v>
      </c>
      <c r="G583">
        <v>481.45</v>
      </c>
      <c r="H583">
        <v>56</v>
      </c>
      <c r="I583" t="s">
        <v>16</v>
      </c>
      <c r="J583">
        <v>2.9</v>
      </c>
      <c r="K583" t="s">
        <v>29</v>
      </c>
      <c r="L583" t="s">
        <v>18</v>
      </c>
      <c r="M583" t="str">
        <f>VLOOKUP(D587,Restaurant_Master!A:B,2,FALSE)</f>
        <v>https://dynamic-media-cdn.tripadvisor.com/media/photo-o/1c/e7/04/0d/front-of-the-local-easily.jpg</v>
      </c>
    </row>
    <row r="584" spans="1:13" x14ac:dyDescent="0.3">
      <c r="A584" t="s">
        <v>614</v>
      </c>
      <c r="B584" s="1">
        <v>45485</v>
      </c>
      <c r="C584" t="s">
        <v>36</v>
      </c>
      <c r="D584" t="s">
        <v>32</v>
      </c>
      <c r="E584">
        <v>29</v>
      </c>
      <c r="F584" t="s">
        <v>28</v>
      </c>
      <c r="G584">
        <v>535.85</v>
      </c>
      <c r="H584">
        <v>57</v>
      </c>
      <c r="I584" t="s">
        <v>16</v>
      </c>
      <c r="J584">
        <v>3.6</v>
      </c>
      <c r="K584" t="s">
        <v>26</v>
      </c>
      <c r="L584" t="s">
        <v>18</v>
      </c>
      <c r="M584" t="str">
        <f>VLOOKUP(D588,Restaurant_Master!A:B,2,FALSE)</f>
        <v>https://media-cdn.tripadvisor.com/media/photo-s/1c/c7/97/b6/photo6jpg.jpg</v>
      </c>
    </row>
    <row r="585" spans="1:13" x14ac:dyDescent="0.3">
      <c r="A585" t="s">
        <v>615</v>
      </c>
      <c r="B585" s="1">
        <v>45391</v>
      </c>
      <c r="C585" t="s">
        <v>43</v>
      </c>
      <c r="D585" t="s">
        <v>25</v>
      </c>
      <c r="E585">
        <v>49</v>
      </c>
      <c r="F585" t="s">
        <v>15</v>
      </c>
      <c r="G585">
        <v>403.7</v>
      </c>
      <c r="H585">
        <v>54</v>
      </c>
      <c r="I585" t="s">
        <v>16</v>
      </c>
      <c r="J585">
        <v>4.4000000000000004</v>
      </c>
      <c r="K585" t="s">
        <v>29</v>
      </c>
      <c r="L585" t="s">
        <v>18</v>
      </c>
      <c r="M585" t="str">
        <f>VLOOKUP(D589,Restaurant_Master!A:B,2,FALSE)</f>
        <v>https://www.chatswoodinterchange.com/storages/2018/08/Sushi-World_666x448.jpg</v>
      </c>
    </row>
    <row r="586" spans="1:13" x14ac:dyDescent="0.3">
      <c r="A586" t="s">
        <v>616</v>
      </c>
      <c r="B586" s="1">
        <v>45487</v>
      </c>
      <c r="C586" t="s">
        <v>36</v>
      </c>
      <c r="D586" t="s">
        <v>21</v>
      </c>
      <c r="E586">
        <v>58</v>
      </c>
      <c r="F586" t="s">
        <v>15</v>
      </c>
      <c r="G586">
        <v>586.41999999999996</v>
      </c>
      <c r="H586">
        <v>34</v>
      </c>
      <c r="I586" t="s">
        <v>22</v>
      </c>
      <c r="J586">
        <v>3.5</v>
      </c>
      <c r="K586" t="s">
        <v>41</v>
      </c>
      <c r="L586" t="s">
        <v>18</v>
      </c>
      <c r="M586" t="str">
        <f>VLOOKUP(D590,Restaurant_Master!A:B,2,FALSE)</f>
        <v>https://dineout-media-assets.swiggy.com/swiggy/image/upload/fl_lossy,f_auto,q_auto/v1660793737/fdqxvxcxg1wtdwvyv45v.jpg</v>
      </c>
    </row>
    <row r="587" spans="1:13" x14ac:dyDescent="0.3">
      <c r="A587" t="s">
        <v>617</v>
      </c>
      <c r="B587" s="1">
        <v>45546</v>
      </c>
      <c r="C587" t="s">
        <v>34</v>
      </c>
      <c r="D587" t="s">
        <v>21</v>
      </c>
      <c r="E587">
        <v>24</v>
      </c>
      <c r="F587" t="s">
        <v>15</v>
      </c>
      <c r="G587">
        <v>941.42</v>
      </c>
      <c r="H587">
        <v>31</v>
      </c>
      <c r="I587" t="s">
        <v>22</v>
      </c>
      <c r="J587">
        <v>3.5</v>
      </c>
      <c r="K587" t="s">
        <v>17</v>
      </c>
      <c r="L587" t="s">
        <v>18</v>
      </c>
      <c r="M587" t="str">
        <f>VLOOKUP(D591,Restaurant_Master!A:B,2,FALSE)</f>
        <v>https://www.chatswoodinterchange.com/storages/2018/08/Sushi-World_666x448.jpg</v>
      </c>
    </row>
    <row r="588" spans="1:13" x14ac:dyDescent="0.3">
      <c r="A588" t="s">
        <v>618</v>
      </c>
      <c r="B588" s="1">
        <v>45447</v>
      </c>
      <c r="C588" t="s">
        <v>20</v>
      </c>
      <c r="D588" t="s">
        <v>25</v>
      </c>
      <c r="E588">
        <v>54</v>
      </c>
      <c r="F588" t="s">
        <v>28</v>
      </c>
      <c r="G588">
        <v>680.03</v>
      </c>
      <c r="H588">
        <v>24</v>
      </c>
      <c r="I588" t="s">
        <v>22</v>
      </c>
      <c r="J588">
        <v>4.5999999999999996</v>
      </c>
      <c r="K588" t="s">
        <v>29</v>
      </c>
      <c r="L588" t="s">
        <v>23</v>
      </c>
      <c r="M588" t="str">
        <f>VLOOKUP(D592,Restaurant_Master!A:B,2,FALSE)</f>
        <v>https://dynamic-media-cdn.tripadvisor.com/media/photo-o/1c/e7/04/0d/front-of-the-local-easily.jpg</v>
      </c>
    </row>
    <row r="589" spans="1:13" x14ac:dyDescent="0.3">
      <c r="A589" t="s">
        <v>619</v>
      </c>
      <c r="B589" s="1">
        <v>45414</v>
      </c>
      <c r="C589" t="s">
        <v>43</v>
      </c>
      <c r="D589" t="s">
        <v>38</v>
      </c>
      <c r="E589">
        <v>52</v>
      </c>
      <c r="F589" t="s">
        <v>15</v>
      </c>
      <c r="G589">
        <v>480.36</v>
      </c>
      <c r="H589">
        <v>49</v>
      </c>
      <c r="I589" t="s">
        <v>16</v>
      </c>
      <c r="J589">
        <v>4.0999999999999996</v>
      </c>
      <c r="K589" t="s">
        <v>26</v>
      </c>
      <c r="L589" t="s">
        <v>18</v>
      </c>
      <c r="M589" t="str">
        <f>VLOOKUP(D593,Restaurant_Master!A:B,2,FALSE)</f>
        <v>https://dineout-media-assets.swiggy.com/swiggy/image/upload/fl_lossy,f_auto,q_auto/v1660793737/fdqxvxcxg1wtdwvyv45v.jpg</v>
      </c>
    </row>
    <row r="590" spans="1:13" x14ac:dyDescent="0.3">
      <c r="A590" t="s">
        <v>620</v>
      </c>
      <c r="B590" s="1">
        <v>45415</v>
      </c>
      <c r="C590" t="s">
        <v>43</v>
      </c>
      <c r="D590" t="s">
        <v>14</v>
      </c>
      <c r="E590">
        <v>22</v>
      </c>
      <c r="F590" t="s">
        <v>28</v>
      </c>
      <c r="G590">
        <v>223.97</v>
      </c>
      <c r="H590">
        <v>28</v>
      </c>
      <c r="I590" t="s">
        <v>22</v>
      </c>
      <c r="J590">
        <v>3.5</v>
      </c>
      <c r="K590" t="s">
        <v>26</v>
      </c>
      <c r="L590" t="s">
        <v>23</v>
      </c>
      <c r="M590" t="str">
        <f>VLOOKUP(D594,Restaurant_Master!A:B,2,FALSE)</f>
        <v>https://dineout-media-assets.swiggy.com/swiggy/image/upload/fl_lossy,f_auto,q_auto/v1660793737/fdqxvxcxg1wtdwvyv45v.jpg</v>
      </c>
    </row>
    <row r="591" spans="1:13" x14ac:dyDescent="0.3">
      <c r="A591" t="s">
        <v>621</v>
      </c>
      <c r="B591" s="1">
        <v>45353</v>
      </c>
      <c r="C591" t="s">
        <v>13</v>
      </c>
      <c r="D591" t="s">
        <v>38</v>
      </c>
      <c r="E591">
        <v>37</v>
      </c>
      <c r="F591" t="s">
        <v>15</v>
      </c>
      <c r="G591">
        <v>546.24</v>
      </c>
      <c r="H591">
        <v>25</v>
      </c>
      <c r="I591" t="s">
        <v>22</v>
      </c>
      <c r="J591">
        <v>4.3</v>
      </c>
      <c r="K591" t="s">
        <v>26</v>
      </c>
      <c r="L591" t="s">
        <v>18</v>
      </c>
      <c r="M591" t="str">
        <f>VLOOKUP(D595,Restaurant_Master!A:B,2,FALSE)</f>
        <v>https://dineout-media-assets.swiggy.com/swiggy/image/upload/fl_lossy,f_auto,q_auto/v1660793737/fdqxvxcxg1wtdwvyv45v.jpg</v>
      </c>
    </row>
    <row r="592" spans="1:13" x14ac:dyDescent="0.3">
      <c r="A592" t="s">
        <v>622</v>
      </c>
      <c r="B592" s="1">
        <v>45312</v>
      </c>
      <c r="C592" t="s">
        <v>13</v>
      </c>
      <c r="D592" t="s">
        <v>21</v>
      </c>
      <c r="E592">
        <v>53</v>
      </c>
      <c r="F592" t="s">
        <v>28</v>
      </c>
      <c r="G592">
        <v>982.3</v>
      </c>
      <c r="H592">
        <v>56</v>
      </c>
      <c r="I592" t="s">
        <v>16</v>
      </c>
      <c r="J592">
        <v>4.0999999999999996</v>
      </c>
      <c r="K592" t="s">
        <v>26</v>
      </c>
      <c r="L592" t="s">
        <v>23</v>
      </c>
      <c r="M592" t="str">
        <f>VLOOKUP(D596,Restaurant_Master!A:B,2,FALSE)</f>
        <v>https://dineout-media-assets.swiggy.com/swiggy/image/upload/fl_lossy,f_auto,q_auto/v1660793737/fdqxvxcxg1wtdwvyv45v.jpg</v>
      </c>
    </row>
    <row r="593" spans="1:13" x14ac:dyDescent="0.3">
      <c r="A593" t="s">
        <v>623</v>
      </c>
      <c r="B593" s="1">
        <v>45468</v>
      </c>
      <c r="C593" t="s">
        <v>20</v>
      </c>
      <c r="D593" t="s">
        <v>14</v>
      </c>
      <c r="E593">
        <v>28</v>
      </c>
      <c r="F593" t="s">
        <v>28</v>
      </c>
      <c r="G593">
        <v>208.93</v>
      </c>
      <c r="H593">
        <v>20</v>
      </c>
      <c r="I593" t="s">
        <v>22</v>
      </c>
      <c r="J593">
        <v>4.7</v>
      </c>
      <c r="K593" t="s">
        <v>29</v>
      </c>
      <c r="L593" t="s">
        <v>23</v>
      </c>
      <c r="M593" t="str">
        <f>VLOOKUP(D597,Restaurant_Master!A:B,2,FALSE)</f>
        <v>https://content.jdmagicbox.com/comp/deoria/g6/9999p5568.5568.200119143033.m4g6/catalogue/biryani-house-deoria-ho-deoria-mktc2xph0o.jpg</v>
      </c>
    </row>
    <row r="594" spans="1:13" x14ac:dyDescent="0.3">
      <c r="A594" t="s">
        <v>624</v>
      </c>
      <c r="B594" s="1">
        <v>45596</v>
      </c>
      <c r="C594" t="s">
        <v>34</v>
      </c>
      <c r="D594" t="s">
        <v>14</v>
      </c>
      <c r="E594">
        <v>48</v>
      </c>
      <c r="F594" t="s">
        <v>28</v>
      </c>
      <c r="G594">
        <v>1035.1300000000001</v>
      </c>
      <c r="H594">
        <v>36</v>
      </c>
      <c r="I594" t="s">
        <v>22</v>
      </c>
      <c r="J594">
        <v>4.3</v>
      </c>
      <c r="K594" t="s">
        <v>41</v>
      </c>
      <c r="L594" t="s">
        <v>23</v>
      </c>
      <c r="M594" t="str">
        <f>VLOOKUP(D598,Restaurant_Master!A:B,2,FALSE)</f>
        <v>https://dineout-media-assets.swiggy.com/swiggy/image/upload/fl_lossy,f_auto,q_auto/v1660793737/fdqxvxcxg1wtdwvyv45v.jpg</v>
      </c>
    </row>
    <row r="595" spans="1:13" x14ac:dyDescent="0.3">
      <c r="A595" t="s">
        <v>625</v>
      </c>
      <c r="B595" s="1">
        <v>45584</v>
      </c>
      <c r="C595" t="s">
        <v>43</v>
      </c>
      <c r="D595" t="s">
        <v>14</v>
      </c>
      <c r="E595">
        <v>35</v>
      </c>
      <c r="F595" t="s">
        <v>28</v>
      </c>
      <c r="G595">
        <v>878.05</v>
      </c>
      <c r="H595">
        <v>53</v>
      </c>
      <c r="I595" t="s">
        <v>16</v>
      </c>
      <c r="J595">
        <v>3.8</v>
      </c>
      <c r="K595" t="s">
        <v>17</v>
      </c>
      <c r="L595" t="s">
        <v>18</v>
      </c>
      <c r="M595" t="str">
        <f>VLOOKUP(D599,Restaurant_Master!A:B,2,FALSE)</f>
        <v>https://www.chatswoodinterchange.com/storages/2018/08/Sushi-World_666x448.jpg</v>
      </c>
    </row>
    <row r="596" spans="1:13" x14ac:dyDescent="0.3">
      <c r="A596" t="s">
        <v>626</v>
      </c>
      <c r="B596" s="1">
        <v>45577</v>
      </c>
      <c r="C596" t="s">
        <v>13</v>
      </c>
      <c r="D596" t="s">
        <v>14</v>
      </c>
      <c r="E596">
        <v>48</v>
      </c>
      <c r="F596" t="s">
        <v>28</v>
      </c>
      <c r="G596">
        <v>935.27</v>
      </c>
      <c r="H596">
        <v>59</v>
      </c>
      <c r="I596" t="s">
        <v>16</v>
      </c>
      <c r="J596">
        <v>3.8</v>
      </c>
      <c r="K596" t="s">
        <v>29</v>
      </c>
      <c r="L596" t="s">
        <v>18</v>
      </c>
      <c r="M596" t="str">
        <f>VLOOKUP(D600,Restaurant_Master!A:B,2,FALSE)</f>
        <v>https://dineout-media-assets.swiggy.com/swiggy/image/upload/fl_lossy,f_auto,q_auto/v1660793737/fdqxvxcxg1wtdwvyv45v.jpg</v>
      </c>
    </row>
    <row r="597" spans="1:13" x14ac:dyDescent="0.3">
      <c r="A597" t="s">
        <v>627</v>
      </c>
      <c r="B597" s="1">
        <v>45398</v>
      </c>
      <c r="C597" t="s">
        <v>43</v>
      </c>
      <c r="D597" t="s">
        <v>32</v>
      </c>
      <c r="E597">
        <v>24</v>
      </c>
      <c r="F597" t="s">
        <v>28</v>
      </c>
      <c r="G597">
        <v>437.68</v>
      </c>
      <c r="H597">
        <v>56</v>
      </c>
      <c r="I597" t="s">
        <v>16</v>
      </c>
      <c r="J597">
        <v>3</v>
      </c>
      <c r="K597" t="s">
        <v>26</v>
      </c>
      <c r="L597" t="s">
        <v>23</v>
      </c>
      <c r="M597" t="str">
        <f>VLOOKUP(D601,Restaurant_Master!A:B,2,FALSE)</f>
        <v>https://dineout-media-assets.swiggy.com/swiggy/image/upload/fl_lossy,f_auto,q_auto/v1660793737/fdqxvxcxg1wtdwvyv45v.jpg</v>
      </c>
    </row>
    <row r="598" spans="1:13" x14ac:dyDescent="0.3">
      <c r="A598" t="s">
        <v>628</v>
      </c>
      <c r="B598" s="1">
        <v>45548</v>
      </c>
      <c r="C598" t="s">
        <v>34</v>
      </c>
      <c r="D598" t="s">
        <v>14</v>
      </c>
      <c r="E598">
        <v>32</v>
      </c>
      <c r="F598" t="s">
        <v>15</v>
      </c>
      <c r="G598">
        <v>876.23</v>
      </c>
      <c r="H598">
        <v>52</v>
      </c>
      <c r="I598" t="s">
        <v>16</v>
      </c>
      <c r="J598">
        <v>4.8</v>
      </c>
      <c r="K598" t="s">
        <v>26</v>
      </c>
      <c r="L598" t="s">
        <v>18</v>
      </c>
      <c r="M598" t="str">
        <f>VLOOKUP(D602,Restaurant_Master!A:B,2,FALSE)</f>
        <v>https://content.jdmagicbox.com/comp/deoria/g6/9999p5568.5568.200119143033.m4g6/catalogue/biryani-house-deoria-ho-deoria-mktc2xph0o.jpg</v>
      </c>
    </row>
    <row r="599" spans="1:13" x14ac:dyDescent="0.3">
      <c r="A599" t="s">
        <v>629</v>
      </c>
      <c r="B599" s="1">
        <v>45528</v>
      </c>
      <c r="C599" t="s">
        <v>34</v>
      </c>
      <c r="D599" t="s">
        <v>38</v>
      </c>
      <c r="E599">
        <v>42</v>
      </c>
      <c r="F599" t="s">
        <v>15</v>
      </c>
      <c r="G599">
        <v>1143.8499999999999</v>
      </c>
      <c r="H599">
        <v>47</v>
      </c>
      <c r="I599" t="s">
        <v>16</v>
      </c>
      <c r="J599">
        <v>4.7</v>
      </c>
      <c r="K599" t="s">
        <v>29</v>
      </c>
      <c r="L599" t="s">
        <v>23</v>
      </c>
      <c r="M599" t="str">
        <f>VLOOKUP(D603,Restaurant_Master!A:B,2,FALSE)</f>
        <v>https://dineout-media-assets.swiggy.com/swiggy/image/upload/fl_lossy,f_auto,q_auto/v1660793737/fdqxvxcxg1wtdwvyv45v.jpg</v>
      </c>
    </row>
    <row r="600" spans="1:13" x14ac:dyDescent="0.3">
      <c r="A600" t="s">
        <v>630</v>
      </c>
      <c r="B600" s="1">
        <v>45416</v>
      </c>
      <c r="C600" t="s">
        <v>34</v>
      </c>
      <c r="D600" t="s">
        <v>14</v>
      </c>
      <c r="E600">
        <v>21</v>
      </c>
      <c r="F600" t="s">
        <v>28</v>
      </c>
      <c r="G600">
        <v>696.9</v>
      </c>
      <c r="H600">
        <v>29</v>
      </c>
      <c r="I600" t="s">
        <v>22</v>
      </c>
      <c r="J600">
        <v>4.4000000000000004</v>
      </c>
      <c r="K600" t="s">
        <v>29</v>
      </c>
      <c r="L600" t="s">
        <v>18</v>
      </c>
      <c r="M600" t="str">
        <f>VLOOKUP(D604,Restaurant_Master!A:B,2,FALSE)</f>
        <v>https://dynamic-media-cdn.tripadvisor.com/media/photo-o/1c/e7/04/0d/front-of-the-local-easily.jpg</v>
      </c>
    </row>
    <row r="601" spans="1:13" x14ac:dyDescent="0.3">
      <c r="A601" t="s">
        <v>631</v>
      </c>
      <c r="B601" s="1">
        <v>45530</v>
      </c>
      <c r="C601" t="s">
        <v>43</v>
      </c>
      <c r="D601" t="s">
        <v>14</v>
      </c>
      <c r="E601">
        <v>29</v>
      </c>
      <c r="F601" t="s">
        <v>15</v>
      </c>
      <c r="G601">
        <v>748.39</v>
      </c>
      <c r="H601">
        <v>22</v>
      </c>
      <c r="I601" t="s">
        <v>22</v>
      </c>
      <c r="J601">
        <v>4.8</v>
      </c>
      <c r="K601" t="s">
        <v>26</v>
      </c>
      <c r="L601" t="s">
        <v>23</v>
      </c>
      <c r="M601" t="str">
        <f>VLOOKUP(D605,Restaurant_Master!A:B,2,FALSE)</f>
        <v>https://dynamic-media-cdn.tripadvisor.com/media/photo-o/1c/e7/04/0d/front-of-the-local-easily.jpg</v>
      </c>
    </row>
    <row r="602" spans="1:13" x14ac:dyDescent="0.3">
      <c r="A602" t="s">
        <v>632</v>
      </c>
      <c r="B602" s="1">
        <v>45376</v>
      </c>
      <c r="C602" t="s">
        <v>43</v>
      </c>
      <c r="D602" t="s">
        <v>32</v>
      </c>
      <c r="E602">
        <v>53</v>
      </c>
      <c r="F602" t="s">
        <v>28</v>
      </c>
      <c r="G602">
        <v>639.29999999999995</v>
      </c>
      <c r="H602">
        <v>34</v>
      </c>
      <c r="I602" t="s">
        <v>22</v>
      </c>
      <c r="J602">
        <v>2.6</v>
      </c>
      <c r="K602" t="s">
        <v>29</v>
      </c>
      <c r="L602" t="s">
        <v>23</v>
      </c>
      <c r="M602" t="str">
        <f>VLOOKUP(D606,Restaurant_Master!A:B,2,FALSE)</f>
        <v>https://content.jdmagicbox.com/comp/deoria/g6/9999p5568.5568.200119143033.m4g6/catalogue/biryani-house-deoria-ho-deoria-mktc2xph0o.jpg</v>
      </c>
    </row>
    <row r="603" spans="1:13" x14ac:dyDescent="0.3">
      <c r="A603" t="s">
        <v>633</v>
      </c>
      <c r="B603" s="1">
        <v>45428</v>
      </c>
      <c r="C603" t="s">
        <v>43</v>
      </c>
      <c r="D603" t="s">
        <v>14</v>
      </c>
      <c r="E603">
        <v>55</v>
      </c>
      <c r="F603" t="s">
        <v>15</v>
      </c>
      <c r="G603">
        <v>551.13</v>
      </c>
      <c r="H603">
        <v>33</v>
      </c>
      <c r="I603" t="s">
        <v>22</v>
      </c>
      <c r="J603">
        <v>4.0999999999999996</v>
      </c>
      <c r="K603" t="s">
        <v>17</v>
      </c>
      <c r="L603" t="s">
        <v>18</v>
      </c>
      <c r="M603" t="str">
        <f>VLOOKUP(D607,Restaurant_Master!A:B,2,FALSE)</f>
        <v>https://www.chatswoodinterchange.com/storages/2018/08/Sushi-World_666x448.jpg</v>
      </c>
    </row>
    <row r="604" spans="1:13" x14ac:dyDescent="0.3">
      <c r="A604" t="s">
        <v>634</v>
      </c>
      <c r="B604" s="1">
        <v>45324</v>
      </c>
      <c r="C604" t="s">
        <v>20</v>
      </c>
      <c r="D604" t="s">
        <v>21</v>
      </c>
      <c r="E604">
        <v>43</v>
      </c>
      <c r="F604" t="s">
        <v>28</v>
      </c>
      <c r="G604">
        <v>861.7</v>
      </c>
      <c r="H604">
        <v>26</v>
      </c>
      <c r="I604" t="s">
        <v>22</v>
      </c>
      <c r="J604">
        <v>3.3</v>
      </c>
      <c r="K604" t="s">
        <v>41</v>
      </c>
      <c r="L604" t="s">
        <v>23</v>
      </c>
      <c r="M604" t="str">
        <f>VLOOKUP(D608,Restaurant_Master!A:B,2,FALSE)</f>
        <v>https://dynamic-media-cdn.tripadvisor.com/media/photo-o/1c/e7/04/0d/front-of-the-local-easily.jpg</v>
      </c>
    </row>
    <row r="605" spans="1:13" x14ac:dyDescent="0.3">
      <c r="A605" t="s">
        <v>635</v>
      </c>
      <c r="B605" s="1">
        <v>45527</v>
      </c>
      <c r="C605" t="s">
        <v>43</v>
      </c>
      <c r="D605" t="s">
        <v>21</v>
      </c>
      <c r="E605">
        <v>27</v>
      </c>
      <c r="F605" t="s">
        <v>28</v>
      </c>
      <c r="G605">
        <v>647.19000000000005</v>
      </c>
      <c r="H605">
        <v>34</v>
      </c>
      <c r="I605" t="s">
        <v>22</v>
      </c>
      <c r="J605">
        <v>3.2</v>
      </c>
      <c r="K605" t="s">
        <v>26</v>
      </c>
      <c r="L605" t="s">
        <v>18</v>
      </c>
      <c r="M605" t="str">
        <f>VLOOKUP(D609,Restaurant_Master!A:B,2,FALSE)</f>
        <v>https://media-cdn.tripadvisor.com/media/photo-s/1c/c7/97/b6/photo6jpg.jpg</v>
      </c>
    </row>
    <row r="606" spans="1:13" x14ac:dyDescent="0.3">
      <c r="A606" t="s">
        <v>636</v>
      </c>
      <c r="B606" s="1">
        <v>45337</v>
      </c>
      <c r="C606" t="s">
        <v>34</v>
      </c>
      <c r="D606" t="s">
        <v>32</v>
      </c>
      <c r="E606">
        <v>46</v>
      </c>
      <c r="F606" t="s">
        <v>15</v>
      </c>
      <c r="G606">
        <v>1044.58</v>
      </c>
      <c r="H606">
        <v>56</v>
      </c>
      <c r="I606" t="s">
        <v>16</v>
      </c>
      <c r="J606">
        <v>4.2</v>
      </c>
      <c r="K606" t="s">
        <v>17</v>
      </c>
      <c r="L606" t="s">
        <v>18</v>
      </c>
      <c r="M606" t="str">
        <f>VLOOKUP(D610,Restaurant_Master!A:B,2,FALSE)</f>
        <v>https://dynamic-media-cdn.tripadvisor.com/media/photo-o/1c/e7/04/0d/front-of-the-local-easily.jpg</v>
      </c>
    </row>
    <row r="607" spans="1:13" x14ac:dyDescent="0.3">
      <c r="A607" t="s">
        <v>637</v>
      </c>
      <c r="B607" s="1">
        <v>45324</v>
      </c>
      <c r="C607" t="s">
        <v>36</v>
      </c>
      <c r="D607" t="s">
        <v>38</v>
      </c>
      <c r="E607">
        <v>44</v>
      </c>
      <c r="F607" t="s">
        <v>28</v>
      </c>
      <c r="G607">
        <v>240.08</v>
      </c>
      <c r="H607">
        <v>58</v>
      </c>
      <c r="I607" t="s">
        <v>16</v>
      </c>
      <c r="J607">
        <v>4.4000000000000004</v>
      </c>
      <c r="K607" t="s">
        <v>26</v>
      </c>
      <c r="L607" t="s">
        <v>23</v>
      </c>
      <c r="M607" t="str">
        <f>VLOOKUP(D611,Restaurant_Master!A:B,2,FALSE)</f>
        <v>https://dynamic-media-cdn.tripadvisor.com/media/photo-o/1c/e7/04/0d/front-of-the-local-easily.jpg</v>
      </c>
    </row>
    <row r="608" spans="1:13" x14ac:dyDescent="0.3">
      <c r="A608" t="s">
        <v>638</v>
      </c>
      <c r="B608" s="1">
        <v>45387</v>
      </c>
      <c r="C608" t="s">
        <v>43</v>
      </c>
      <c r="D608" t="s">
        <v>21</v>
      </c>
      <c r="E608">
        <v>26</v>
      </c>
      <c r="F608" t="s">
        <v>28</v>
      </c>
      <c r="G608">
        <v>1029.8</v>
      </c>
      <c r="H608">
        <v>30</v>
      </c>
      <c r="I608" t="s">
        <v>22</v>
      </c>
      <c r="J608">
        <v>3.3</v>
      </c>
      <c r="K608" t="s">
        <v>17</v>
      </c>
      <c r="L608" t="s">
        <v>23</v>
      </c>
      <c r="M608" t="str">
        <f>VLOOKUP(D612,Restaurant_Master!A:B,2,FALSE)</f>
        <v>https://dineout-media-assets.swiggy.com/swiggy/image/upload/fl_lossy,f_auto,q_auto/v1660793737/fdqxvxcxg1wtdwvyv45v.jpg</v>
      </c>
    </row>
    <row r="609" spans="1:13" x14ac:dyDescent="0.3">
      <c r="A609" t="s">
        <v>639</v>
      </c>
      <c r="B609" s="1">
        <v>45550</v>
      </c>
      <c r="C609" t="s">
        <v>20</v>
      </c>
      <c r="D609" t="s">
        <v>25</v>
      </c>
      <c r="E609">
        <v>44</v>
      </c>
      <c r="F609" t="s">
        <v>28</v>
      </c>
      <c r="G609">
        <v>309.56</v>
      </c>
      <c r="H609">
        <v>47</v>
      </c>
      <c r="I609" t="s">
        <v>16</v>
      </c>
      <c r="J609">
        <v>3.3</v>
      </c>
      <c r="K609" t="s">
        <v>29</v>
      </c>
      <c r="L609" t="s">
        <v>23</v>
      </c>
      <c r="M609" t="str">
        <f>VLOOKUP(D613,Restaurant_Master!A:B,2,FALSE)</f>
        <v>https://dynamic-media-cdn.tripadvisor.com/media/photo-o/1c/e7/04/0d/front-of-the-local-easily.jpg</v>
      </c>
    </row>
    <row r="610" spans="1:13" x14ac:dyDescent="0.3">
      <c r="A610" t="s">
        <v>640</v>
      </c>
      <c r="B610" s="1">
        <v>45645</v>
      </c>
      <c r="C610" t="s">
        <v>34</v>
      </c>
      <c r="D610" t="s">
        <v>21</v>
      </c>
      <c r="E610">
        <v>19</v>
      </c>
      <c r="F610" t="s">
        <v>28</v>
      </c>
      <c r="G610">
        <v>491.76</v>
      </c>
      <c r="H610">
        <v>30</v>
      </c>
      <c r="I610" t="s">
        <v>22</v>
      </c>
      <c r="J610">
        <v>2.6</v>
      </c>
      <c r="K610" t="s">
        <v>17</v>
      </c>
      <c r="L610" t="s">
        <v>23</v>
      </c>
      <c r="M610" t="str">
        <f>VLOOKUP(D614,Restaurant_Master!A:B,2,FALSE)</f>
        <v>https://www.chatswoodinterchange.com/storages/2018/08/Sushi-World_666x448.jpg</v>
      </c>
    </row>
    <row r="611" spans="1:13" x14ac:dyDescent="0.3">
      <c r="A611" t="s">
        <v>641</v>
      </c>
      <c r="B611" s="1">
        <v>45486</v>
      </c>
      <c r="C611" t="s">
        <v>36</v>
      </c>
      <c r="D611" t="s">
        <v>21</v>
      </c>
      <c r="E611">
        <v>37</v>
      </c>
      <c r="F611" t="s">
        <v>15</v>
      </c>
      <c r="G611">
        <v>1041.82</v>
      </c>
      <c r="H611">
        <v>31</v>
      </c>
      <c r="I611" t="s">
        <v>22</v>
      </c>
      <c r="J611">
        <v>3.4</v>
      </c>
      <c r="K611" t="s">
        <v>17</v>
      </c>
      <c r="L611" t="s">
        <v>18</v>
      </c>
      <c r="M611" t="str">
        <f>VLOOKUP(D615,Restaurant_Master!A:B,2,FALSE)</f>
        <v>https://dynamic-media-cdn.tripadvisor.com/media/photo-o/1c/e7/04/0d/front-of-the-local-easily.jpg</v>
      </c>
    </row>
    <row r="612" spans="1:13" x14ac:dyDescent="0.3">
      <c r="A612" t="s">
        <v>642</v>
      </c>
      <c r="B612" s="1">
        <v>45391</v>
      </c>
      <c r="C612" t="s">
        <v>34</v>
      </c>
      <c r="D612" t="s">
        <v>14</v>
      </c>
      <c r="E612">
        <v>43</v>
      </c>
      <c r="F612" t="s">
        <v>28</v>
      </c>
      <c r="G612">
        <v>696.17</v>
      </c>
      <c r="H612">
        <v>21</v>
      </c>
      <c r="I612" t="s">
        <v>22</v>
      </c>
      <c r="J612">
        <v>3.9</v>
      </c>
      <c r="K612" t="s">
        <v>26</v>
      </c>
      <c r="L612" t="s">
        <v>23</v>
      </c>
      <c r="M612" t="str">
        <f>VLOOKUP(D616,Restaurant_Master!A:B,2,FALSE)</f>
        <v>https://dynamic-media-cdn.tripadvisor.com/media/photo-o/1c/e7/04/0d/front-of-the-local-easily.jpg</v>
      </c>
    </row>
    <row r="613" spans="1:13" x14ac:dyDescent="0.3">
      <c r="A613" t="s">
        <v>643</v>
      </c>
      <c r="B613" s="1">
        <v>45375</v>
      </c>
      <c r="C613" t="s">
        <v>13</v>
      </c>
      <c r="D613" t="s">
        <v>21</v>
      </c>
      <c r="E613">
        <v>60</v>
      </c>
      <c r="F613" t="s">
        <v>15</v>
      </c>
      <c r="G613">
        <v>192.95</v>
      </c>
      <c r="H613">
        <v>59</v>
      </c>
      <c r="I613" t="s">
        <v>16</v>
      </c>
      <c r="J613">
        <v>3.2</v>
      </c>
      <c r="K613" t="s">
        <v>17</v>
      </c>
      <c r="L613" t="s">
        <v>23</v>
      </c>
      <c r="M613" t="str">
        <f>VLOOKUP(D617,Restaurant_Master!A:B,2,FALSE)</f>
        <v>https://content.jdmagicbox.com/comp/deoria/g6/9999p5568.5568.200119143033.m4g6/catalogue/biryani-house-deoria-ho-deoria-mktc2xph0o.jpg</v>
      </c>
    </row>
    <row r="614" spans="1:13" x14ac:dyDescent="0.3">
      <c r="A614" t="s">
        <v>644</v>
      </c>
      <c r="B614" s="1">
        <v>45322</v>
      </c>
      <c r="C614" t="s">
        <v>43</v>
      </c>
      <c r="D614" t="s">
        <v>38</v>
      </c>
      <c r="E614">
        <v>34</v>
      </c>
      <c r="F614" t="s">
        <v>15</v>
      </c>
      <c r="G614">
        <v>976.97</v>
      </c>
      <c r="H614">
        <v>36</v>
      </c>
      <c r="I614" t="s">
        <v>22</v>
      </c>
      <c r="J614">
        <v>4.7</v>
      </c>
      <c r="K614" t="s">
        <v>17</v>
      </c>
      <c r="L614" t="s">
        <v>23</v>
      </c>
      <c r="M614" t="str">
        <f>VLOOKUP(D618,Restaurant_Master!A:B,2,FALSE)</f>
        <v>https://media-cdn.tripadvisor.com/media/photo-s/1c/c7/97/b6/photo6jpg.jpg</v>
      </c>
    </row>
    <row r="615" spans="1:13" x14ac:dyDescent="0.3">
      <c r="A615" t="s">
        <v>645</v>
      </c>
      <c r="B615" s="1">
        <v>45515</v>
      </c>
      <c r="C615" t="s">
        <v>20</v>
      </c>
      <c r="D615" t="s">
        <v>21</v>
      </c>
      <c r="E615">
        <v>55</v>
      </c>
      <c r="F615" t="s">
        <v>28</v>
      </c>
      <c r="G615">
        <v>827.18</v>
      </c>
      <c r="H615">
        <v>31</v>
      </c>
      <c r="I615" t="s">
        <v>22</v>
      </c>
      <c r="J615">
        <v>3</v>
      </c>
      <c r="K615" t="s">
        <v>29</v>
      </c>
      <c r="L615" t="s">
        <v>23</v>
      </c>
      <c r="M615" t="str">
        <f>VLOOKUP(D619,Restaurant_Master!A:B,2,FALSE)</f>
        <v>https://media-cdn.tripadvisor.com/media/photo-s/1c/c7/97/b6/photo6jpg.jpg</v>
      </c>
    </row>
    <row r="616" spans="1:13" x14ac:dyDescent="0.3">
      <c r="A616" t="s">
        <v>646</v>
      </c>
      <c r="B616" s="1">
        <v>45655</v>
      </c>
      <c r="C616" t="s">
        <v>20</v>
      </c>
      <c r="D616" t="s">
        <v>21</v>
      </c>
      <c r="E616">
        <v>24</v>
      </c>
      <c r="F616" t="s">
        <v>28</v>
      </c>
      <c r="G616">
        <v>1146.56</v>
      </c>
      <c r="H616">
        <v>20</v>
      </c>
      <c r="I616" t="s">
        <v>22</v>
      </c>
      <c r="J616">
        <v>4.4000000000000004</v>
      </c>
      <c r="K616" t="s">
        <v>41</v>
      </c>
      <c r="L616" t="s">
        <v>18</v>
      </c>
      <c r="M616" t="str">
        <f>VLOOKUP(D620,Restaurant_Master!A:B,2,FALSE)</f>
        <v>https://content.jdmagicbox.com/comp/deoria/g6/9999p5568.5568.200119143033.m4g6/catalogue/biryani-house-deoria-ho-deoria-mktc2xph0o.jpg</v>
      </c>
    </row>
    <row r="617" spans="1:13" x14ac:dyDescent="0.3">
      <c r="A617" t="s">
        <v>647</v>
      </c>
      <c r="B617" s="1">
        <v>45607</v>
      </c>
      <c r="C617" t="s">
        <v>13</v>
      </c>
      <c r="D617" t="s">
        <v>32</v>
      </c>
      <c r="E617">
        <v>18</v>
      </c>
      <c r="F617" t="s">
        <v>15</v>
      </c>
      <c r="G617">
        <v>281.8</v>
      </c>
      <c r="H617">
        <v>37</v>
      </c>
      <c r="I617" t="s">
        <v>22</v>
      </c>
      <c r="J617">
        <v>3.4</v>
      </c>
      <c r="K617" t="s">
        <v>41</v>
      </c>
      <c r="L617" t="s">
        <v>23</v>
      </c>
      <c r="M617" t="str">
        <f>VLOOKUP(D621,Restaurant_Master!A:B,2,FALSE)</f>
        <v>https://dineout-media-assets.swiggy.com/swiggy/image/upload/fl_lossy,f_auto,q_auto/v1660793737/fdqxvxcxg1wtdwvyv45v.jpg</v>
      </c>
    </row>
    <row r="618" spans="1:13" x14ac:dyDescent="0.3">
      <c r="A618" t="s">
        <v>648</v>
      </c>
      <c r="B618" s="1">
        <v>45320</v>
      </c>
      <c r="C618" t="s">
        <v>13</v>
      </c>
      <c r="D618" t="s">
        <v>25</v>
      </c>
      <c r="E618">
        <v>34</v>
      </c>
      <c r="F618" t="s">
        <v>28</v>
      </c>
      <c r="G618">
        <v>206.33</v>
      </c>
      <c r="H618">
        <v>43</v>
      </c>
      <c r="I618" t="s">
        <v>16</v>
      </c>
      <c r="J618">
        <v>4.9000000000000004</v>
      </c>
      <c r="K618" t="s">
        <v>29</v>
      </c>
      <c r="L618" t="s">
        <v>18</v>
      </c>
      <c r="M618" t="str">
        <f>VLOOKUP(D622,Restaurant_Master!A:B,2,FALSE)</f>
        <v>https://dynamic-media-cdn.tripadvisor.com/media/photo-o/1c/e7/04/0d/front-of-the-local-easily.jpg</v>
      </c>
    </row>
    <row r="619" spans="1:13" x14ac:dyDescent="0.3">
      <c r="A619" t="s">
        <v>649</v>
      </c>
      <c r="B619" s="1">
        <v>45352</v>
      </c>
      <c r="C619" t="s">
        <v>13</v>
      </c>
      <c r="D619" t="s">
        <v>25</v>
      </c>
      <c r="E619">
        <v>45</v>
      </c>
      <c r="F619" t="s">
        <v>28</v>
      </c>
      <c r="G619">
        <v>844.32</v>
      </c>
      <c r="H619">
        <v>26</v>
      </c>
      <c r="I619" t="s">
        <v>22</v>
      </c>
      <c r="J619">
        <v>4.7</v>
      </c>
      <c r="K619" t="s">
        <v>41</v>
      </c>
      <c r="L619" t="s">
        <v>23</v>
      </c>
      <c r="M619" t="str">
        <f>VLOOKUP(D623,Restaurant_Master!A:B,2,FALSE)</f>
        <v>https://dynamic-media-cdn.tripadvisor.com/media/photo-o/1c/e7/04/0d/front-of-the-local-easily.jpg</v>
      </c>
    </row>
    <row r="620" spans="1:13" x14ac:dyDescent="0.3">
      <c r="A620" t="s">
        <v>650</v>
      </c>
      <c r="B620" s="1">
        <v>45557</v>
      </c>
      <c r="C620" t="s">
        <v>36</v>
      </c>
      <c r="D620" t="s">
        <v>32</v>
      </c>
      <c r="E620">
        <v>48</v>
      </c>
      <c r="F620" t="s">
        <v>15</v>
      </c>
      <c r="G620">
        <v>636.59</v>
      </c>
      <c r="H620">
        <v>49</v>
      </c>
      <c r="I620" t="s">
        <v>16</v>
      </c>
      <c r="J620">
        <v>4.2</v>
      </c>
      <c r="K620" t="s">
        <v>41</v>
      </c>
      <c r="L620" t="s">
        <v>18</v>
      </c>
      <c r="M620" t="str">
        <f>VLOOKUP(D624,Restaurant_Master!A:B,2,FALSE)</f>
        <v>https://content.jdmagicbox.com/comp/deoria/g6/9999p5568.5568.200119143033.m4g6/catalogue/biryani-house-deoria-ho-deoria-mktc2xph0o.jpg</v>
      </c>
    </row>
    <row r="621" spans="1:13" x14ac:dyDescent="0.3">
      <c r="A621" t="s">
        <v>651</v>
      </c>
      <c r="B621" s="1">
        <v>45555</v>
      </c>
      <c r="C621" t="s">
        <v>13</v>
      </c>
      <c r="D621" t="s">
        <v>14</v>
      </c>
      <c r="E621">
        <v>34</v>
      </c>
      <c r="F621" t="s">
        <v>15</v>
      </c>
      <c r="G621">
        <v>1004.82</v>
      </c>
      <c r="H621">
        <v>39</v>
      </c>
      <c r="I621" t="s">
        <v>22</v>
      </c>
      <c r="J621">
        <v>3.9</v>
      </c>
      <c r="K621" t="s">
        <v>41</v>
      </c>
      <c r="L621" t="s">
        <v>18</v>
      </c>
      <c r="M621" t="str">
        <f>VLOOKUP(D625,Restaurant_Master!A:B,2,FALSE)</f>
        <v>https://www.chatswoodinterchange.com/storages/2018/08/Sushi-World_666x448.jpg</v>
      </c>
    </row>
    <row r="622" spans="1:13" x14ac:dyDescent="0.3">
      <c r="A622" t="s">
        <v>652</v>
      </c>
      <c r="B622" s="1">
        <v>45477</v>
      </c>
      <c r="C622" t="s">
        <v>34</v>
      </c>
      <c r="D622" t="s">
        <v>21</v>
      </c>
      <c r="E622">
        <v>20</v>
      </c>
      <c r="F622" t="s">
        <v>15</v>
      </c>
      <c r="G622">
        <v>187.75</v>
      </c>
      <c r="H622">
        <v>23</v>
      </c>
      <c r="I622" t="s">
        <v>22</v>
      </c>
      <c r="J622">
        <v>4.7</v>
      </c>
      <c r="K622" t="s">
        <v>29</v>
      </c>
      <c r="L622" t="s">
        <v>23</v>
      </c>
      <c r="M622" t="str">
        <f>VLOOKUP(D626,Restaurant_Master!A:B,2,FALSE)</f>
        <v>https://dineout-media-assets.swiggy.com/swiggy/image/upload/fl_lossy,f_auto,q_auto/v1660793737/fdqxvxcxg1wtdwvyv45v.jpg</v>
      </c>
    </row>
    <row r="623" spans="1:13" x14ac:dyDescent="0.3">
      <c r="A623" t="s">
        <v>653</v>
      </c>
      <c r="B623" s="1">
        <v>45460</v>
      </c>
      <c r="C623" t="s">
        <v>20</v>
      </c>
      <c r="D623" t="s">
        <v>21</v>
      </c>
      <c r="E623">
        <v>32</v>
      </c>
      <c r="F623" t="s">
        <v>28</v>
      </c>
      <c r="G623">
        <v>1010.6</v>
      </c>
      <c r="H623">
        <v>22</v>
      </c>
      <c r="I623" t="s">
        <v>22</v>
      </c>
      <c r="J623">
        <v>2.6</v>
      </c>
      <c r="K623" t="s">
        <v>26</v>
      </c>
      <c r="L623" t="s">
        <v>18</v>
      </c>
      <c r="M623" t="str">
        <f>VLOOKUP(D627,Restaurant_Master!A:B,2,FALSE)</f>
        <v>https://media-cdn.tripadvisor.com/media/photo-s/1c/c7/97/b6/photo6jpg.jpg</v>
      </c>
    </row>
    <row r="624" spans="1:13" x14ac:dyDescent="0.3">
      <c r="A624" t="s">
        <v>654</v>
      </c>
      <c r="B624" s="1">
        <v>45298</v>
      </c>
      <c r="C624" t="s">
        <v>34</v>
      </c>
      <c r="D624" t="s">
        <v>32</v>
      </c>
      <c r="E624">
        <v>49</v>
      </c>
      <c r="F624" t="s">
        <v>28</v>
      </c>
      <c r="G624">
        <v>229.54</v>
      </c>
      <c r="H624">
        <v>21</v>
      </c>
      <c r="I624" t="s">
        <v>22</v>
      </c>
      <c r="J624">
        <v>3.7</v>
      </c>
      <c r="K624" t="s">
        <v>17</v>
      </c>
      <c r="L624" t="s">
        <v>18</v>
      </c>
      <c r="M624" t="str">
        <f>VLOOKUP(D628,Restaurant_Master!A:B,2,FALSE)</f>
        <v>https://dineout-media-assets.swiggy.com/swiggy/image/upload/fl_lossy,f_auto,q_auto/v1660793737/fdqxvxcxg1wtdwvyv45v.jpg</v>
      </c>
    </row>
    <row r="625" spans="1:13" x14ac:dyDescent="0.3">
      <c r="A625" t="s">
        <v>655</v>
      </c>
      <c r="B625" s="1">
        <v>45437</v>
      </c>
      <c r="C625" t="s">
        <v>20</v>
      </c>
      <c r="D625" t="s">
        <v>38</v>
      </c>
      <c r="E625">
        <v>25</v>
      </c>
      <c r="F625" t="s">
        <v>15</v>
      </c>
      <c r="G625">
        <v>1091.8699999999999</v>
      </c>
      <c r="H625">
        <v>23</v>
      </c>
      <c r="I625" t="s">
        <v>22</v>
      </c>
      <c r="J625">
        <v>2.7</v>
      </c>
      <c r="K625" t="s">
        <v>17</v>
      </c>
      <c r="L625" t="s">
        <v>18</v>
      </c>
      <c r="M625" t="str">
        <f>VLOOKUP(D629,Restaurant_Master!A:B,2,FALSE)</f>
        <v>https://dynamic-media-cdn.tripadvisor.com/media/photo-o/1c/e7/04/0d/front-of-the-local-easily.jpg</v>
      </c>
    </row>
    <row r="626" spans="1:13" x14ac:dyDescent="0.3">
      <c r="A626" t="s">
        <v>656</v>
      </c>
      <c r="B626" s="1">
        <v>45508</v>
      </c>
      <c r="C626" t="s">
        <v>36</v>
      </c>
      <c r="D626" t="s">
        <v>14</v>
      </c>
      <c r="E626">
        <v>36</v>
      </c>
      <c r="F626" t="s">
        <v>28</v>
      </c>
      <c r="G626">
        <v>500.35</v>
      </c>
      <c r="H626">
        <v>36</v>
      </c>
      <c r="I626" t="s">
        <v>22</v>
      </c>
      <c r="J626">
        <v>3.9</v>
      </c>
      <c r="K626" t="s">
        <v>41</v>
      </c>
      <c r="L626" t="s">
        <v>18</v>
      </c>
      <c r="M626" t="str">
        <f>VLOOKUP(D630,Restaurant_Master!A:B,2,FALSE)</f>
        <v>https://content.jdmagicbox.com/comp/deoria/g6/9999p5568.5568.200119143033.m4g6/catalogue/biryani-house-deoria-ho-deoria-mktc2xph0o.jpg</v>
      </c>
    </row>
    <row r="627" spans="1:13" x14ac:dyDescent="0.3">
      <c r="A627" t="s">
        <v>657</v>
      </c>
      <c r="B627" s="1">
        <v>45571</v>
      </c>
      <c r="C627" t="s">
        <v>34</v>
      </c>
      <c r="D627" t="s">
        <v>25</v>
      </c>
      <c r="E627">
        <v>23</v>
      </c>
      <c r="F627" t="s">
        <v>15</v>
      </c>
      <c r="G627">
        <v>591.11</v>
      </c>
      <c r="H627">
        <v>43</v>
      </c>
      <c r="I627" t="s">
        <v>16</v>
      </c>
      <c r="J627">
        <v>3.7</v>
      </c>
      <c r="K627" t="s">
        <v>29</v>
      </c>
      <c r="L627" t="s">
        <v>18</v>
      </c>
      <c r="M627" t="str">
        <f>VLOOKUP(D631,Restaurant_Master!A:B,2,FALSE)</f>
        <v>https://dynamic-media-cdn.tripadvisor.com/media/photo-o/1c/e7/04/0d/front-of-the-local-easily.jpg</v>
      </c>
    </row>
    <row r="628" spans="1:13" x14ac:dyDescent="0.3">
      <c r="A628" t="s">
        <v>658</v>
      </c>
      <c r="B628" s="1">
        <v>45369</v>
      </c>
      <c r="C628" t="s">
        <v>20</v>
      </c>
      <c r="D628" t="s">
        <v>14</v>
      </c>
      <c r="E628">
        <v>48</v>
      </c>
      <c r="F628" t="s">
        <v>28</v>
      </c>
      <c r="G628">
        <v>611.04999999999995</v>
      </c>
      <c r="H628">
        <v>42</v>
      </c>
      <c r="I628" t="s">
        <v>16</v>
      </c>
      <c r="J628">
        <v>4.9000000000000004</v>
      </c>
      <c r="K628" t="s">
        <v>29</v>
      </c>
      <c r="L628" t="s">
        <v>23</v>
      </c>
      <c r="M628" t="str">
        <f>VLOOKUP(D632,Restaurant_Master!A:B,2,FALSE)</f>
        <v>https://media-cdn.tripadvisor.com/media/photo-s/1c/c7/97/b6/photo6jpg.jpg</v>
      </c>
    </row>
    <row r="629" spans="1:13" x14ac:dyDescent="0.3">
      <c r="A629" t="s">
        <v>659</v>
      </c>
      <c r="B629" s="1">
        <v>45477</v>
      </c>
      <c r="C629" t="s">
        <v>43</v>
      </c>
      <c r="D629" t="s">
        <v>21</v>
      </c>
      <c r="E629">
        <v>56</v>
      </c>
      <c r="F629" t="s">
        <v>15</v>
      </c>
      <c r="G629">
        <v>404.74</v>
      </c>
      <c r="H629">
        <v>27</v>
      </c>
      <c r="I629" t="s">
        <v>22</v>
      </c>
      <c r="J629">
        <v>3.1</v>
      </c>
      <c r="K629" t="s">
        <v>26</v>
      </c>
      <c r="L629" t="s">
        <v>23</v>
      </c>
      <c r="M629" t="str">
        <f>VLOOKUP(D633,Restaurant_Master!A:B,2,FALSE)</f>
        <v>https://content.jdmagicbox.com/comp/deoria/g6/9999p5568.5568.200119143033.m4g6/catalogue/biryani-house-deoria-ho-deoria-mktc2xph0o.jpg</v>
      </c>
    </row>
    <row r="630" spans="1:13" x14ac:dyDescent="0.3">
      <c r="A630" t="s">
        <v>660</v>
      </c>
      <c r="B630" s="1">
        <v>45612</v>
      </c>
      <c r="C630" t="s">
        <v>13</v>
      </c>
      <c r="D630" t="s">
        <v>32</v>
      </c>
      <c r="E630">
        <v>46</v>
      </c>
      <c r="F630" t="s">
        <v>28</v>
      </c>
      <c r="G630">
        <v>1163.3399999999999</v>
      </c>
      <c r="H630">
        <v>47</v>
      </c>
      <c r="I630" t="s">
        <v>16</v>
      </c>
      <c r="J630">
        <v>3.8</v>
      </c>
      <c r="K630" t="s">
        <v>17</v>
      </c>
      <c r="L630" t="s">
        <v>23</v>
      </c>
      <c r="M630" t="str">
        <f>VLOOKUP(D634,Restaurant_Master!A:B,2,FALSE)</f>
        <v>https://content.jdmagicbox.com/comp/deoria/g6/9999p5568.5568.200119143033.m4g6/catalogue/biryani-house-deoria-ho-deoria-mktc2xph0o.jpg</v>
      </c>
    </row>
    <row r="631" spans="1:13" x14ac:dyDescent="0.3">
      <c r="A631" t="s">
        <v>661</v>
      </c>
      <c r="B631" s="1">
        <v>45428</v>
      </c>
      <c r="C631" t="s">
        <v>20</v>
      </c>
      <c r="D631" t="s">
        <v>21</v>
      </c>
      <c r="E631">
        <v>48</v>
      </c>
      <c r="F631" t="s">
        <v>28</v>
      </c>
      <c r="G631">
        <v>883.03</v>
      </c>
      <c r="H631">
        <v>52</v>
      </c>
      <c r="I631" t="s">
        <v>16</v>
      </c>
      <c r="J631">
        <v>3.5</v>
      </c>
      <c r="K631" t="s">
        <v>17</v>
      </c>
      <c r="L631" t="s">
        <v>18</v>
      </c>
      <c r="M631" t="str">
        <f>VLOOKUP(D635,Restaurant_Master!A:B,2,FALSE)</f>
        <v>https://dynamic-media-cdn.tripadvisor.com/media/photo-o/1c/e7/04/0d/front-of-the-local-easily.jpg</v>
      </c>
    </row>
    <row r="632" spans="1:13" x14ac:dyDescent="0.3">
      <c r="A632" t="s">
        <v>662</v>
      </c>
      <c r="B632" s="1">
        <v>45406</v>
      </c>
      <c r="C632" t="s">
        <v>34</v>
      </c>
      <c r="D632" t="s">
        <v>25</v>
      </c>
      <c r="E632">
        <v>23</v>
      </c>
      <c r="F632" t="s">
        <v>28</v>
      </c>
      <c r="G632">
        <v>403.78</v>
      </c>
      <c r="H632">
        <v>42</v>
      </c>
      <c r="I632" t="s">
        <v>16</v>
      </c>
      <c r="J632">
        <v>4.0999999999999996</v>
      </c>
      <c r="K632" t="s">
        <v>26</v>
      </c>
      <c r="L632" t="s">
        <v>23</v>
      </c>
      <c r="M632" t="str">
        <f>VLOOKUP(D636,Restaurant_Master!A:B,2,FALSE)</f>
        <v>https://www.chatswoodinterchange.com/storages/2018/08/Sushi-World_666x448.jpg</v>
      </c>
    </row>
    <row r="633" spans="1:13" x14ac:dyDescent="0.3">
      <c r="A633" t="s">
        <v>663</v>
      </c>
      <c r="B633" s="1">
        <v>45599</v>
      </c>
      <c r="C633" t="s">
        <v>43</v>
      </c>
      <c r="D633" t="s">
        <v>32</v>
      </c>
      <c r="E633">
        <v>30</v>
      </c>
      <c r="F633" t="s">
        <v>28</v>
      </c>
      <c r="G633">
        <v>190.4</v>
      </c>
      <c r="H633">
        <v>35</v>
      </c>
      <c r="I633" t="s">
        <v>22</v>
      </c>
      <c r="J633">
        <v>3.1</v>
      </c>
      <c r="K633" t="s">
        <v>26</v>
      </c>
      <c r="L633" t="s">
        <v>18</v>
      </c>
      <c r="M633" t="str">
        <f>VLOOKUP(D637,Restaurant_Master!A:B,2,FALSE)</f>
        <v>https://dynamic-media-cdn.tripadvisor.com/media/photo-o/1c/e7/04/0d/front-of-the-local-easily.jpg</v>
      </c>
    </row>
    <row r="634" spans="1:13" x14ac:dyDescent="0.3">
      <c r="A634" t="s">
        <v>664</v>
      </c>
      <c r="B634" s="1">
        <v>45640</v>
      </c>
      <c r="C634" t="s">
        <v>20</v>
      </c>
      <c r="D634" t="s">
        <v>32</v>
      </c>
      <c r="E634">
        <v>36</v>
      </c>
      <c r="F634" t="s">
        <v>15</v>
      </c>
      <c r="G634">
        <v>1160.23</v>
      </c>
      <c r="H634">
        <v>44</v>
      </c>
      <c r="I634" t="s">
        <v>16</v>
      </c>
      <c r="J634">
        <v>3.2</v>
      </c>
      <c r="K634" t="s">
        <v>17</v>
      </c>
      <c r="L634" t="s">
        <v>18</v>
      </c>
      <c r="M634" t="str">
        <f>VLOOKUP(D638,Restaurant_Master!A:B,2,FALSE)</f>
        <v>https://content.jdmagicbox.com/comp/deoria/g6/9999p5568.5568.200119143033.m4g6/catalogue/biryani-house-deoria-ho-deoria-mktc2xph0o.jpg</v>
      </c>
    </row>
    <row r="635" spans="1:13" x14ac:dyDescent="0.3">
      <c r="A635" t="s">
        <v>665</v>
      </c>
      <c r="B635" s="1">
        <v>45318</v>
      </c>
      <c r="C635" t="s">
        <v>36</v>
      </c>
      <c r="D635" t="s">
        <v>21</v>
      </c>
      <c r="E635">
        <v>53</v>
      </c>
      <c r="F635" t="s">
        <v>15</v>
      </c>
      <c r="G635">
        <v>175.01</v>
      </c>
      <c r="H635">
        <v>39</v>
      </c>
      <c r="I635" t="s">
        <v>22</v>
      </c>
      <c r="J635">
        <v>2.7</v>
      </c>
      <c r="K635" t="s">
        <v>17</v>
      </c>
      <c r="L635" t="s">
        <v>23</v>
      </c>
      <c r="M635" t="str">
        <f>VLOOKUP(D639,Restaurant_Master!A:B,2,FALSE)</f>
        <v>https://content.jdmagicbox.com/comp/deoria/g6/9999p5568.5568.200119143033.m4g6/catalogue/biryani-house-deoria-ho-deoria-mktc2xph0o.jpg</v>
      </c>
    </row>
    <row r="636" spans="1:13" x14ac:dyDescent="0.3">
      <c r="A636" t="s">
        <v>666</v>
      </c>
      <c r="B636" s="1">
        <v>45650</v>
      </c>
      <c r="C636" t="s">
        <v>34</v>
      </c>
      <c r="D636" t="s">
        <v>38</v>
      </c>
      <c r="E636">
        <v>27</v>
      </c>
      <c r="F636" t="s">
        <v>15</v>
      </c>
      <c r="G636">
        <v>249.76</v>
      </c>
      <c r="H636">
        <v>28</v>
      </c>
      <c r="I636" t="s">
        <v>22</v>
      </c>
      <c r="J636">
        <v>2.8</v>
      </c>
      <c r="K636" t="s">
        <v>26</v>
      </c>
      <c r="L636" t="s">
        <v>18</v>
      </c>
      <c r="M636" t="str">
        <f>VLOOKUP(D640,Restaurant_Master!A:B,2,FALSE)</f>
        <v>https://dynamic-media-cdn.tripadvisor.com/media/photo-o/1c/e7/04/0d/front-of-the-local-easily.jpg</v>
      </c>
    </row>
    <row r="637" spans="1:13" x14ac:dyDescent="0.3">
      <c r="A637" t="s">
        <v>667</v>
      </c>
      <c r="B637" s="1">
        <v>45556</v>
      </c>
      <c r="C637" t="s">
        <v>36</v>
      </c>
      <c r="D637" t="s">
        <v>21</v>
      </c>
      <c r="E637">
        <v>59</v>
      </c>
      <c r="F637" t="s">
        <v>15</v>
      </c>
      <c r="G637">
        <v>1027.24</v>
      </c>
      <c r="H637">
        <v>48</v>
      </c>
      <c r="I637" t="s">
        <v>16</v>
      </c>
      <c r="J637">
        <v>2.8</v>
      </c>
      <c r="K637" t="s">
        <v>17</v>
      </c>
      <c r="L637" t="s">
        <v>23</v>
      </c>
      <c r="M637" t="str">
        <f>VLOOKUP(D641,Restaurant_Master!A:B,2,FALSE)</f>
        <v>https://media-cdn.tripadvisor.com/media/photo-s/1c/c7/97/b6/photo6jpg.jpg</v>
      </c>
    </row>
    <row r="638" spans="1:13" x14ac:dyDescent="0.3">
      <c r="A638" t="s">
        <v>668</v>
      </c>
      <c r="B638" s="1">
        <v>45361</v>
      </c>
      <c r="C638" t="s">
        <v>13</v>
      </c>
      <c r="D638" t="s">
        <v>32</v>
      </c>
      <c r="E638">
        <v>49</v>
      </c>
      <c r="F638" t="s">
        <v>15</v>
      </c>
      <c r="G638">
        <v>200.12</v>
      </c>
      <c r="H638">
        <v>56</v>
      </c>
      <c r="I638" t="s">
        <v>16</v>
      </c>
      <c r="J638">
        <v>3.9</v>
      </c>
      <c r="K638" t="s">
        <v>26</v>
      </c>
      <c r="L638" t="s">
        <v>18</v>
      </c>
      <c r="M638" t="str">
        <f>VLOOKUP(D642,Restaurant_Master!A:B,2,FALSE)</f>
        <v>https://www.chatswoodinterchange.com/storages/2018/08/Sushi-World_666x448.jpg</v>
      </c>
    </row>
    <row r="639" spans="1:13" x14ac:dyDescent="0.3">
      <c r="A639" t="s">
        <v>669</v>
      </c>
      <c r="B639" s="1">
        <v>45580</v>
      </c>
      <c r="C639" t="s">
        <v>20</v>
      </c>
      <c r="D639" t="s">
        <v>32</v>
      </c>
      <c r="E639">
        <v>52</v>
      </c>
      <c r="F639" t="s">
        <v>28</v>
      </c>
      <c r="G639">
        <v>1063.71</v>
      </c>
      <c r="H639">
        <v>26</v>
      </c>
      <c r="I639" t="s">
        <v>22</v>
      </c>
      <c r="J639">
        <v>3.9</v>
      </c>
      <c r="K639" t="s">
        <v>29</v>
      </c>
      <c r="L639" t="s">
        <v>18</v>
      </c>
      <c r="M639" t="str">
        <f>VLOOKUP(D643,Restaurant_Master!A:B,2,FALSE)</f>
        <v>https://media-cdn.tripadvisor.com/media/photo-s/1c/c7/97/b6/photo6jpg.jpg</v>
      </c>
    </row>
    <row r="640" spans="1:13" x14ac:dyDescent="0.3">
      <c r="A640" t="s">
        <v>670</v>
      </c>
      <c r="B640" s="1">
        <v>45641</v>
      </c>
      <c r="C640" t="s">
        <v>13</v>
      </c>
      <c r="D640" t="s">
        <v>21</v>
      </c>
      <c r="E640">
        <v>29</v>
      </c>
      <c r="F640" t="s">
        <v>28</v>
      </c>
      <c r="G640">
        <v>550.72</v>
      </c>
      <c r="H640">
        <v>41</v>
      </c>
      <c r="I640" t="s">
        <v>16</v>
      </c>
      <c r="J640">
        <v>2.9</v>
      </c>
      <c r="K640" t="s">
        <v>26</v>
      </c>
      <c r="L640" t="s">
        <v>23</v>
      </c>
      <c r="M640" t="str">
        <f>VLOOKUP(D644,Restaurant_Master!A:B,2,FALSE)</f>
        <v>https://media-cdn.tripadvisor.com/media/photo-s/1c/c7/97/b6/photo6jpg.jpg</v>
      </c>
    </row>
    <row r="641" spans="1:13" x14ac:dyDescent="0.3">
      <c r="A641" t="s">
        <v>671</v>
      </c>
      <c r="B641" s="1">
        <v>45531</v>
      </c>
      <c r="C641" t="s">
        <v>13</v>
      </c>
      <c r="D641" t="s">
        <v>25</v>
      </c>
      <c r="E641">
        <v>39</v>
      </c>
      <c r="F641" t="s">
        <v>28</v>
      </c>
      <c r="G641">
        <v>773.61</v>
      </c>
      <c r="H641">
        <v>27</v>
      </c>
      <c r="I641" t="s">
        <v>22</v>
      </c>
      <c r="J641">
        <v>4</v>
      </c>
      <c r="K641" t="s">
        <v>26</v>
      </c>
      <c r="L641" t="s">
        <v>23</v>
      </c>
      <c r="M641" t="str">
        <f>VLOOKUP(D645,Restaurant_Master!A:B,2,FALSE)</f>
        <v>https://dynamic-media-cdn.tripadvisor.com/media/photo-o/1c/e7/04/0d/front-of-the-local-easily.jpg</v>
      </c>
    </row>
    <row r="642" spans="1:13" x14ac:dyDescent="0.3">
      <c r="A642" t="s">
        <v>672</v>
      </c>
      <c r="B642" s="1">
        <v>45318</v>
      </c>
      <c r="C642" t="s">
        <v>13</v>
      </c>
      <c r="D642" t="s">
        <v>38</v>
      </c>
      <c r="E642">
        <v>45</v>
      </c>
      <c r="F642" t="s">
        <v>28</v>
      </c>
      <c r="G642">
        <v>602.33000000000004</v>
      </c>
      <c r="H642">
        <v>23</v>
      </c>
      <c r="I642" t="s">
        <v>22</v>
      </c>
      <c r="J642">
        <v>4.5</v>
      </c>
      <c r="K642" t="s">
        <v>26</v>
      </c>
      <c r="L642" t="s">
        <v>23</v>
      </c>
      <c r="M642" t="str">
        <f>VLOOKUP(D646,Restaurant_Master!A:B,2,FALSE)</f>
        <v>https://dineout-media-assets.swiggy.com/swiggy/image/upload/fl_lossy,f_auto,q_auto/v1660793737/fdqxvxcxg1wtdwvyv45v.jpg</v>
      </c>
    </row>
    <row r="643" spans="1:13" x14ac:dyDescent="0.3">
      <c r="A643" t="s">
        <v>673</v>
      </c>
      <c r="B643" s="1">
        <v>45333</v>
      </c>
      <c r="C643" t="s">
        <v>13</v>
      </c>
      <c r="D643" t="s">
        <v>25</v>
      </c>
      <c r="E643">
        <v>24</v>
      </c>
      <c r="F643" t="s">
        <v>28</v>
      </c>
      <c r="G643">
        <v>1055.6199999999999</v>
      </c>
      <c r="H643">
        <v>44</v>
      </c>
      <c r="I643" t="s">
        <v>16</v>
      </c>
      <c r="J643">
        <v>2.5</v>
      </c>
      <c r="K643" t="s">
        <v>41</v>
      </c>
      <c r="L643" t="s">
        <v>23</v>
      </c>
      <c r="M643" t="str">
        <f>VLOOKUP(D647,Restaurant_Master!A:B,2,FALSE)</f>
        <v>https://media-cdn.tripadvisor.com/media/photo-s/1c/c7/97/b6/photo6jpg.jpg</v>
      </c>
    </row>
    <row r="644" spans="1:13" x14ac:dyDescent="0.3">
      <c r="A644" t="s">
        <v>674</v>
      </c>
      <c r="B644" s="1">
        <v>45608</v>
      </c>
      <c r="C644" t="s">
        <v>13</v>
      </c>
      <c r="D644" t="s">
        <v>25</v>
      </c>
      <c r="E644">
        <v>56</v>
      </c>
      <c r="F644" t="s">
        <v>28</v>
      </c>
      <c r="G644">
        <v>932.09</v>
      </c>
      <c r="H644">
        <v>38</v>
      </c>
      <c r="I644" t="s">
        <v>22</v>
      </c>
      <c r="J644">
        <v>2.6</v>
      </c>
      <c r="K644" t="s">
        <v>26</v>
      </c>
      <c r="L644" t="s">
        <v>18</v>
      </c>
      <c r="M644" t="str">
        <f>VLOOKUP(D648,Restaurant_Master!A:B,2,FALSE)</f>
        <v>https://www.chatswoodinterchange.com/storages/2018/08/Sushi-World_666x448.jpg</v>
      </c>
    </row>
    <row r="645" spans="1:13" x14ac:dyDescent="0.3">
      <c r="A645" t="s">
        <v>675</v>
      </c>
      <c r="B645" s="1">
        <v>45448</v>
      </c>
      <c r="C645" t="s">
        <v>13</v>
      </c>
      <c r="D645" t="s">
        <v>21</v>
      </c>
      <c r="E645">
        <v>45</v>
      </c>
      <c r="F645" t="s">
        <v>28</v>
      </c>
      <c r="G645">
        <v>1126.8900000000001</v>
      </c>
      <c r="H645">
        <v>32</v>
      </c>
      <c r="I645" t="s">
        <v>22</v>
      </c>
      <c r="J645">
        <v>3.2</v>
      </c>
      <c r="K645" t="s">
        <v>41</v>
      </c>
      <c r="L645" t="s">
        <v>18</v>
      </c>
      <c r="M645" t="str">
        <f>VLOOKUP(D649,Restaurant_Master!A:B,2,FALSE)</f>
        <v>https://content.jdmagicbox.com/comp/deoria/g6/9999p5568.5568.200119143033.m4g6/catalogue/biryani-house-deoria-ho-deoria-mktc2xph0o.jpg</v>
      </c>
    </row>
    <row r="646" spans="1:13" x14ac:dyDescent="0.3">
      <c r="A646" t="s">
        <v>676</v>
      </c>
      <c r="B646" s="1">
        <v>45569</v>
      </c>
      <c r="C646" t="s">
        <v>34</v>
      </c>
      <c r="D646" t="s">
        <v>14</v>
      </c>
      <c r="E646">
        <v>56</v>
      </c>
      <c r="F646" t="s">
        <v>28</v>
      </c>
      <c r="G646">
        <v>805.68</v>
      </c>
      <c r="H646">
        <v>43</v>
      </c>
      <c r="I646" t="s">
        <v>16</v>
      </c>
      <c r="J646">
        <v>3.8</v>
      </c>
      <c r="K646" t="s">
        <v>26</v>
      </c>
      <c r="L646" t="s">
        <v>18</v>
      </c>
      <c r="M646" t="str">
        <f>VLOOKUP(D650,Restaurant_Master!A:B,2,FALSE)</f>
        <v>https://dineout-media-assets.swiggy.com/swiggy/image/upload/fl_lossy,f_auto,q_auto/v1660793737/fdqxvxcxg1wtdwvyv45v.jpg</v>
      </c>
    </row>
    <row r="647" spans="1:13" x14ac:dyDescent="0.3">
      <c r="A647" t="s">
        <v>677</v>
      </c>
      <c r="B647" s="1">
        <v>45341</v>
      </c>
      <c r="C647" t="s">
        <v>43</v>
      </c>
      <c r="D647" t="s">
        <v>25</v>
      </c>
      <c r="E647">
        <v>37</v>
      </c>
      <c r="F647" t="s">
        <v>28</v>
      </c>
      <c r="G647">
        <v>252.99</v>
      </c>
      <c r="H647">
        <v>35</v>
      </c>
      <c r="I647" t="s">
        <v>22</v>
      </c>
      <c r="J647">
        <v>3.1</v>
      </c>
      <c r="K647" t="s">
        <v>26</v>
      </c>
      <c r="L647" t="s">
        <v>23</v>
      </c>
      <c r="M647" t="str">
        <f>VLOOKUP(D651,Restaurant_Master!A:B,2,FALSE)</f>
        <v>https://content.jdmagicbox.com/comp/deoria/g6/9999p5568.5568.200119143033.m4g6/catalogue/biryani-house-deoria-ho-deoria-mktc2xph0o.jpg</v>
      </c>
    </row>
    <row r="648" spans="1:13" x14ac:dyDescent="0.3">
      <c r="A648" t="s">
        <v>678</v>
      </c>
      <c r="B648" s="1">
        <v>45386</v>
      </c>
      <c r="C648" t="s">
        <v>36</v>
      </c>
      <c r="D648" t="s">
        <v>38</v>
      </c>
      <c r="E648">
        <v>54</v>
      </c>
      <c r="F648" t="s">
        <v>28</v>
      </c>
      <c r="G648">
        <v>730.35</v>
      </c>
      <c r="H648">
        <v>55</v>
      </c>
      <c r="I648" t="s">
        <v>16</v>
      </c>
      <c r="J648">
        <v>3.6</v>
      </c>
      <c r="K648" t="s">
        <v>17</v>
      </c>
      <c r="L648" t="s">
        <v>18</v>
      </c>
      <c r="M648" t="str">
        <f>VLOOKUP(D652,Restaurant_Master!A:B,2,FALSE)</f>
        <v>https://www.chatswoodinterchange.com/storages/2018/08/Sushi-World_666x448.jpg</v>
      </c>
    </row>
    <row r="649" spans="1:13" x14ac:dyDescent="0.3">
      <c r="A649" t="s">
        <v>679</v>
      </c>
      <c r="B649" s="1">
        <v>45595</v>
      </c>
      <c r="C649" t="s">
        <v>36</v>
      </c>
      <c r="D649" t="s">
        <v>32</v>
      </c>
      <c r="E649">
        <v>23</v>
      </c>
      <c r="F649" t="s">
        <v>15</v>
      </c>
      <c r="G649">
        <v>1036.78</v>
      </c>
      <c r="H649">
        <v>36</v>
      </c>
      <c r="I649" t="s">
        <v>22</v>
      </c>
      <c r="J649">
        <v>4.0999999999999996</v>
      </c>
      <c r="K649" t="s">
        <v>29</v>
      </c>
      <c r="L649" t="s">
        <v>23</v>
      </c>
      <c r="M649" t="str">
        <f>VLOOKUP(D653,Restaurant_Master!A:B,2,FALSE)</f>
        <v>https://content.jdmagicbox.com/comp/deoria/g6/9999p5568.5568.200119143033.m4g6/catalogue/biryani-house-deoria-ho-deoria-mktc2xph0o.jpg</v>
      </c>
    </row>
    <row r="650" spans="1:13" x14ac:dyDescent="0.3">
      <c r="A650" t="s">
        <v>680</v>
      </c>
      <c r="B650" s="1">
        <v>45380</v>
      </c>
      <c r="C650" t="s">
        <v>36</v>
      </c>
      <c r="D650" t="s">
        <v>14</v>
      </c>
      <c r="E650">
        <v>38</v>
      </c>
      <c r="F650" t="s">
        <v>15</v>
      </c>
      <c r="G650">
        <v>850.5</v>
      </c>
      <c r="H650">
        <v>36</v>
      </c>
      <c r="I650" t="s">
        <v>22</v>
      </c>
      <c r="J650">
        <v>4.4000000000000004</v>
      </c>
      <c r="K650" t="s">
        <v>29</v>
      </c>
      <c r="L650" t="s">
        <v>23</v>
      </c>
      <c r="M650" t="str">
        <f>VLOOKUP(D654,Restaurant_Master!A:B,2,FALSE)</f>
        <v>https://www.chatswoodinterchange.com/storages/2018/08/Sushi-World_666x448.jpg</v>
      </c>
    </row>
    <row r="651" spans="1:13" x14ac:dyDescent="0.3">
      <c r="A651" t="s">
        <v>681</v>
      </c>
      <c r="B651" s="1">
        <v>45529</v>
      </c>
      <c r="C651" t="s">
        <v>20</v>
      </c>
      <c r="D651" t="s">
        <v>32</v>
      </c>
      <c r="E651">
        <v>19</v>
      </c>
      <c r="F651" t="s">
        <v>15</v>
      </c>
      <c r="G651">
        <v>810.14</v>
      </c>
      <c r="H651">
        <v>54</v>
      </c>
      <c r="I651" t="s">
        <v>16</v>
      </c>
      <c r="J651">
        <v>3.4</v>
      </c>
      <c r="K651" t="s">
        <v>17</v>
      </c>
      <c r="L651" t="s">
        <v>18</v>
      </c>
      <c r="M651" t="str">
        <f>VLOOKUP(D655,Restaurant_Master!A:B,2,FALSE)</f>
        <v>https://dynamic-media-cdn.tripadvisor.com/media/photo-o/1c/e7/04/0d/front-of-the-local-easily.jpg</v>
      </c>
    </row>
    <row r="652" spans="1:13" x14ac:dyDescent="0.3">
      <c r="A652" t="s">
        <v>682</v>
      </c>
      <c r="B652" s="1">
        <v>45563</v>
      </c>
      <c r="C652" t="s">
        <v>36</v>
      </c>
      <c r="D652" t="s">
        <v>38</v>
      </c>
      <c r="E652">
        <v>50</v>
      </c>
      <c r="F652" t="s">
        <v>15</v>
      </c>
      <c r="G652">
        <v>872.99</v>
      </c>
      <c r="H652">
        <v>50</v>
      </c>
      <c r="I652" t="s">
        <v>16</v>
      </c>
      <c r="J652">
        <v>4.8</v>
      </c>
      <c r="K652" t="s">
        <v>17</v>
      </c>
      <c r="L652" t="s">
        <v>23</v>
      </c>
      <c r="M652" t="str">
        <f>VLOOKUP(D656,Restaurant_Master!A:B,2,FALSE)</f>
        <v>https://www.chatswoodinterchange.com/storages/2018/08/Sushi-World_666x448.jpg</v>
      </c>
    </row>
    <row r="653" spans="1:13" x14ac:dyDescent="0.3">
      <c r="A653" t="s">
        <v>683</v>
      </c>
      <c r="B653" s="1">
        <v>45447</v>
      </c>
      <c r="C653" t="s">
        <v>43</v>
      </c>
      <c r="D653" t="s">
        <v>32</v>
      </c>
      <c r="E653">
        <v>47</v>
      </c>
      <c r="F653" t="s">
        <v>15</v>
      </c>
      <c r="G653">
        <v>253.02</v>
      </c>
      <c r="H653">
        <v>52</v>
      </c>
      <c r="I653" t="s">
        <v>16</v>
      </c>
      <c r="J653">
        <v>2.6</v>
      </c>
      <c r="K653" t="s">
        <v>29</v>
      </c>
      <c r="L653" t="s">
        <v>23</v>
      </c>
      <c r="M653" t="str">
        <f>VLOOKUP(D657,Restaurant_Master!A:B,2,FALSE)</f>
        <v>https://www.chatswoodinterchange.com/storages/2018/08/Sushi-World_666x448.jpg</v>
      </c>
    </row>
    <row r="654" spans="1:13" x14ac:dyDescent="0.3">
      <c r="A654" t="s">
        <v>684</v>
      </c>
      <c r="B654" s="1">
        <v>45323</v>
      </c>
      <c r="C654" t="s">
        <v>34</v>
      </c>
      <c r="D654" t="s">
        <v>38</v>
      </c>
      <c r="E654">
        <v>39</v>
      </c>
      <c r="F654" t="s">
        <v>28</v>
      </c>
      <c r="G654">
        <v>408.69</v>
      </c>
      <c r="H654">
        <v>35</v>
      </c>
      <c r="I654" t="s">
        <v>22</v>
      </c>
      <c r="J654">
        <v>4.9000000000000004</v>
      </c>
      <c r="K654" t="s">
        <v>29</v>
      </c>
      <c r="L654" t="s">
        <v>18</v>
      </c>
      <c r="M654" t="str">
        <f>VLOOKUP(D658,Restaurant_Master!A:B,2,FALSE)</f>
        <v>https://www.chatswoodinterchange.com/storages/2018/08/Sushi-World_666x448.jpg</v>
      </c>
    </row>
    <row r="655" spans="1:13" x14ac:dyDescent="0.3">
      <c r="A655" t="s">
        <v>685</v>
      </c>
      <c r="B655" s="1">
        <v>45409</v>
      </c>
      <c r="C655" t="s">
        <v>36</v>
      </c>
      <c r="D655" t="s">
        <v>21</v>
      </c>
      <c r="E655">
        <v>26</v>
      </c>
      <c r="F655" t="s">
        <v>15</v>
      </c>
      <c r="G655">
        <v>180.58</v>
      </c>
      <c r="H655">
        <v>51</v>
      </c>
      <c r="I655" t="s">
        <v>16</v>
      </c>
      <c r="J655">
        <v>3.2</v>
      </c>
      <c r="K655" t="s">
        <v>29</v>
      </c>
      <c r="L655" t="s">
        <v>18</v>
      </c>
      <c r="M655" t="str">
        <f>VLOOKUP(D659,Restaurant_Master!A:B,2,FALSE)</f>
        <v>https://dynamic-media-cdn.tripadvisor.com/media/photo-o/1c/e7/04/0d/front-of-the-local-easily.jpg</v>
      </c>
    </row>
    <row r="656" spans="1:13" x14ac:dyDescent="0.3">
      <c r="A656" t="s">
        <v>686</v>
      </c>
      <c r="B656" s="1">
        <v>45613</v>
      </c>
      <c r="C656" t="s">
        <v>34</v>
      </c>
      <c r="D656" t="s">
        <v>38</v>
      </c>
      <c r="E656">
        <v>45</v>
      </c>
      <c r="F656" t="s">
        <v>15</v>
      </c>
      <c r="G656">
        <v>982.19</v>
      </c>
      <c r="H656">
        <v>30</v>
      </c>
      <c r="I656" t="s">
        <v>22</v>
      </c>
      <c r="J656">
        <v>4.3</v>
      </c>
      <c r="K656" t="s">
        <v>17</v>
      </c>
      <c r="L656" t="s">
        <v>23</v>
      </c>
      <c r="M656" t="str">
        <f>VLOOKUP(D660,Restaurant_Master!A:B,2,FALSE)</f>
        <v>https://content.jdmagicbox.com/comp/deoria/g6/9999p5568.5568.200119143033.m4g6/catalogue/biryani-house-deoria-ho-deoria-mktc2xph0o.jpg</v>
      </c>
    </row>
    <row r="657" spans="1:13" x14ac:dyDescent="0.3">
      <c r="A657" t="s">
        <v>687</v>
      </c>
      <c r="B657" s="1">
        <v>45558</v>
      </c>
      <c r="C657" t="s">
        <v>36</v>
      </c>
      <c r="D657" t="s">
        <v>38</v>
      </c>
      <c r="E657">
        <v>52</v>
      </c>
      <c r="F657" t="s">
        <v>15</v>
      </c>
      <c r="G657">
        <v>199.56</v>
      </c>
      <c r="H657">
        <v>29</v>
      </c>
      <c r="I657" t="s">
        <v>22</v>
      </c>
      <c r="J657">
        <v>4.0999999999999996</v>
      </c>
      <c r="K657" t="s">
        <v>26</v>
      </c>
      <c r="L657" t="s">
        <v>23</v>
      </c>
      <c r="M657" t="str">
        <f>VLOOKUP(D661,Restaurant_Master!A:B,2,FALSE)</f>
        <v>https://dynamic-media-cdn.tripadvisor.com/media/photo-o/1c/e7/04/0d/front-of-the-local-easily.jpg</v>
      </c>
    </row>
    <row r="658" spans="1:13" x14ac:dyDescent="0.3">
      <c r="A658" t="s">
        <v>688</v>
      </c>
      <c r="B658" s="1">
        <v>45439</v>
      </c>
      <c r="C658" t="s">
        <v>34</v>
      </c>
      <c r="D658" t="s">
        <v>38</v>
      </c>
      <c r="E658">
        <v>40</v>
      </c>
      <c r="F658" t="s">
        <v>15</v>
      </c>
      <c r="G658">
        <v>840.72</v>
      </c>
      <c r="H658">
        <v>59</v>
      </c>
      <c r="I658" t="s">
        <v>16</v>
      </c>
      <c r="J658">
        <v>3.2</v>
      </c>
      <c r="K658" t="s">
        <v>41</v>
      </c>
      <c r="L658" t="s">
        <v>18</v>
      </c>
      <c r="M658" t="str">
        <f>VLOOKUP(D662,Restaurant_Master!A:B,2,FALSE)</f>
        <v>https://content.jdmagicbox.com/comp/deoria/g6/9999p5568.5568.200119143033.m4g6/catalogue/biryani-house-deoria-ho-deoria-mktc2xph0o.jpg</v>
      </c>
    </row>
    <row r="659" spans="1:13" x14ac:dyDescent="0.3">
      <c r="A659" t="s">
        <v>689</v>
      </c>
      <c r="B659" s="1">
        <v>45595</v>
      </c>
      <c r="C659" t="s">
        <v>36</v>
      </c>
      <c r="D659" t="s">
        <v>21</v>
      </c>
      <c r="E659">
        <v>50</v>
      </c>
      <c r="F659" t="s">
        <v>28</v>
      </c>
      <c r="G659">
        <v>230.52</v>
      </c>
      <c r="H659">
        <v>41</v>
      </c>
      <c r="I659" t="s">
        <v>16</v>
      </c>
      <c r="J659">
        <v>3</v>
      </c>
      <c r="K659" t="s">
        <v>17</v>
      </c>
      <c r="L659" t="s">
        <v>18</v>
      </c>
      <c r="M659" t="str">
        <f>VLOOKUP(D663,Restaurant_Master!A:B,2,FALSE)</f>
        <v>https://content.jdmagicbox.com/comp/deoria/g6/9999p5568.5568.200119143033.m4g6/catalogue/biryani-house-deoria-ho-deoria-mktc2xph0o.jpg</v>
      </c>
    </row>
    <row r="660" spans="1:13" x14ac:dyDescent="0.3">
      <c r="A660" t="s">
        <v>690</v>
      </c>
      <c r="B660" s="1">
        <v>45570</v>
      </c>
      <c r="C660" t="s">
        <v>20</v>
      </c>
      <c r="D660" t="s">
        <v>32</v>
      </c>
      <c r="E660">
        <v>51</v>
      </c>
      <c r="F660" t="s">
        <v>28</v>
      </c>
      <c r="G660">
        <v>594.70000000000005</v>
      </c>
      <c r="H660">
        <v>28</v>
      </c>
      <c r="I660" t="s">
        <v>22</v>
      </c>
      <c r="J660">
        <v>3.8</v>
      </c>
      <c r="K660" t="s">
        <v>29</v>
      </c>
      <c r="L660" t="s">
        <v>23</v>
      </c>
      <c r="M660" t="str">
        <f>VLOOKUP(D664,Restaurant_Master!A:B,2,FALSE)</f>
        <v>https://www.chatswoodinterchange.com/storages/2018/08/Sushi-World_666x448.jpg</v>
      </c>
    </row>
    <row r="661" spans="1:13" x14ac:dyDescent="0.3">
      <c r="A661" t="s">
        <v>691</v>
      </c>
      <c r="B661" s="1">
        <v>45605</v>
      </c>
      <c r="C661" t="s">
        <v>43</v>
      </c>
      <c r="D661" t="s">
        <v>21</v>
      </c>
      <c r="E661">
        <v>29</v>
      </c>
      <c r="F661" t="s">
        <v>28</v>
      </c>
      <c r="G661">
        <v>1058.24</v>
      </c>
      <c r="H661">
        <v>36</v>
      </c>
      <c r="I661" t="s">
        <v>22</v>
      </c>
      <c r="J661">
        <v>3.5</v>
      </c>
      <c r="K661" t="s">
        <v>17</v>
      </c>
      <c r="L661" t="s">
        <v>23</v>
      </c>
      <c r="M661" t="str">
        <f>VLOOKUP(D665,Restaurant_Master!A:B,2,FALSE)</f>
        <v>https://content.jdmagicbox.com/comp/deoria/g6/9999p5568.5568.200119143033.m4g6/catalogue/biryani-house-deoria-ho-deoria-mktc2xph0o.jpg</v>
      </c>
    </row>
    <row r="662" spans="1:13" x14ac:dyDescent="0.3">
      <c r="A662" t="s">
        <v>692</v>
      </c>
      <c r="B662" s="1">
        <v>45416</v>
      </c>
      <c r="C662" t="s">
        <v>43</v>
      </c>
      <c r="D662" t="s">
        <v>32</v>
      </c>
      <c r="E662">
        <v>27</v>
      </c>
      <c r="F662" t="s">
        <v>15</v>
      </c>
      <c r="G662">
        <v>1186.1199999999999</v>
      </c>
      <c r="H662">
        <v>43</v>
      </c>
      <c r="I662" t="s">
        <v>16</v>
      </c>
      <c r="J662">
        <v>3.3</v>
      </c>
      <c r="K662" t="s">
        <v>29</v>
      </c>
      <c r="L662" t="s">
        <v>18</v>
      </c>
      <c r="M662" t="str">
        <f>VLOOKUP(D666,Restaurant_Master!A:B,2,FALSE)</f>
        <v>https://content.jdmagicbox.com/comp/deoria/g6/9999p5568.5568.200119143033.m4g6/catalogue/biryani-house-deoria-ho-deoria-mktc2xph0o.jpg</v>
      </c>
    </row>
    <row r="663" spans="1:13" x14ac:dyDescent="0.3">
      <c r="A663" t="s">
        <v>693</v>
      </c>
      <c r="B663" s="1">
        <v>45356</v>
      </c>
      <c r="C663" t="s">
        <v>43</v>
      </c>
      <c r="D663" t="s">
        <v>32</v>
      </c>
      <c r="E663">
        <v>38</v>
      </c>
      <c r="F663" t="s">
        <v>15</v>
      </c>
      <c r="G663">
        <v>698.38</v>
      </c>
      <c r="H663">
        <v>22</v>
      </c>
      <c r="I663" t="s">
        <v>22</v>
      </c>
      <c r="J663">
        <v>2.9</v>
      </c>
      <c r="K663" t="s">
        <v>17</v>
      </c>
      <c r="L663" t="s">
        <v>18</v>
      </c>
      <c r="M663" t="str">
        <f>VLOOKUP(D667,Restaurant_Master!A:B,2,FALSE)</f>
        <v>https://dineout-media-assets.swiggy.com/swiggy/image/upload/fl_lossy,f_auto,q_auto/v1660793737/fdqxvxcxg1wtdwvyv45v.jpg</v>
      </c>
    </row>
    <row r="664" spans="1:13" x14ac:dyDescent="0.3">
      <c r="A664" t="s">
        <v>694</v>
      </c>
      <c r="B664" s="1">
        <v>45424</v>
      </c>
      <c r="C664" t="s">
        <v>13</v>
      </c>
      <c r="D664" t="s">
        <v>38</v>
      </c>
      <c r="E664">
        <v>46</v>
      </c>
      <c r="F664" t="s">
        <v>28</v>
      </c>
      <c r="G664">
        <v>628.96</v>
      </c>
      <c r="H664">
        <v>52</v>
      </c>
      <c r="I664" t="s">
        <v>16</v>
      </c>
      <c r="J664">
        <v>3.6</v>
      </c>
      <c r="K664" t="s">
        <v>41</v>
      </c>
      <c r="L664" t="s">
        <v>18</v>
      </c>
      <c r="M664" t="str">
        <f>VLOOKUP(D668,Restaurant_Master!A:B,2,FALSE)</f>
        <v>https://dynamic-media-cdn.tripadvisor.com/media/photo-o/1c/e7/04/0d/front-of-the-local-easily.jpg</v>
      </c>
    </row>
    <row r="665" spans="1:13" x14ac:dyDescent="0.3">
      <c r="A665" t="s">
        <v>695</v>
      </c>
      <c r="B665" s="1">
        <v>45616</v>
      </c>
      <c r="C665" t="s">
        <v>20</v>
      </c>
      <c r="D665" t="s">
        <v>32</v>
      </c>
      <c r="E665">
        <v>19</v>
      </c>
      <c r="F665" t="s">
        <v>28</v>
      </c>
      <c r="G665">
        <v>745.86</v>
      </c>
      <c r="H665">
        <v>42</v>
      </c>
      <c r="I665" t="s">
        <v>16</v>
      </c>
      <c r="J665">
        <v>3</v>
      </c>
      <c r="K665" t="s">
        <v>41</v>
      </c>
      <c r="L665" t="s">
        <v>23</v>
      </c>
      <c r="M665" t="str">
        <f>VLOOKUP(D669,Restaurant_Master!A:B,2,FALSE)</f>
        <v>https://content.jdmagicbox.com/comp/deoria/g6/9999p5568.5568.200119143033.m4g6/catalogue/biryani-house-deoria-ho-deoria-mktc2xph0o.jpg</v>
      </c>
    </row>
    <row r="666" spans="1:13" x14ac:dyDescent="0.3">
      <c r="A666" t="s">
        <v>696</v>
      </c>
      <c r="B666" s="1">
        <v>45562</v>
      </c>
      <c r="C666" t="s">
        <v>43</v>
      </c>
      <c r="D666" t="s">
        <v>32</v>
      </c>
      <c r="E666">
        <v>23</v>
      </c>
      <c r="F666" t="s">
        <v>15</v>
      </c>
      <c r="G666">
        <v>268.77999999999997</v>
      </c>
      <c r="H666">
        <v>36</v>
      </c>
      <c r="I666" t="s">
        <v>22</v>
      </c>
      <c r="J666">
        <v>4.5999999999999996</v>
      </c>
      <c r="K666" t="s">
        <v>26</v>
      </c>
      <c r="L666" t="s">
        <v>23</v>
      </c>
      <c r="M666" t="str">
        <f>VLOOKUP(D670,Restaurant_Master!A:B,2,FALSE)</f>
        <v>https://www.chatswoodinterchange.com/storages/2018/08/Sushi-World_666x448.jpg</v>
      </c>
    </row>
    <row r="667" spans="1:13" x14ac:dyDescent="0.3">
      <c r="A667" t="s">
        <v>697</v>
      </c>
      <c r="B667" s="1">
        <v>45638</v>
      </c>
      <c r="C667" t="s">
        <v>36</v>
      </c>
      <c r="D667" t="s">
        <v>14</v>
      </c>
      <c r="E667">
        <v>32</v>
      </c>
      <c r="F667" t="s">
        <v>15</v>
      </c>
      <c r="G667">
        <v>575.27</v>
      </c>
      <c r="H667">
        <v>50</v>
      </c>
      <c r="I667" t="s">
        <v>16</v>
      </c>
      <c r="J667">
        <v>2.9</v>
      </c>
      <c r="K667" t="s">
        <v>17</v>
      </c>
      <c r="L667" t="s">
        <v>18</v>
      </c>
      <c r="M667" t="str">
        <f>VLOOKUP(D671,Restaurant_Master!A:B,2,FALSE)</f>
        <v>https://www.chatswoodinterchange.com/storages/2018/08/Sushi-World_666x448.jpg</v>
      </c>
    </row>
    <row r="668" spans="1:13" x14ac:dyDescent="0.3">
      <c r="A668" t="s">
        <v>698</v>
      </c>
      <c r="B668" s="1">
        <v>45391</v>
      </c>
      <c r="C668" t="s">
        <v>20</v>
      </c>
      <c r="D668" t="s">
        <v>21</v>
      </c>
      <c r="E668">
        <v>49</v>
      </c>
      <c r="F668" t="s">
        <v>28</v>
      </c>
      <c r="G668">
        <v>791.29</v>
      </c>
      <c r="H668">
        <v>46</v>
      </c>
      <c r="I668" t="s">
        <v>16</v>
      </c>
      <c r="J668">
        <v>2.5</v>
      </c>
      <c r="K668" t="s">
        <v>41</v>
      </c>
      <c r="L668" t="s">
        <v>23</v>
      </c>
      <c r="M668" t="str">
        <f>VLOOKUP(D672,Restaurant_Master!A:B,2,FALSE)</f>
        <v>https://media-cdn.tripadvisor.com/media/photo-s/1c/c7/97/b6/photo6jpg.jpg</v>
      </c>
    </row>
    <row r="669" spans="1:13" x14ac:dyDescent="0.3">
      <c r="A669" t="s">
        <v>699</v>
      </c>
      <c r="B669" s="1">
        <v>45560</v>
      </c>
      <c r="C669" t="s">
        <v>13</v>
      </c>
      <c r="D669" t="s">
        <v>32</v>
      </c>
      <c r="E669">
        <v>32</v>
      </c>
      <c r="F669" t="s">
        <v>15</v>
      </c>
      <c r="G669">
        <v>1097.75</v>
      </c>
      <c r="H669">
        <v>54</v>
      </c>
      <c r="I669" t="s">
        <v>16</v>
      </c>
      <c r="J669">
        <v>5</v>
      </c>
      <c r="K669" t="s">
        <v>26</v>
      </c>
      <c r="L669" t="s">
        <v>23</v>
      </c>
      <c r="M669" t="str">
        <f>VLOOKUP(D673,Restaurant_Master!A:B,2,FALSE)</f>
        <v>https://www.chatswoodinterchange.com/storages/2018/08/Sushi-World_666x448.jpg</v>
      </c>
    </row>
    <row r="670" spans="1:13" x14ac:dyDescent="0.3">
      <c r="A670" t="s">
        <v>700</v>
      </c>
      <c r="B670" s="1">
        <v>45575</v>
      </c>
      <c r="C670" t="s">
        <v>34</v>
      </c>
      <c r="D670" t="s">
        <v>38</v>
      </c>
      <c r="E670">
        <v>60</v>
      </c>
      <c r="F670" t="s">
        <v>15</v>
      </c>
      <c r="G670">
        <v>532.41999999999996</v>
      </c>
      <c r="H670">
        <v>51</v>
      </c>
      <c r="I670" t="s">
        <v>16</v>
      </c>
      <c r="J670">
        <v>2.6</v>
      </c>
      <c r="K670" t="s">
        <v>29</v>
      </c>
      <c r="L670" t="s">
        <v>23</v>
      </c>
      <c r="M670" t="str">
        <f>VLOOKUP(D674,Restaurant_Master!A:B,2,FALSE)</f>
        <v>https://www.chatswoodinterchange.com/storages/2018/08/Sushi-World_666x448.jpg</v>
      </c>
    </row>
    <row r="671" spans="1:13" x14ac:dyDescent="0.3">
      <c r="A671" t="s">
        <v>701</v>
      </c>
      <c r="B671" s="1">
        <v>45422</v>
      </c>
      <c r="C671" t="s">
        <v>36</v>
      </c>
      <c r="D671" t="s">
        <v>38</v>
      </c>
      <c r="E671">
        <v>35</v>
      </c>
      <c r="F671" t="s">
        <v>28</v>
      </c>
      <c r="G671">
        <v>1181.8800000000001</v>
      </c>
      <c r="H671">
        <v>58</v>
      </c>
      <c r="I671" t="s">
        <v>16</v>
      </c>
      <c r="J671">
        <v>3.9</v>
      </c>
      <c r="K671" t="s">
        <v>26</v>
      </c>
      <c r="L671" t="s">
        <v>23</v>
      </c>
      <c r="M671" t="str">
        <f>VLOOKUP(D675,Restaurant_Master!A:B,2,FALSE)</f>
        <v>https://media-cdn.tripadvisor.com/media/photo-s/1c/c7/97/b6/photo6jpg.jpg</v>
      </c>
    </row>
    <row r="672" spans="1:13" x14ac:dyDescent="0.3">
      <c r="A672" t="s">
        <v>702</v>
      </c>
      <c r="B672" s="1">
        <v>45637</v>
      </c>
      <c r="C672" t="s">
        <v>43</v>
      </c>
      <c r="D672" t="s">
        <v>25</v>
      </c>
      <c r="E672">
        <v>57</v>
      </c>
      <c r="F672" t="s">
        <v>15</v>
      </c>
      <c r="G672">
        <v>265.29000000000002</v>
      </c>
      <c r="H672">
        <v>57</v>
      </c>
      <c r="I672" t="s">
        <v>16</v>
      </c>
      <c r="J672">
        <v>4.8</v>
      </c>
      <c r="K672" t="s">
        <v>17</v>
      </c>
      <c r="L672" t="s">
        <v>18</v>
      </c>
      <c r="M672" t="str">
        <f>VLOOKUP(D676,Restaurant_Master!A:B,2,FALSE)</f>
        <v>https://content.jdmagicbox.com/comp/deoria/g6/9999p5568.5568.200119143033.m4g6/catalogue/biryani-house-deoria-ho-deoria-mktc2xph0o.jpg</v>
      </c>
    </row>
    <row r="673" spans="1:13" x14ac:dyDescent="0.3">
      <c r="A673" t="s">
        <v>703</v>
      </c>
      <c r="B673" s="1">
        <v>45497</v>
      </c>
      <c r="C673" t="s">
        <v>13</v>
      </c>
      <c r="D673" t="s">
        <v>38</v>
      </c>
      <c r="E673">
        <v>54</v>
      </c>
      <c r="F673" t="s">
        <v>28</v>
      </c>
      <c r="G673">
        <v>448.94</v>
      </c>
      <c r="H673">
        <v>24</v>
      </c>
      <c r="I673" t="s">
        <v>22</v>
      </c>
      <c r="J673">
        <v>4.9000000000000004</v>
      </c>
      <c r="K673" t="s">
        <v>17</v>
      </c>
      <c r="L673" t="s">
        <v>23</v>
      </c>
      <c r="M673" t="str">
        <f>VLOOKUP(D677,Restaurant_Master!A:B,2,FALSE)</f>
        <v>https://dynamic-media-cdn.tripadvisor.com/media/photo-o/1c/e7/04/0d/front-of-the-local-easily.jpg</v>
      </c>
    </row>
    <row r="674" spans="1:13" x14ac:dyDescent="0.3">
      <c r="A674" t="s">
        <v>704</v>
      </c>
      <c r="B674" s="1">
        <v>45617</v>
      </c>
      <c r="C674" t="s">
        <v>36</v>
      </c>
      <c r="D674" t="s">
        <v>38</v>
      </c>
      <c r="E674">
        <v>43</v>
      </c>
      <c r="F674" t="s">
        <v>15</v>
      </c>
      <c r="G674">
        <v>1060.0999999999999</v>
      </c>
      <c r="H674">
        <v>50</v>
      </c>
      <c r="I674" t="s">
        <v>16</v>
      </c>
      <c r="J674">
        <v>4.7</v>
      </c>
      <c r="K674" t="s">
        <v>17</v>
      </c>
      <c r="L674" t="s">
        <v>18</v>
      </c>
      <c r="M674" t="str">
        <f>VLOOKUP(D678,Restaurant_Master!A:B,2,FALSE)</f>
        <v>https://content.jdmagicbox.com/comp/deoria/g6/9999p5568.5568.200119143033.m4g6/catalogue/biryani-house-deoria-ho-deoria-mktc2xph0o.jpg</v>
      </c>
    </row>
    <row r="675" spans="1:13" x14ac:dyDescent="0.3">
      <c r="A675" t="s">
        <v>705</v>
      </c>
      <c r="B675" s="1">
        <v>45450</v>
      </c>
      <c r="C675" t="s">
        <v>20</v>
      </c>
      <c r="D675" t="s">
        <v>25</v>
      </c>
      <c r="E675">
        <v>25</v>
      </c>
      <c r="F675" t="s">
        <v>28</v>
      </c>
      <c r="G675">
        <v>871.28</v>
      </c>
      <c r="H675">
        <v>55</v>
      </c>
      <c r="I675" t="s">
        <v>16</v>
      </c>
      <c r="J675">
        <v>4.5999999999999996</v>
      </c>
      <c r="K675" t="s">
        <v>26</v>
      </c>
      <c r="L675" t="s">
        <v>23</v>
      </c>
      <c r="M675" t="str">
        <f>VLOOKUP(D679,Restaurant_Master!A:B,2,FALSE)</f>
        <v>https://media-cdn.tripadvisor.com/media/photo-s/1c/c7/97/b6/photo6jpg.jpg</v>
      </c>
    </row>
    <row r="676" spans="1:13" x14ac:dyDescent="0.3">
      <c r="A676" t="s">
        <v>706</v>
      </c>
      <c r="B676" s="1">
        <v>45369</v>
      </c>
      <c r="C676" t="s">
        <v>13</v>
      </c>
      <c r="D676" t="s">
        <v>32</v>
      </c>
      <c r="E676">
        <v>23</v>
      </c>
      <c r="F676" t="s">
        <v>28</v>
      </c>
      <c r="G676">
        <v>530.39</v>
      </c>
      <c r="H676">
        <v>51</v>
      </c>
      <c r="I676" t="s">
        <v>16</v>
      </c>
      <c r="J676">
        <v>3.6</v>
      </c>
      <c r="K676" t="s">
        <v>26</v>
      </c>
      <c r="L676" t="s">
        <v>23</v>
      </c>
      <c r="M676" t="str">
        <f>VLOOKUP(D680,Restaurant_Master!A:B,2,FALSE)</f>
        <v>https://dineout-media-assets.swiggy.com/swiggy/image/upload/fl_lossy,f_auto,q_auto/v1660793737/fdqxvxcxg1wtdwvyv45v.jpg</v>
      </c>
    </row>
    <row r="677" spans="1:13" x14ac:dyDescent="0.3">
      <c r="A677" t="s">
        <v>707</v>
      </c>
      <c r="B677" s="1">
        <v>45654</v>
      </c>
      <c r="C677" t="s">
        <v>43</v>
      </c>
      <c r="D677" t="s">
        <v>21</v>
      </c>
      <c r="E677">
        <v>56</v>
      </c>
      <c r="F677" t="s">
        <v>28</v>
      </c>
      <c r="G677">
        <v>594.01</v>
      </c>
      <c r="H677">
        <v>54</v>
      </c>
      <c r="I677" t="s">
        <v>16</v>
      </c>
      <c r="J677">
        <v>4.0999999999999996</v>
      </c>
      <c r="K677" t="s">
        <v>41</v>
      </c>
      <c r="L677" t="s">
        <v>18</v>
      </c>
      <c r="M677" t="str">
        <f>VLOOKUP(D681,Restaurant_Master!A:B,2,FALSE)</f>
        <v>https://media-cdn.tripadvisor.com/media/photo-s/1c/c7/97/b6/photo6jpg.jpg</v>
      </c>
    </row>
    <row r="678" spans="1:13" x14ac:dyDescent="0.3">
      <c r="A678" t="s">
        <v>708</v>
      </c>
      <c r="B678" s="1">
        <v>45407</v>
      </c>
      <c r="C678" t="s">
        <v>34</v>
      </c>
      <c r="D678" t="s">
        <v>32</v>
      </c>
      <c r="E678">
        <v>47</v>
      </c>
      <c r="F678" t="s">
        <v>28</v>
      </c>
      <c r="G678">
        <v>371.98</v>
      </c>
      <c r="H678">
        <v>57</v>
      </c>
      <c r="I678" t="s">
        <v>16</v>
      </c>
      <c r="J678">
        <v>4.7</v>
      </c>
      <c r="K678" t="s">
        <v>26</v>
      </c>
      <c r="L678" t="s">
        <v>23</v>
      </c>
      <c r="M678" t="str">
        <f>VLOOKUP(D682,Restaurant_Master!A:B,2,FALSE)</f>
        <v>https://www.chatswoodinterchange.com/storages/2018/08/Sushi-World_666x448.jpg</v>
      </c>
    </row>
    <row r="679" spans="1:13" x14ac:dyDescent="0.3">
      <c r="A679" t="s">
        <v>709</v>
      </c>
      <c r="B679" s="1">
        <v>45439</v>
      </c>
      <c r="C679" t="s">
        <v>13</v>
      </c>
      <c r="D679" t="s">
        <v>25</v>
      </c>
      <c r="E679">
        <v>41</v>
      </c>
      <c r="F679" t="s">
        <v>15</v>
      </c>
      <c r="G679">
        <v>482.93</v>
      </c>
      <c r="H679">
        <v>48</v>
      </c>
      <c r="I679" t="s">
        <v>16</v>
      </c>
      <c r="J679">
        <v>4</v>
      </c>
      <c r="K679" t="s">
        <v>26</v>
      </c>
      <c r="L679" t="s">
        <v>18</v>
      </c>
      <c r="M679" t="str">
        <f>VLOOKUP(D683,Restaurant_Master!A:B,2,FALSE)</f>
        <v>https://content.jdmagicbox.com/comp/deoria/g6/9999p5568.5568.200119143033.m4g6/catalogue/biryani-house-deoria-ho-deoria-mktc2xph0o.jpg</v>
      </c>
    </row>
    <row r="680" spans="1:13" x14ac:dyDescent="0.3">
      <c r="A680" t="s">
        <v>710</v>
      </c>
      <c r="B680" s="1">
        <v>45644</v>
      </c>
      <c r="C680" t="s">
        <v>13</v>
      </c>
      <c r="D680" t="s">
        <v>14</v>
      </c>
      <c r="E680">
        <v>59</v>
      </c>
      <c r="F680" t="s">
        <v>15</v>
      </c>
      <c r="G680">
        <v>341.85</v>
      </c>
      <c r="H680">
        <v>42</v>
      </c>
      <c r="I680" t="s">
        <v>16</v>
      </c>
      <c r="J680">
        <v>3.4</v>
      </c>
      <c r="K680" t="s">
        <v>17</v>
      </c>
      <c r="L680" t="s">
        <v>18</v>
      </c>
      <c r="M680" t="str">
        <f>VLOOKUP(D684,Restaurant_Master!A:B,2,FALSE)</f>
        <v>https://dineout-media-assets.swiggy.com/swiggy/image/upload/fl_lossy,f_auto,q_auto/v1660793737/fdqxvxcxg1wtdwvyv45v.jpg</v>
      </c>
    </row>
    <row r="681" spans="1:13" x14ac:dyDescent="0.3">
      <c r="A681" t="s">
        <v>711</v>
      </c>
      <c r="B681" s="1">
        <v>45423</v>
      </c>
      <c r="C681" t="s">
        <v>13</v>
      </c>
      <c r="D681" t="s">
        <v>25</v>
      </c>
      <c r="E681">
        <v>34</v>
      </c>
      <c r="F681" t="s">
        <v>28</v>
      </c>
      <c r="G681">
        <v>570.64</v>
      </c>
      <c r="H681">
        <v>29</v>
      </c>
      <c r="I681" t="s">
        <v>22</v>
      </c>
      <c r="J681">
        <v>2.7</v>
      </c>
      <c r="K681" t="s">
        <v>17</v>
      </c>
      <c r="L681" t="s">
        <v>23</v>
      </c>
      <c r="M681" t="str">
        <f>VLOOKUP(D685,Restaurant_Master!A:B,2,FALSE)</f>
        <v>https://media-cdn.tripadvisor.com/media/photo-s/1c/c7/97/b6/photo6jpg.jpg</v>
      </c>
    </row>
    <row r="682" spans="1:13" x14ac:dyDescent="0.3">
      <c r="A682" t="s">
        <v>712</v>
      </c>
      <c r="B682" s="1">
        <v>45459</v>
      </c>
      <c r="C682" t="s">
        <v>34</v>
      </c>
      <c r="D682" t="s">
        <v>38</v>
      </c>
      <c r="E682">
        <v>28</v>
      </c>
      <c r="F682" t="s">
        <v>15</v>
      </c>
      <c r="G682">
        <v>1157.82</v>
      </c>
      <c r="H682">
        <v>22</v>
      </c>
      <c r="I682" t="s">
        <v>22</v>
      </c>
      <c r="J682">
        <v>4.7</v>
      </c>
      <c r="K682" t="s">
        <v>41</v>
      </c>
      <c r="L682" t="s">
        <v>18</v>
      </c>
      <c r="M682" t="str">
        <f>VLOOKUP(D686,Restaurant_Master!A:B,2,FALSE)</f>
        <v>https://www.chatswoodinterchange.com/storages/2018/08/Sushi-World_666x448.jpg</v>
      </c>
    </row>
    <row r="683" spans="1:13" x14ac:dyDescent="0.3">
      <c r="A683" t="s">
        <v>713</v>
      </c>
      <c r="B683" s="1">
        <v>45636</v>
      </c>
      <c r="C683" t="s">
        <v>43</v>
      </c>
      <c r="D683" t="s">
        <v>32</v>
      </c>
      <c r="E683">
        <v>57</v>
      </c>
      <c r="F683" t="s">
        <v>15</v>
      </c>
      <c r="G683">
        <v>530.67999999999995</v>
      </c>
      <c r="H683">
        <v>50</v>
      </c>
      <c r="I683" t="s">
        <v>16</v>
      </c>
      <c r="J683">
        <v>4.8</v>
      </c>
      <c r="K683" t="s">
        <v>29</v>
      </c>
      <c r="L683" t="s">
        <v>18</v>
      </c>
      <c r="M683" t="str">
        <f>VLOOKUP(D687,Restaurant_Master!A:B,2,FALSE)</f>
        <v>https://dineout-media-assets.swiggy.com/swiggy/image/upload/fl_lossy,f_auto,q_auto/v1660793737/fdqxvxcxg1wtdwvyv45v.jpg</v>
      </c>
    </row>
    <row r="684" spans="1:13" x14ac:dyDescent="0.3">
      <c r="A684" t="s">
        <v>714</v>
      </c>
      <c r="B684" s="1">
        <v>45434</v>
      </c>
      <c r="C684" t="s">
        <v>34</v>
      </c>
      <c r="D684" t="s">
        <v>14</v>
      </c>
      <c r="E684">
        <v>43</v>
      </c>
      <c r="F684" t="s">
        <v>15</v>
      </c>
      <c r="G684">
        <v>810.59</v>
      </c>
      <c r="H684">
        <v>47</v>
      </c>
      <c r="I684" t="s">
        <v>16</v>
      </c>
      <c r="J684">
        <v>4</v>
      </c>
      <c r="K684" t="s">
        <v>41</v>
      </c>
      <c r="L684" t="s">
        <v>18</v>
      </c>
      <c r="M684" t="str">
        <f>VLOOKUP(D688,Restaurant_Master!A:B,2,FALSE)</f>
        <v>https://dynamic-media-cdn.tripadvisor.com/media/photo-o/1c/e7/04/0d/front-of-the-local-easily.jpg</v>
      </c>
    </row>
    <row r="685" spans="1:13" x14ac:dyDescent="0.3">
      <c r="A685" t="s">
        <v>715</v>
      </c>
      <c r="B685" s="1">
        <v>45400</v>
      </c>
      <c r="C685" t="s">
        <v>34</v>
      </c>
      <c r="D685" t="s">
        <v>25</v>
      </c>
      <c r="E685">
        <v>32</v>
      </c>
      <c r="F685" t="s">
        <v>15</v>
      </c>
      <c r="G685">
        <v>671.87</v>
      </c>
      <c r="H685">
        <v>37</v>
      </c>
      <c r="I685" t="s">
        <v>22</v>
      </c>
      <c r="J685">
        <v>3.6</v>
      </c>
      <c r="K685" t="s">
        <v>17</v>
      </c>
      <c r="L685" t="s">
        <v>18</v>
      </c>
      <c r="M685" t="str">
        <f>VLOOKUP(D689,Restaurant_Master!A:B,2,FALSE)</f>
        <v>https://www.chatswoodinterchange.com/storages/2018/08/Sushi-World_666x448.jpg</v>
      </c>
    </row>
    <row r="686" spans="1:13" x14ac:dyDescent="0.3">
      <c r="A686" t="s">
        <v>716</v>
      </c>
      <c r="B686" s="1">
        <v>45387</v>
      </c>
      <c r="C686" t="s">
        <v>36</v>
      </c>
      <c r="D686" t="s">
        <v>38</v>
      </c>
      <c r="E686">
        <v>24</v>
      </c>
      <c r="F686" t="s">
        <v>15</v>
      </c>
      <c r="G686">
        <v>443.83</v>
      </c>
      <c r="H686">
        <v>41</v>
      </c>
      <c r="I686" t="s">
        <v>16</v>
      </c>
      <c r="J686">
        <v>3.4</v>
      </c>
      <c r="K686" t="s">
        <v>26</v>
      </c>
      <c r="L686" t="s">
        <v>18</v>
      </c>
      <c r="M686" t="str">
        <f>VLOOKUP(D690,Restaurant_Master!A:B,2,FALSE)</f>
        <v>https://dineout-media-assets.swiggy.com/swiggy/image/upload/fl_lossy,f_auto,q_auto/v1660793737/fdqxvxcxg1wtdwvyv45v.jpg</v>
      </c>
    </row>
    <row r="687" spans="1:13" x14ac:dyDescent="0.3">
      <c r="A687" t="s">
        <v>717</v>
      </c>
      <c r="B687" s="1">
        <v>45440</v>
      </c>
      <c r="C687" t="s">
        <v>34</v>
      </c>
      <c r="D687" t="s">
        <v>14</v>
      </c>
      <c r="E687">
        <v>43</v>
      </c>
      <c r="F687" t="s">
        <v>28</v>
      </c>
      <c r="G687">
        <v>650.52</v>
      </c>
      <c r="H687">
        <v>42</v>
      </c>
      <c r="I687" t="s">
        <v>16</v>
      </c>
      <c r="J687">
        <v>4.0999999999999996</v>
      </c>
      <c r="K687" t="s">
        <v>17</v>
      </c>
      <c r="L687" t="s">
        <v>23</v>
      </c>
      <c r="M687" t="str">
        <f>VLOOKUP(D691,Restaurant_Master!A:B,2,FALSE)</f>
        <v>https://dynamic-media-cdn.tripadvisor.com/media/photo-o/1c/e7/04/0d/front-of-the-local-easily.jpg</v>
      </c>
    </row>
    <row r="688" spans="1:13" x14ac:dyDescent="0.3">
      <c r="A688" t="s">
        <v>718</v>
      </c>
      <c r="B688" s="1">
        <v>45391</v>
      </c>
      <c r="C688" t="s">
        <v>20</v>
      </c>
      <c r="D688" t="s">
        <v>21</v>
      </c>
      <c r="E688">
        <v>23</v>
      </c>
      <c r="F688" t="s">
        <v>28</v>
      </c>
      <c r="G688">
        <v>1025.27</v>
      </c>
      <c r="H688">
        <v>48</v>
      </c>
      <c r="I688" t="s">
        <v>16</v>
      </c>
      <c r="J688">
        <v>3.6</v>
      </c>
      <c r="K688" t="s">
        <v>17</v>
      </c>
      <c r="L688" t="s">
        <v>23</v>
      </c>
      <c r="M688" t="str">
        <f>VLOOKUP(D692,Restaurant_Master!A:B,2,FALSE)</f>
        <v>https://content.jdmagicbox.com/comp/deoria/g6/9999p5568.5568.200119143033.m4g6/catalogue/biryani-house-deoria-ho-deoria-mktc2xph0o.jpg</v>
      </c>
    </row>
    <row r="689" spans="1:13" x14ac:dyDescent="0.3">
      <c r="A689" t="s">
        <v>719</v>
      </c>
      <c r="B689" s="1">
        <v>45563</v>
      </c>
      <c r="C689" t="s">
        <v>36</v>
      </c>
      <c r="D689" t="s">
        <v>38</v>
      </c>
      <c r="E689">
        <v>59</v>
      </c>
      <c r="F689" t="s">
        <v>28</v>
      </c>
      <c r="G689">
        <v>364.59</v>
      </c>
      <c r="H689">
        <v>35</v>
      </c>
      <c r="I689" t="s">
        <v>22</v>
      </c>
      <c r="J689">
        <v>4.0999999999999996</v>
      </c>
      <c r="K689" t="s">
        <v>17</v>
      </c>
      <c r="L689" t="s">
        <v>23</v>
      </c>
      <c r="M689" t="str">
        <f>VLOOKUP(D693,Restaurant_Master!A:B,2,FALSE)</f>
        <v>https://dineout-media-assets.swiggy.com/swiggy/image/upload/fl_lossy,f_auto,q_auto/v1660793737/fdqxvxcxg1wtdwvyv45v.jpg</v>
      </c>
    </row>
    <row r="690" spans="1:13" x14ac:dyDescent="0.3">
      <c r="A690" t="s">
        <v>720</v>
      </c>
      <c r="B690" s="1">
        <v>45388</v>
      </c>
      <c r="C690" t="s">
        <v>34</v>
      </c>
      <c r="D690" t="s">
        <v>14</v>
      </c>
      <c r="E690">
        <v>55</v>
      </c>
      <c r="F690" t="s">
        <v>28</v>
      </c>
      <c r="G690">
        <v>316.76</v>
      </c>
      <c r="H690">
        <v>25</v>
      </c>
      <c r="I690" t="s">
        <v>22</v>
      </c>
      <c r="J690">
        <v>2.9</v>
      </c>
      <c r="K690" t="s">
        <v>26</v>
      </c>
      <c r="L690" t="s">
        <v>23</v>
      </c>
      <c r="M690" t="str">
        <f>VLOOKUP(D694,Restaurant_Master!A:B,2,FALSE)</f>
        <v>https://dynamic-media-cdn.tripadvisor.com/media/photo-o/1c/e7/04/0d/front-of-the-local-easily.jpg</v>
      </c>
    </row>
    <row r="691" spans="1:13" x14ac:dyDescent="0.3">
      <c r="A691" t="s">
        <v>721</v>
      </c>
      <c r="B691" s="1">
        <v>45460</v>
      </c>
      <c r="C691" t="s">
        <v>20</v>
      </c>
      <c r="D691" t="s">
        <v>21</v>
      </c>
      <c r="E691">
        <v>20</v>
      </c>
      <c r="F691" t="s">
        <v>28</v>
      </c>
      <c r="G691">
        <v>236.41</v>
      </c>
      <c r="H691">
        <v>32</v>
      </c>
      <c r="I691" t="s">
        <v>22</v>
      </c>
      <c r="J691">
        <v>2.9</v>
      </c>
      <c r="K691" t="s">
        <v>29</v>
      </c>
      <c r="L691" t="s">
        <v>23</v>
      </c>
      <c r="M691" t="str">
        <f>VLOOKUP(D695,Restaurant_Master!A:B,2,FALSE)</f>
        <v>https://dineout-media-assets.swiggy.com/swiggy/image/upload/fl_lossy,f_auto,q_auto/v1660793737/fdqxvxcxg1wtdwvyv45v.jpg</v>
      </c>
    </row>
    <row r="692" spans="1:13" x14ac:dyDescent="0.3">
      <c r="A692" t="s">
        <v>722</v>
      </c>
      <c r="B692" s="1">
        <v>45462</v>
      </c>
      <c r="C692" t="s">
        <v>20</v>
      </c>
      <c r="D692" t="s">
        <v>32</v>
      </c>
      <c r="E692">
        <v>58</v>
      </c>
      <c r="F692" t="s">
        <v>15</v>
      </c>
      <c r="G692">
        <v>1045.01</v>
      </c>
      <c r="H692">
        <v>26</v>
      </c>
      <c r="I692" t="s">
        <v>22</v>
      </c>
      <c r="J692">
        <v>4.5999999999999996</v>
      </c>
      <c r="K692" t="s">
        <v>17</v>
      </c>
      <c r="L692" t="s">
        <v>23</v>
      </c>
      <c r="M692" t="str">
        <f>VLOOKUP(D696,Restaurant_Master!A:B,2,FALSE)</f>
        <v>https://content.jdmagicbox.com/comp/deoria/g6/9999p5568.5568.200119143033.m4g6/catalogue/biryani-house-deoria-ho-deoria-mktc2xph0o.jpg</v>
      </c>
    </row>
    <row r="693" spans="1:13" x14ac:dyDescent="0.3">
      <c r="A693" t="s">
        <v>723</v>
      </c>
      <c r="B693" s="1">
        <v>45338</v>
      </c>
      <c r="C693" t="s">
        <v>13</v>
      </c>
      <c r="D693" t="s">
        <v>14</v>
      </c>
      <c r="E693">
        <v>40</v>
      </c>
      <c r="F693" t="s">
        <v>28</v>
      </c>
      <c r="G693">
        <v>576.89</v>
      </c>
      <c r="H693">
        <v>51</v>
      </c>
      <c r="I693" t="s">
        <v>16</v>
      </c>
      <c r="J693">
        <v>3.3</v>
      </c>
      <c r="K693" t="s">
        <v>41</v>
      </c>
      <c r="L693" t="s">
        <v>23</v>
      </c>
      <c r="M693" t="str">
        <f>VLOOKUP(D697,Restaurant_Master!A:B,2,FALSE)</f>
        <v>https://www.chatswoodinterchange.com/storages/2018/08/Sushi-World_666x448.jpg</v>
      </c>
    </row>
    <row r="694" spans="1:13" x14ac:dyDescent="0.3">
      <c r="A694" t="s">
        <v>724</v>
      </c>
      <c r="B694" s="1">
        <v>45322</v>
      </c>
      <c r="C694" t="s">
        <v>36</v>
      </c>
      <c r="D694" t="s">
        <v>21</v>
      </c>
      <c r="E694">
        <v>42</v>
      </c>
      <c r="F694" t="s">
        <v>28</v>
      </c>
      <c r="G694">
        <v>853.35</v>
      </c>
      <c r="H694">
        <v>21</v>
      </c>
      <c r="I694" t="s">
        <v>22</v>
      </c>
      <c r="J694">
        <v>4.0999999999999996</v>
      </c>
      <c r="K694" t="s">
        <v>41</v>
      </c>
      <c r="L694" t="s">
        <v>18</v>
      </c>
      <c r="M694" t="str">
        <f>VLOOKUP(D698,Restaurant_Master!A:B,2,FALSE)</f>
        <v>https://www.chatswoodinterchange.com/storages/2018/08/Sushi-World_666x448.jpg</v>
      </c>
    </row>
    <row r="695" spans="1:13" x14ac:dyDescent="0.3">
      <c r="A695" t="s">
        <v>725</v>
      </c>
      <c r="B695" s="1">
        <v>45543</v>
      </c>
      <c r="C695" t="s">
        <v>34</v>
      </c>
      <c r="D695" t="s">
        <v>14</v>
      </c>
      <c r="E695">
        <v>47</v>
      </c>
      <c r="F695" t="s">
        <v>28</v>
      </c>
      <c r="G695">
        <v>705.34</v>
      </c>
      <c r="H695">
        <v>30</v>
      </c>
      <c r="I695" t="s">
        <v>22</v>
      </c>
      <c r="J695">
        <v>3.6</v>
      </c>
      <c r="K695" t="s">
        <v>41</v>
      </c>
      <c r="L695" t="s">
        <v>23</v>
      </c>
      <c r="M695" t="str">
        <f>VLOOKUP(D699,Restaurant_Master!A:B,2,FALSE)</f>
        <v>https://dynamic-media-cdn.tripadvisor.com/media/photo-o/1c/e7/04/0d/front-of-the-local-easily.jpg</v>
      </c>
    </row>
    <row r="696" spans="1:13" x14ac:dyDescent="0.3">
      <c r="A696" t="s">
        <v>726</v>
      </c>
      <c r="B696" s="1">
        <v>45480</v>
      </c>
      <c r="C696" t="s">
        <v>20</v>
      </c>
      <c r="D696" t="s">
        <v>32</v>
      </c>
      <c r="E696">
        <v>57</v>
      </c>
      <c r="F696" t="s">
        <v>15</v>
      </c>
      <c r="G696">
        <v>533.87</v>
      </c>
      <c r="H696">
        <v>58</v>
      </c>
      <c r="I696" t="s">
        <v>16</v>
      </c>
      <c r="J696">
        <v>3.2</v>
      </c>
      <c r="K696" t="s">
        <v>26</v>
      </c>
      <c r="L696" t="s">
        <v>23</v>
      </c>
      <c r="M696" t="str">
        <f>VLOOKUP(D700,Restaurant_Master!A:B,2,FALSE)</f>
        <v>https://content.jdmagicbox.com/comp/deoria/g6/9999p5568.5568.200119143033.m4g6/catalogue/biryani-house-deoria-ho-deoria-mktc2xph0o.jpg</v>
      </c>
    </row>
    <row r="697" spans="1:13" x14ac:dyDescent="0.3">
      <c r="A697" t="s">
        <v>727</v>
      </c>
      <c r="B697" s="1">
        <v>45591</v>
      </c>
      <c r="C697" t="s">
        <v>34</v>
      </c>
      <c r="D697" t="s">
        <v>38</v>
      </c>
      <c r="E697">
        <v>34</v>
      </c>
      <c r="F697" t="s">
        <v>15</v>
      </c>
      <c r="G697">
        <v>414.71</v>
      </c>
      <c r="H697">
        <v>54</v>
      </c>
      <c r="I697" t="s">
        <v>16</v>
      </c>
      <c r="J697">
        <v>3.5</v>
      </c>
      <c r="K697" t="s">
        <v>17</v>
      </c>
      <c r="L697" t="s">
        <v>18</v>
      </c>
      <c r="M697" t="str">
        <f>VLOOKUP(D701,Restaurant_Master!A:B,2,FALSE)</f>
        <v>https://content.jdmagicbox.com/comp/deoria/g6/9999p5568.5568.200119143033.m4g6/catalogue/biryani-house-deoria-ho-deoria-mktc2xph0o.jpg</v>
      </c>
    </row>
    <row r="698" spans="1:13" x14ac:dyDescent="0.3">
      <c r="A698" t="s">
        <v>728</v>
      </c>
      <c r="B698" s="1">
        <v>45371</v>
      </c>
      <c r="C698" t="s">
        <v>13</v>
      </c>
      <c r="D698" t="s">
        <v>38</v>
      </c>
      <c r="E698">
        <v>30</v>
      </c>
      <c r="F698" t="s">
        <v>28</v>
      </c>
      <c r="G698">
        <v>636.77</v>
      </c>
      <c r="H698">
        <v>59</v>
      </c>
      <c r="I698" t="s">
        <v>16</v>
      </c>
      <c r="J698">
        <v>3.1</v>
      </c>
      <c r="K698" t="s">
        <v>41</v>
      </c>
      <c r="L698" t="s">
        <v>18</v>
      </c>
      <c r="M698" t="str">
        <f>VLOOKUP(D702,Restaurant_Master!A:B,2,FALSE)</f>
        <v>https://media-cdn.tripadvisor.com/media/photo-s/1c/c7/97/b6/photo6jpg.jpg</v>
      </c>
    </row>
    <row r="699" spans="1:13" x14ac:dyDescent="0.3">
      <c r="A699" t="s">
        <v>729</v>
      </c>
      <c r="B699" s="1">
        <v>45383</v>
      </c>
      <c r="C699" t="s">
        <v>34</v>
      </c>
      <c r="D699" t="s">
        <v>21</v>
      </c>
      <c r="E699">
        <v>41</v>
      </c>
      <c r="F699" t="s">
        <v>15</v>
      </c>
      <c r="G699">
        <v>298.67</v>
      </c>
      <c r="H699">
        <v>53</v>
      </c>
      <c r="I699" t="s">
        <v>16</v>
      </c>
      <c r="J699">
        <v>2.6</v>
      </c>
      <c r="K699" t="s">
        <v>41</v>
      </c>
      <c r="L699" t="s">
        <v>18</v>
      </c>
      <c r="M699" t="str">
        <f>VLOOKUP(D703,Restaurant_Master!A:B,2,FALSE)</f>
        <v>https://dineout-media-assets.swiggy.com/swiggy/image/upload/fl_lossy,f_auto,q_auto/v1660793737/fdqxvxcxg1wtdwvyv45v.jpg</v>
      </c>
    </row>
    <row r="700" spans="1:13" x14ac:dyDescent="0.3">
      <c r="A700" t="s">
        <v>730</v>
      </c>
      <c r="B700" s="1">
        <v>45415</v>
      </c>
      <c r="C700" t="s">
        <v>20</v>
      </c>
      <c r="D700" t="s">
        <v>32</v>
      </c>
      <c r="E700">
        <v>24</v>
      </c>
      <c r="F700" t="s">
        <v>15</v>
      </c>
      <c r="G700">
        <v>226.04</v>
      </c>
      <c r="H700">
        <v>39</v>
      </c>
      <c r="I700" t="s">
        <v>22</v>
      </c>
      <c r="J700">
        <v>2.6</v>
      </c>
      <c r="K700" t="s">
        <v>26</v>
      </c>
      <c r="L700" t="s">
        <v>23</v>
      </c>
      <c r="M700" t="str">
        <f>VLOOKUP(D704,Restaurant_Master!A:B,2,FALSE)</f>
        <v>https://dineout-media-assets.swiggy.com/swiggy/image/upload/fl_lossy,f_auto,q_auto/v1660793737/fdqxvxcxg1wtdwvyv45v.jpg</v>
      </c>
    </row>
    <row r="701" spans="1:13" x14ac:dyDescent="0.3">
      <c r="A701" t="s">
        <v>731</v>
      </c>
      <c r="B701" s="1">
        <v>45308</v>
      </c>
      <c r="C701" t="s">
        <v>20</v>
      </c>
      <c r="D701" t="s">
        <v>32</v>
      </c>
      <c r="E701">
        <v>35</v>
      </c>
      <c r="F701" t="s">
        <v>28</v>
      </c>
      <c r="G701">
        <v>1027.25</v>
      </c>
      <c r="H701">
        <v>44</v>
      </c>
      <c r="I701" t="s">
        <v>16</v>
      </c>
      <c r="J701">
        <v>2.6</v>
      </c>
      <c r="K701" t="s">
        <v>26</v>
      </c>
      <c r="L701" t="s">
        <v>23</v>
      </c>
      <c r="M701" t="str">
        <f>VLOOKUP(D705,Restaurant_Master!A:B,2,FALSE)</f>
        <v>https://media-cdn.tripadvisor.com/media/photo-s/1c/c7/97/b6/photo6jpg.jpg</v>
      </c>
    </row>
    <row r="702" spans="1:13" x14ac:dyDescent="0.3">
      <c r="A702" t="s">
        <v>732</v>
      </c>
      <c r="B702" s="1">
        <v>45425</v>
      </c>
      <c r="C702" t="s">
        <v>20</v>
      </c>
      <c r="D702" t="s">
        <v>25</v>
      </c>
      <c r="E702">
        <v>34</v>
      </c>
      <c r="F702" t="s">
        <v>28</v>
      </c>
      <c r="G702">
        <v>430.35</v>
      </c>
      <c r="H702">
        <v>26</v>
      </c>
      <c r="I702" t="s">
        <v>22</v>
      </c>
      <c r="J702">
        <v>4.5999999999999996</v>
      </c>
      <c r="K702" t="s">
        <v>29</v>
      </c>
      <c r="L702" t="s">
        <v>23</v>
      </c>
      <c r="M702" t="str">
        <f>VLOOKUP(D706,Restaurant_Master!A:B,2,FALSE)</f>
        <v>https://www.chatswoodinterchange.com/storages/2018/08/Sushi-World_666x448.jpg</v>
      </c>
    </row>
    <row r="703" spans="1:13" x14ac:dyDescent="0.3">
      <c r="A703" t="s">
        <v>733</v>
      </c>
      <c r="B703" s="1">
        <v>45366</v>
      </c>
      <c r="C703" t="s">
        <v>43</v>
      </c>
      <c r="D703" t="s">
        <v>14</v>
      </c>
      <c r="E703">
        <v>46</v>
      </c>
      <c r="F703" t="s">
        <v>28</v>
      </c>
      <c r="G703">
        <v>1004.44</v>
      </c>
      <c r="H703">
        <v>37</v>
      </c>
      <c r="I703" t="s">
        <v>22</v>
      </c>
      <c r="J703">
        <v>4.8</v>
      </c>
      <c r="K703" t="s">
        <v>29</v>
      </c>
      <c r="L703" t="s">
        <v>18</v>
      </c>
      <c r="M703" t="str">
        <f>VLOOKUP(D707,Restaurant_Master!A:B,2,FALSE)</f>
        <v>https://media-cdn.tripadvisor.com/media/photo-s/1c/c7/97/b6/photo6jpg.jpg</v>
      </c>
    </row>
    <row r="704" spans="1:13" x14ac:dyDescent="0.3">
      <c r="A704" t="s">
        <v>734</v>
      </c>
      <c r="B704" s="1">
        <v>45469</v>
      </c>
      <c r="C704" t="s">
        <v>13</v>
      </c>
      <c r="D704" t="s">
        <v>14</v>
      </c>
      <c r="E704">
        <v>40</v>
      </c>
      <c r="F704" t="s">
        <v>15</v>
      </c>
      <c r="G704">
        <v>822.76</v>
      </c>
      <c r="H704">
        <v>56</v>
      </c>
      <c r="I704" t="s">
        <v>16</v>
      </c>
      <c r="J704">
        <v>4.3</v>
      </c>
      <c r="K704" t="s">
        <v>41</v>
      </c>
      <c r="L704" t="s">
        <v>23</v>
      </c>
      <c r="M704" t="str">
        <f>VLOOKUP(D708,Restaurant_Master!A:B,2,FALSE)</f>
        <v>https://media-cdn.tripadvisor.com/media/photo-s/1c/c7/97/b6/photo6jpg.jpg</v>
      </c>
    </row>
    <row r="705" spans="1:13" x14ac:dyDescent="0.3">
      <c r="A705" t="s">
        <v>735</v>
      </c>
      <c r="B705" s="1">
        <v>45502</v>
      </c>
      <c r="C705" t="s">
        <v>20</v>
      </c>
      <c r="D705" t="s">
        <v>25</v>
      </c>
      <c r="E705">
        <v>22</v>
      </c>
      <c r="F705" t="s">
        <v>28</v>
      </c>
      <c r="G705">
        <v>264.60000000000002</v>
      </c>
      <c r="H705">
        <v>45</v>
      </c>
      <c r="I705" t="s">
        <v>16</v>
      </c>
      <c r="J705">
        <v>3.2</v>
      </c>
      <c r="K705" t="s">
        <v>41</v>
      </c>
      <c r="L705" t="s">
        <v>18</v>
      </c>
      <c r="M705" t="str">
        <f>VLOOKUP(D709,Restaurant_Master!A:B,2,FALSE)</f>
        <v>https://dynamic-media-cdn.tripadvisor.com/media/photo-o/1c/e7/04/0d/front-of-the-local-easily.jpg</v>
      </c>
    </row>
    <row r="706" spans="1:13" x14ac:dyDescent="0.3">
      <c r="A706" t="s">
        <v>736</v>
      </c>
      <c r="B706" s="1">
        <v>45305</v>
      </c>
      <c r="C706" t="s">
        <v>13</v>
      </c>
      <c r="D706" t="s">
        <v>38</v>
      </c>
      <c r="E706">
        <v>48</v>
      </c>
      <c r="F706" t="s">
        <v>28</v>
      </c>
      <c r="G706">
        <v>882.7</v>
      </c>
      <c r="H706">
        <v>55</v>
      </c>
      <c r="I706" t="s">
        <v>16</v>
      </c>
      <c r="J706">
        <v>4.5</v>
      </c>
      <c r="K706" t="s">
        <v>17</v>
      </c>
      <c r="L706" t="s">
        <v>18</v>
      </c>
      <c r="M706" t="str">
        <f>VLOOKUP(D710,Restaurant_Master!A:B,2,FALSE)</f>
        <v>https://content.jdmagicbox.com/comp/deoria/g6/9999p5568.5568.200119143033.m4g6/catalogue/biryani-house-deoria-ho-deoria-mktc2xph0o.jpg</v>
      </c>
    </row>
    <row r="707" spans="1:13" x14ac:dyDescent="0.3">
      <c r="A707" t="s">
        <v>737</v>
      </c>
      <c r="B707" s="1">
        <v>45501</v>
      </c>
      <c r="C707" t="s">
        <v>43</v>
      </c>
      <c r="D707" t="s">
        <v>25</v>
      </c>
      <c r="E707">
        <v>22</v>
      </c>
      <c r="F707" t="s">
        <v>15</v>
      </c>
      <c r="G707">
        <v>430.87</v>
      </c>
      <c r="H707">
        <v>55</v>
      </c>
      <c r="I707" t="s">
        <v>16</v>
      </c>
      <c r="J707">
        <v>4.7</v>
      </c>
      <c r="K707" t="s">
        <v>26</v>
      </c>
      <c r="L707" t="s">
        <v>23</v>
      </c>
      <c r="M707" t="str">
        <f>VLOOKUP(D711,Restaurant_Master!A:B,2,FALSE)</f>
        <v>https://media-cdn.tripadvisor.com/media/photo-s/1c/c7/97/b6/photo6jpg.jpg</v>
      </c>
    </row>
    <row r="708" spans="1:13" x14ac:dyDescent="0.3">
      <c r="A708" t="s">
        <v>738</v>
      </c>
      <c r="B708" s="1">
        <v>45451</v>
      </c>
      <c r="C708" t="s">
        <v>13</v>
      </c>
      <c r="D708" t="s">
        <v>25</v>
      </c>
      <c r="E708">
        <v>24</v>
      </c>
      <c r="F708" t="s">
        <v>15</v>
      </c>
      <c r="G708">
        <v>537.33000000000004</v>
      </c>
      <c r="H708">
        <v>40</v>
      </c>
      <c r="I708" t="s">
        <v>22</v>
      </c>
      <c r="J708">
        <v>2.6</v>
      </c>
      <c r="K708" t="s">
        <v>29</v>
      </c>
      <c r="L708" t="s">
        <v>23</v>
      </c>
      <c r="M708" t="str">
        <f>VLOOKUP(D712,Restaurant_Master!A:B,2,FALSE)</f>
        <v>https://content.jdmagicbox.com/comp/deoria/g6/9999p5568.5568.200119143033.m4g6/catalogue/biryani-house-deoria-ho-deoria-mktc2xph0o.jpg</v>
      </c>
    </row>
    <row r="709" spans="1:13" x14ac:dyDescent="0.3">
      <c r="A709" t="s">
        <v>739</v>
      </c>
      <c r="B709" s="1">
        <v>45502</v>
      </c>
      <c r="C709" t="s">
        <v>20</v>
      </c>
      <c r="D709" t="s">
        <v>21</v>
      </c>
      <c r="E709">
        <v>43</v>
      </c>
      <c r="F709" t="s">
        <v>28</v>
      </c>
      <c r="G709">
        <v>1090.58</v>
      </c>
      <c r="H709">
        <v>33</v>
      </c>
      <c r="I709" t="s">
        <v>22</v>
      </c>
      <c r="J709">
        <v>3.4</v>
      </c>
      <c r="K709" t="s">
        <v>41</v>
      </c>
      <c r="L709" t="s">
        <v>18</v>
      </c>
      <c r="M709" t="str">
        <f>VLOOKUP(D713,Restaurant_Master!A:B,2,FALSE)</f>
        <v>https://media-cdn.tripadvisor.com/media/photo-s/1c/c7/97/b6/photo6jpg.jpg</v>
      </c>
    </row>
    <row r="710" spans="1:13" x14ac:dyDescent="0.3">
      <c r="A710" t="s">
        <v>740</v>
      </c>
      <c r="B710" s="1">
        <v>45628</v>
      </c>
      <c r="C710" t="s">
        <v>20</v>
      </c>
      <c r="D710" t="s">
        <v>32</v>
      </c>
      <c r="E710">
        <v>57</v>
      </c>
      <c r="F710" t="s">
        <v>28</v>
      </c>
      <c r="G710">
        <v>693.74</v>
      </c>
      <c r="H710">
        <v>48</v>
      </c>
      <c r="I710" t="s">
        <v>16</v>
      </c>
      <c r="J710">
        <v>3.3</v>
      </c>
      <c r="K710" t="s">
        <v>29</v>
      </c>
      <c r="L710" t="s">
        <v>23</v>
      </c>
      <c r="M710" t="str">
        <f>VLOOKUP(D714,Restaurant_Master!A:B,2,FALSE)</f>
        <v>https://media-cdn.tripadvisor.com/media/photo-s/1c/c7/97/b6/photo6jpg.jpg</v>
      </c>
    </row>
    <row r="711" spans="1:13" x14ac:dyDescent="0.3">
      <c r="A711" t="s">
        <v>741</v>
      </c>
      <c r="B711" s="1">
        <v>45401</v>
      </c>
      <c r="C711" t="s">
        <v>13</v>
      </c>
      <c r="D711" t="s">
        <v>25</v>
      </c>
      <c r="E711">
        <v>55</v>
      </c>
      <c r="F711" t="s">
        <v>15</v>
      </c>
      <c r="G711">
        <v>928.23</v>
      </c>
      <c r="H711">
        <v>25</v>
      </c>
      <c r="I711" t="s">
        <v>22</v>
      </c>
      <c r="J711">
        <v>3.9</v>
      </c>
      <c r="K711" t="s">
        <v>26</v>
      </c>
      <c r="L711" t="s">
        <v>23</v>
      </c>
      <c r="M711" t="str">
        <f>VLOOKUP(D715,Restaurant_Master!A:B,2,FALSE)</f>
        <v>https://dineout-media-assets.swiggy.com/swiggy/image/upload/fl_lossy,f_auto,q_auto/v1660793737/fdqxvxcxg1wtdwvyv45v.jpg</v>
      </c>
    </row>
    <row r="712" spans="1:13" x14ac:dyDescent="0.3">
      <c r="A712" t="s">
        <v>742</v>
      </c>
      <c r="B712" s="1">
        <v>45595</v>
      </c>
      <c r="C712" t="s">
        <v>34</v>
      </c>
      <c r="D712" t="s">
        <v>32</v>
      </c>
      <c r="E712">
        <v>50</v>
      </c>
      <c r="F712" t="s">
        <v>15</v>
      </c>
      <c r="G712">
        <v>241.08</v>
      </c>
      <c r="H712">
        <v>30</v>
      </c>
      <c r="I712" t="s">
        <v>22</v>
      </c>
      <c r="J712">
        <v>2.9</v>
      </c>
      <c r="K712" t="s">
        <v>17</v>
      </c>
      <c r="L712" t="s">
        <v>23</v>
      </c>
      <c r="M712" t="str">
        <f>VLOOKUP(D716,Restaurant_Master!A:B,2,FALSE)</f>
        <v>https://dynamic-media-cdn.tripadvisor.com/media/photo-o/1c/e7/04/0d/front-of-the-local-easily.jpg</v>
      </c>
    </row>
    <row r="713" spans="1:13" x14ac:dyDescent="0.3">
      <c r="A713" t="s">
        <v>743</v>
      </c>
      <c r="B713" s="1">
        <v>45370</v>
      </c>
      <c r="C713" t="s">
        <v>43</v>
      </c>
      <c r="D713" t="s">
        <v>25</v>
      </c>
      <c r="E713">
        <v>21</v>
      </c>
      <c r="F713" t="s">
        <v>15</v>
      </c>
      <c r="G713">
        <v>875.29</v>
      </c>
      <c r="H713">
        <v>39</v>
      </c>
      <c r="I713" t="s">
        <v>22</v>
      </c>
      <c r="J713">
        <v>3.4</v>
      </c>
      <c r="K713" t="s">
        <v>41</v>
      </c>
      <c r="L713" t="s">
        <v>23</v>
      </c>
      <c r="M713" t="str">
        <f>VLOOKUP(D717,Restaurant_Master!A:B,2,FALSE)</f>
        <v>https://dynamic-media-cdn.tripadvisor.com/media/photo-o/1c/e7/04/0d/front-of-the-local-easily.jpg</v>
      </c>
    </row>
    <row r="714" spans="1:13" x14ac:dyDescent="0.3">
      <c r="A714" t="s">
        <v>744</v>
      </c>
      <c r="B714" s="1">
        <v>45466</v>
      </c>
      <c r="C714" t="s">
        <v>43</v>
      </c>
      <c r="D714" t="s">
        <v>25</v>
      </c>
      <c r="E714">
        <v>56</v>
      </c>
      <c r="F714" t="s">
        <v>15</v>
      </c>
      <c r="G714">
        <v>620.63</v>
      </c>
      <c r="H714">
        <v>32</v>
      </c>
      <c r="I714" t="s">
        <v>22</v>
      </c>
      <c r="J714">
        <v>2.5</v>
      </c>
      <c r="K714" t="s">
        <v>17</v>
      </c>
      <c r="L714" t="s">
        <v>23</v>
      </c>
      <c r="M714" t="str">
        <f>VLOOKUP(D718,Restaurant_Master!A:B,2,FALSE)</f>
        <v>https://media-cdn.tripadvisor.com/media/photo-s/1c/c7/97/b6/photo6jpg.jpg</v>
      </c>
    </row>
    <row r="715" spans="1:13" x14ac:dyDescent="0.3">
      <c r="A715" t="s">
        <v>745</v>
      </c>
      <c r="B715" s="1">
        <v>45353</v>
      </c>
      <c r="C715" t="s">
        <v>20</v>
      </c>
      <c r="D715" t="s">
        <v>14</v>
      </c>
      <c r="E715">
        <v>41</v>
      </c>
      <c r="F715" t="s">
        <v>28</v>
      </c>
      <c r="G715">
        <v>561.79999999999995</v>
      </c>
      <c r="H715">
        <v>56</v>
      </c>
      <c r="I715" t="s">
        <v>16</v>
      </c>
      <c r="J715">
        <v>3.6</v>
      </c>
      <c r="K715" t="s">
        <v>41</v>
      </c>
      <c r="L715" t="s">
        <v>23</v>
      </c>
      <c r="M715" t="str">
        <f>VLOOKUP(D719,Restaurant_Master!A:B,2,FALSE)</f>
        <v>https://dynamic-media-cdn.tripadvisor.com/media/photo-o/1c/e7/04/0d/front-of-the-local-easily.jpg</v>
      </c>
    </row>
    <row r="716" spans="1:13" x14ac:dyDescent="0.3">
      <c r="A716" t="s">
        <v>746</v>
      </c>
      <c r="B716" s="1">
        <v>45521</v>
      </c>
      <c r="C716" t="s">
        <v>34</v>
      </c>
      <c r="D716" t="s">
        <v>21</v>
      </c>
      <c r="E716">
        <v>26</v>
      </c>
      <c r="F716" t="s">
        <v>15</v>
      </c>
      <c r="G716">
        <v>329.01</v>
      </c>
      <c r="H716">
        <v>35</v>
      </c>
      <c r="I716" t="s">
        <v>22</v>
      </c>
      <c r="J716">
        <v>3.7</v>
      </c>
      <c r="K716" t="s">
        <v>17</v>
      </c>
      <c r="L716" t="s">
        <v>23</v>
      </c>
      <c r="M716" t="str">
        <f>VLOOKUP(D720,Restaurant_Master!A:B,2,FALSE)</f>
        <v>https://media-cdn.tripadvisor.com/media/photo-s/1c/c7/97/b6/photo6jpg.jpg</v>
      </c>
    </row>
    <row r="717" spans="1:13" x14ac:dyDescent="0.3">
      <c r="A717" t="s">
        <v>747</v>
      </c>
      <c r="B717" s="1">
        <v>45336</v>
      </c>
      <c r="C717" t="s">
        <v>34</v>
      </c>
      <c r="D717" t="s">
        <v>21</v>
      </c>
      <c r="E717">
        <v>18</v>
      </c>
      <c r="F717" t="s">
        <v>15</v>
      </c>
      <c r="G717">
        <v>1171.05</v>
      </c>
      <c r="H717">
        <v>29</v>
      </c>
      <c r="I717" t="s">
        <v>22</v>
      </c>
      <c r="J717">
        <v>4.2</v>
      </c>
      <c r="K717" t="s">
        <v>26</v>
      </c>
      <c r="L717" t="s">
        <v>23</v>
      </c>
      <c r="M717" t="str">
        <f>VLOOKUP(D721,Restaurant_Master!A:B,2,FALSE)</f>
        <v>https://www.chatswoodinterchange.com/storages/2018/08/Sushi-World_666x448.jpg</v>
      </c>
    </row>
    <row r="718" spans="1:13" x14ac:dyDescent="0.3">
      <c r="A718" t="s">
        <v>748</v>
      </c>
      <c r="B718" s="1">
        <v>45453</v>
      </c>
      <c r="C718" t="s">
        <v>13</v>
      </c>
      <c r="D718" t="s">
        <v>25</v>
      </c>
      <c r="E718">
        <v>24</v>
      </c>
      <c r="F718" t="s">
        <v>15</v>
      </c>
      <c r="G718">
        <v>1086.8</v>
      </c>
      <c r="H718">
        <v>21</v>
      </c>
      <c r="I718" t="s">
        <v>22</v>
      </c>
      <c r="J718">
        <v>3.9</v>
      </c>
      <c r="K718" t="s">
        <v>29</v>
      </c>
      <c r="L718" t="s">
        <v>18</v>
      </c>
      <c r="M718" t="str">
        <f>VLOOKUP(D722,Restaurant_Master!A:B,2,FALSE)</f>
        <v>https://media-cdn.tripadvisor.com/media/photo-s/1c/c7/97/b6/photo6jpg.jpg</v>
      </c>
    </row>
    <row r="719" spans="1:13" x14ac:dyDescent="0.3">
      <c r="A719" t="s">
        <v>749</v>
      </c>
      <c r="B719" s="1">
        <v>45646</v>
      </c>
      <c r="C719" t="s">
        <v>36</v>
      </c>
      <c r="D719" t="s">
        <v>21</v>
      </c>
      <c r="E719">
        <v>18</v>
      </c>
      <c r="F719" t="s">
        <v>15</v>
      </c>
      <c r="G719">
        <v>1186.8</v>
      </c>
      <c r="H719">
        <v>38</v>
      </c>
      <c r="I719" t="s">
        <v>22</v>
      </c>
      <c r="J719">
        <v>3.9</v>
      </c>
      <c r="K719" t="s">
        <v>17</v>
      </c>
      <c r="L719" t="s">
        <v>23</v>
      </c>
      <c r="M719" t="str">
        <f>VLOOKUP(D723,Restaurant_Master!A:B,2,FALSE)</f>
        <v>https://dynamic-media-cdn.tripadvisor.com/media/photo-o/1c/e7/04/0d/front-of-the-local-easily.jpg</v>
      </c>
    </row>
    <row r="720" spans="1:13" x14ac:dyDescent="0.3">
      <c r="A720" t="s">
        <v>750</v>
      </c>
      <c r="B720" s="1">
        <v>45468</v>
      </c>
      <c r="C720" t="s">
        <v>13</v>
      </c>
      <c r="D720" t="s">
        <v>25</v>
      </c>
      <c r="E720">
        <v>27</v>
      </c>
      <c r="F720" t="s">
        <v>15</v>
      </c>
      <c r="G720">
        <v>346.43</v>
      </c>
      <c r="H720">
        <v>35</v>
      </c>
      <c r="I720" t="s">
        <v>22</v>
      </c>
      <c r="J720">
        <v>3.2</v>
      </c>
      <c r="K720" t="s">
        <v>41</v>
      </c>
      <c r="L720" t="s">
        <v>18</v>
      </c>
      <c r="M720" t="str">
        <f>VLOOKUP(D724,Restaurant_Master!A:B,2,FALSE)</f>
        <v>https://media-cdn.tripadvisor.com/media/photo-s/1c/c7/97/b6/photo6jpg.jpg</v>
      </c>
    </row>
    <row r="721" spans="1:13" x14ac:dyDescent="0.3">
      <c r="A721" t="s">
        <v>751</v>
      </c>
      <c r="B721" s="1">
        <v>45342</v>
      </c>
      <c r="C721" t="s">
        <v>20</v>
      </c>
      <c r="D721" t="s">
        <v>38</v>
      </c>
      <c r="E721">
        <v>60</v>
      </c>
      <c r="F721" t="s">
        <v>28</v>
      </c>
      <c r="G721">
        <v>291.48</v>
      </c>
      <c r="H721">
        <v>55</v>
      </c>
      <c r="I721" t="s">
        <v>16</v>
      </c>
      <c r="J721">
        <v>2.6</v>
      </c>
      <c r="K721" t="s">
        <v>26</v>
      </c>
      <c r="L721" t="s">
        <v>23</v>
      </c>
      <c r="M721" t="str">
        <f>VLOOKUP(D725,Restaurant_Master!A:B,2,FALSE)</f>
        <v>https://dineout-media-assets.swiggy.com/swiggy/image/upload/fl_lossy,f_auto,q_auto/v1660793737/fdqxvxcxg1wtdwvyv45v.jpg</v>
      </c>
    </row>
    <row r="722" spans="1:13" x14ac:dyDescent="0.3">
      <c r="A722" t="s">
        <v>752</v>
      </c>
      <c r="B722" s="1">
        <v>45360</v>
      </c>
      <c r="C722" t="s">
        <v>34</v>
      </c>
      <c r="D722" t="s">
        <v>25</v>
      </c>
      <c r="E722">
        <v>49</v>
      </c>
      <c r="F722" t="s">
        <v>15</v>
      </c>
      <c r="G722">
        <v>782.18</v>
      </c>
      <c r="H722">
        <v>57</v>
      </c>
      <c r="I722" t="s">
        <v>16</v>
      </c>
      <c r="J722">
        <v>3.1</v>
      </c>
      <c r="K722" t="s">
        <v>17</v>
      </c>
      <c r="L722" t="s">
        <v>18</v>
      </c>
      <c r="M722" t="str">
        <f>VLOOKUP(D726,Restaurant_Master!A:B,2,FALSE)</f>
        <v>https://media-cdn.tripadvisor.com/media/photo-s/1c/c7/97/b6/photo6jpg.jpg</v>
      </c>
    </row>
    <row r="723" spans="1:13" x14ac:dyDescent="0.3">
      <c r="A723" t="s">
        <v>753</v>
      </c>
      <c r="B723" s="1">
        <v>45594</v>
      </c>
      <c r="C723" t="s">
        <v>34</v>
      </c>
      <c r="D723" t="s">
        <v>21</v>
      </c>
      <c r="E723">
        <v>35</v>
      </c>
      <c r="F723" t="s">
        <v>15</v>
      </c>
      <c r="G723">
        <v>746.37</v>
      </c>
      <c r="H723">
        <v>31</v>
      </c>
      <c r="I723" t="s">
        <v>22</v>
      </c>
      <c r="J723">
        <v>4.5</v>
      </c>
      <c r="K723" t="s">
        <v>41</v>
      </c>
      <c r="L723" t="s">
        <v>18</v>
      </c>
      <c r="M723" t="str">
        <f>VLOOKUP(D727,Restaurant_Master!A:B,2,FALSE)</f>
        <v>https://content.jdmagicbox.com/comp/deoria/g6/9999p5568.5568.200119143033.m4g6/catalogue/biryani-house-deoria-ho-deoria-mktc2xph0o.jpg</v>
      </c>
    </row>
    <row r="724" spans="1:13" x14ac:dyDescent="0.3">
      <c r="A724" t="s">
        <v>754</v>
      </c>
      <c r="B724" s="1">
        <v>45505</v>
      </c>
      <c r="C724" t="s">
        <v>20</v>
      </c>
      <c r="D724" t="s">
        <v>25</v>
      </c>
      <c r="E724">
        <v>26</v>
      </c>
      <c r="F724" t="s">
        <v>15</v>
      </c>
      <c r="G724">
        <v>292.76</v>
      </c>
      <c r="H724">
        <v>45</v>
      </c>
      <c r="I724" t="s">
        <v>16</v>
      </c>
      <c r="J724">
        <v>4</v>
      </c>
      <c r="K724" t="s">
        <v>41</v>
      </c>
      <c r="L724" t="s">
        <v>18</v>
      </c>
      <c r="M724" t="str">
        <f>VLOOKUP(D728,Restaurant_Master!A:B,2,FALSE)</f>
        <v>https://content.jdmagicbox.com/comp/deoria/g6/9999p5568.5568.200119143033.m4g6/catalogue/biryani-house-deoria-ho-deoria-mktc2xph0o.jpg</v>
      </c>
    </row>
    <row r="725" spans="1:13" x14ac:dyDescent="0.3">
      <c r="A725" t="s">
        <v>755</v>
      </c>
      <c r="B725" s="1">
        <v>45541</v>
      </c>
      <c r="C725" t="s">
        <v>36</v>
      </c>
      <c r="D725" t="s">
        <v>14</v>
      </c>
      <c r="E725">
        <v>26</v>
      </c>
      <c r="F725" t="s">
        <v>15</v>
      </c>
      <c r="G725">
        <v>659.93</v>
      </c>
      <c r="H725">
        <v>39</v>
      </c>
      <c r="I725" t="s">
        <v>22</v>
      </c>
      <c r="J725">
        <v>3.8</v>
      </c>
      <c r="K725" t="s">
        <v>41</v>
      </c>
      <c r="L725" t="s">
        <v>18</v>
      </c>
      <c r="M725" t="str">
        <f>VLOOKUP(D729,Restaurant_Master!A:B,2,FALSE)</f>
        <v>https://content.jdmagicbox.com/comp/deoria/g6/9999p5568.5568.200119143033.m4g6/catalogue/biryani-house-deoria-ho-deoria-mktc2xph0o.jpg</v>
      </c>
    </row>
    <row r="726" spans="1:13" x14ac:dyDescent="0.3">
      <c r="A726" t="s">
        <v>756</v>
      </c>
      <c r="B726" s="1">
        <v>45538</v>
      </c>
      <c r="C726" t="s">
        <v>36</v>
      </c>
      <c r="D726" t="s">
        <v>25</v>
      </c>
      <c r="E726">
        <v>44</v>
      </c>
      <c r="F726" t="s">
        <v>28</v>
      </c>
      <c r="G726">
        <v>775.24</v>
      </c>
      <c r="H726">
        <v>59</v>
      </c>
      <c r="I726" t="s">
        <v>16</v>
      </c>
      <c r="J726">
        <v>4.5999999999999996</v>
      </c>
      <c r="K726" t="s">
        <v>29</v>
      </c>
      <c r="L726" t="s">
        <v>23</v>
      </c>
      <c r="M726" t="str">
        <f>VLOOKUP(D730,Restaurant_Master!A:B,2,FALSE)</f>
        <v>https://content.jdmagicbox.com/comp/deoria/g6/9999p5568.5568.200119143033.m4g6/catalogue/biryani-house-deoria-ho-deoria-mktc2xph0o.jpg</v>
      </c>
    </row>
    <row r="727" spans="1:13" x14ac:dyDescent="0.3">
      <c r="A727" t="s">
        <v>757</v>
      </c>
      <c r="B727" s="1">
        <v>45415</v>
      </c>
      <c r="C727" t="s">
        <v>13</v>
      </c>
      <c r="D727" t="s">
        <v>32</v>
      </c>
      <c r="E727">
        <v>59</v>
      </c>
      <c r="F727" t="s">
        <v>28</v>
      </c>
      <c r="G727">
        <v>506.2</v>
      </c>
      <c r="H727">
        <v>23</v>
      </c>
      <c r="I727" t="s">
        <v>22</v>
      </c>
      <c r="J727">
        <v>4.9000000000000004</v>
      </c>
      <c r="K727" t="s">
        <v>17</v>
      </c>
      <c r="L727" t="s">
        <v>23</v>
      </c>
      <c r="M727" t="str">
        <f>VLOOKUP(D731,Restaurant_Master!A:B,2,FALSE)</f>
        <v>https://content.jdmagicbox.com/comp/deoria/g6/9999p5568.5568.200119143033.m4g6/catalogue/biryani-house-deoria-ho-deoria-mktc2xph0o.jpg</v>
      </c>
    </row>
    <row r="728" spans="1:13" x14ac:dyDescent="0.3">
      <c r="A728" t="s">
        <v>758</v>
      </c>
      <c r="B728" s="1">
        <v>45340</v>
      </c>
      <c r="C728" t="s">
        <v>13</v>
      </c>
      <c r="D728" t="s">
        <v>32</v>
      </c>
      <c r="E728">
        <v>21</v>
      </c>
      <c r="F728" t="s">
        <v>28</v>
      </c>
      <c r="G728">
        <v>673.15</v>
      </c>
      <c r="H728">
        <v>33</v>
      </c>
      <c r="I728" t="s">
        <v>22</v>
      </c>
      <c r="J728">
        <v>4.7</v>
      </c>
      <c r="K728" t="s">
        <v>29</v>
      </c>
      <c r="L728" t="s">
        <v>18</v>
      </c>
      <c r="M728" t="str">
        <f>VLOOKUP(D732,Restaurant_Master!A:B,2,FALSE)</f>
        <v>https://www.chatswoodinterchange.com/storages/2018/08/Sushi-World_666x448.jpg</v>
      </c>
    </row>
    <row r="729" spans="1:13" x14ac:dyDescent="0.3">
      <c r="A729" t="s">
        <v>759</v>
      </c>
      <c r="B729" s="1">
        <v>45514</v>
      </c>
      <c r="C729" t="s">
        <v>36</v>
      </c>
      <c r="D729" t="s">
        <v>32</v>
      </c>
      <c r="E729">
        <v>42</v>
      </c>
      <c r="F729" t="s">
        <v>28</v>
      </c>
      <c r="G729">
        <v>1164.31</v>
      </c>
      <c r="H729">
        <v>40</v>
      </c>
      <c r="I729" t="s">
        <v>22</v>
      </c>
      <c r="J729">
        <v>4.4000000000000004</v>
      </c>
      <c r="K729" t="s">
        <v>26</v>
      </c>
      <c r="L729" t="s">
        <v>18</v>
      </c>
      <c r="M729" t="str">
        <f>VLOOKUP(D733,Restaurant_Master!A:B,2,FALSE)</f>
        <v>https://www.chatswoodinterchange.com/storages/2018/08/Sushi-World_666x448.jpg</v>
      </c>
    </row>
    <row r="730" spans="1:13" x14ac:dyDescent="0.3">
      <c r="A730" t="s">
        <v>760</v>
      </c>
      <c r="B730" s="1">
        <v>45422</v>
      </c>
      <c r="C730" t="s">
        <v>34</v>
      </c>
      <c r="D730" t="s">
        <v>32</v>
      </c>
      <c r="E730">
        <v>19</v>
      </c>
      <c r="F730" t="s">
        <v>15</v>
      </c>
      <c r="G730">
        <v>167.19</v>
      </c>
      <c r="H730">
        <v>50</v>
      </c>
      <c r="I730" t="s">
        <v>16</v>
      </c>
      <c r="J730">
        <v>4.0999999999999996</v>
      </c>
      <c r="K730" t="s">
        <v>17</v>
      </c>
      <c r="L730" t="s">
        <v>18</v>
      </c>
      <c r="M730" t="str">
        <f>VLOOKUP(D734,Restaurant_Master!A:B,2,FALSE)</f>
        <v>https://media-cdn.tripadvisor.com/media/photo-s/1c/c7/97/b6/photo6jpg.jpg</v>
      </c>
    </row>
    <row r="731" spans="1:13" x14ac:dyDescent="0.3">
      <c r="A731" t="s">
        <v>761</v>
      </c>
      <c r="B731" s="1">
        <v>45371</v>
      </c>
      <c r="C731" t="s">
        <v>20</v>
      </c>
      <c r="D731" t="s">
        <v>32</v>
      </c>
      <c r="E731">
        <v>46</v>
      </c>
      <c r="F731" t="s">
        <v>28</v>
      </c>
      <c r="G731">
        <v>193.43</v>
      </c>
      <c r="H731">
        <v>33</v>
      </c>
      <c r="I731" t="s">
        <v>22</v>
      </c>
      <c r="J731">
        <v>4.2</v>
      </c>
      <c r="K731" t="s">
        <v>41</v>
      </c>
      <c r="L731" t="s">
        <v>18</v>
      </c>
      <c r="M731" t="str">
        <f>VLOOKUP(D735,Restaurant_Master!A:B,2,FALSE)</f>
        <v>https://dynamic-media-cdn.tripadvisor.com/media/photo-o/1c/e7/04/0d/front-of-the-local-easily.jpg</v>
      </c>
    </row>
    <row r="732" spans="1:13" x14ac:dyDescent="0.3">
      <c r="A732" t="s">
        <v>762</v>
      </c>
      <c r="B732" s="1">
        <v>45422</v>
      </c>
      <c r="C732" t="s">
        <v>36</v>
      </c>
      <c r="D732" t="s">
        <v>38</v>
      </c>
      <c r="E732">
        <v>53</v>
      </c>
      <c r="F732" t="s">
        <v>15</v>
      </c>
      <c r="G732">
        <v>644.73</v>
      </c>
      <c r="H732">
        <v>38</v>
      </c>
      <c r="I732" t="s">
        <v>22</v>
      </c>
      <c r="J732">
        <v>3.1</v>
      </c>
      <c r="K732" t="s">
        <v>29</v>
      </c>
      <c r="L732" t="s">
        <v>23</v>
      </c>
      <c r="M732" t="str">
        <f>VLOOKUP(D736,Restaurant_Master!A:B,2,FALSE)</f>
        <v>https://dynamic-media-cdn.tripadvisor.com/media/photo-o/1c/e7/04/0d/front-of-the-local-easily.jpg</v>
      </c>
    </row>
    <row r="733" spans="1:13" x14ac:dyDescent="0.3">
      <c r="A733" t="s">
        <v>763</v>
      </c>
      <c r="B733" s="1">
        <v>45440</v>
      </c>
      <c r="C733" t="s">
        <v>34</v>
      </c>
      <c r="D733" t="s">
        <v>38</v>
      </c>
      <c r="E733">
        <v>58</v>
      </c>
      <c r="F733" t="s">
        <v>15</v>
      </c>
      <c r="G733">
        <v>1168.78</v>
      </c>
      <c r="H733">
        <v>60</v>
      </c>
      <c r="I733" t="s">
        <v>16</v>
      </c>
      <c r="J733">
        <v>5</v>
      </c>
      <c r="K733" t="s">
        <v>41</v>
      </c>
      <c r="L733" t="s">
        <v>23</v>
      </c>
      <c r="M733" t="str">
        <f>VLOOKUP(D737,Restaurant_Master!A:B,2,FALSE)</f>
        <v>https://dineout-media-assets.swiggy.com/swiggy/image/upload/fl_lossy,f_auto,q_auto/v1660793737/fdqxvxcxg1wtdwvyv45v.jpg</v>
      </c>
    </row>
    <row r="734" spans="1:13" x14ac:dyDescent="0.3">
      <c r="A734" t="s">
        <v>764</v>
      </c>
      <c r="B734" s="1">
        <v>45473</v>
      </c>
      <c r="C734" t="s">
        <v>36</v>
      </c>
      <c r="D734" t="s">
        <v>25</v>
      </c>
      <c r="E734">
        <v>33</v>
      </c>
      <c r="F734" t="s">
        <v>15</v>
      </c>
      <c r="G734">
        <v>594.6</v>
      </c>
      <c r="H734">
        <v>30</v>
      </c>
      <c r="I734" t="s">
        <v>22</v>
      </c>
      <c r="J734">
        <v>3.8</v>
      </c>
      <c r="K734" t="s">
        <v>17</v>
      </c>
      <c r="L734" t="s">
        <v>18</v>
      </c>
      <c r="M734" t="str">
        <f>VLOOKUP(D738,Restaurant_Master!A:B,2,FALSE)</f>
        <v>https://media-cdn.tripadvisor.com/media/photo-s/1c/c7/97/b6/photo6jpg.jpg</v>
      </c>
    </row>
    <row r="735" spans="1:13" x14ac:dyDescent="0.3">
      <c r="A735" t="s">
        <v>765</v>
      </c>
      <c r="B735" s="1">
        <v>45443</v>
      </c>
      <c r="C735" t="s">
        <v>34</v>
      </c>
      <c r="D735" t="s">
        <v>21</v>
      </c>
      <c r="E735">
        <v>39</v>
      </c>
      <c r="F735" t="s">
        <v>15</v>
      </c>
      <c r="G735">
        <v>196.35</v>
      </c>
      <c r="H735">
        <v>27</v>
      </c>
      <c r="I735" t="s">
        <v>22</v>
      </c>
      <c r="J735">
        <v>3</v>
      </c>
      <c r="K735" t="s">
        <v>26</v>
      </c>
      <c r="L735" t="s">
        <v>23</v>
      </c>
      <c r="M735" t="str">
        <f>VLOOKUP(D739,Restaurant_Master!A:B,2,FALSE)</f>
        <v>https://content.jdmagicbox.com/comp/deoria/g6/9999p5568.5568.200119143033.m4g6/catalogue/biryani-house-deoria-ho-deoria-mktc2xph0o.jpg</v>
      </c>
    </row>
    <row r="736" spans="1:13" x14ac:dyDescent="0.3">
      <c r="A736" t="s">
        <v>766</v>
      </c>
      <c r="B736" s="1">
        <v>45614</v>
      </c>
      <c r="C736" t="s">
        <v>20</v>
      </c>
      <c r="D736" t="s">
        <v>21</v>
      </c>
      <c r="E736">
        <v>42</v>
      </c>
      <c r="F736" t="s">
        <v>28</v>
      </c>
      <c r="G736">
        <v>685.35</v>
      </c>
      <c r="H736">
        <v>50</v>
      </c>
      <c r="I736" t="s">
        <v>16</v>
      </c>
      <c r="J736">
        <v>4.5</v>
      </c>
      <c r="K736" t="s">
        <v>41</v>
      </c>
      <c r="L736" t="s">
        <v>23</v>
      </c>
      <c r="M736" t="str">
        <f>VLOOKUP(D740,Restaurant_Master!A:B,2,FALSE)</f>
        <v>https://dynamic-media-cdn.tripadvisor.com/media/photo-o/1c/e7/04/0d/front-of-the-local-easily.jpg</v>
      </c>
    </row>
    <row r="737" spans="1:13" x14ac:dyDescent="0.3">
      <c r="A737" t="s">
        <v>767</v>
      </c>
      <c r="B737" s="1">
        <v>45504</v>
      </c>
      <c r="C737" t="s">
        <v>43</v>
      </c>
      <c r="D737" t="s">
        <v>14</v>
      </c>
      <c r="E737">
        <v>50</v>
      </c>
      <c r="F737" t="s">
        <v>15</v>
      </c>
      <c r="G737">
        <v>190.55</v>
      </c>
      <c r="H737">
        <v>20</v>
      </c>
      <c r="I737" t="s">
        <v>22</v>
      </c>
      <c r="J737">
        <v>4.0999999999999996</v>
      </c>
      <c r="K737" t="s">
        <v>26</v>
      </c>
      <c r="L737" t="s">
        <v>23</v>
      </c>
      <c r="M737" t="str">
        <f>VLOOKUP(D741,Restaurant_Master!A:B,2,FALSE)</f>
        <v>https://dynamic-media-cdn.tripadvisor.com/media/photo-o/1c/e7/04/0d/front-of-the-local-easily.jpg</v>
      </c>
    </row>
    <row r="738" spans="1:13" x14ac:dyDescent="0.3">
      <c r="A738" t="s">
        <v>768</v>
      </c>
      <c r="B738" s="1">
        <v>45567</v>
      </c>
      <c r="C738" t="s">
        <v>36</v>
      </c>
      <c r="D738" t="s">
        <v>25</v>
      </c>
      <c r="E738">
        <v>41</v>
      </c>
      <c r="F738" t="s">
        <v>15</v>
      </c>
      <c r="G738">
        <v>267.3</v>
      </c>
      <c r="H738">
        <v>28</v>
      </c>
      <c r="I738" t="s">
        <v>22</v>
      </c>
      <c r="J738">
        <v>4.3</v>
      </c>
      <c r="K738" t="s">
        <v>26</v>
      </c>
      <c r="L738" t="s">
        <v>23</v>
      </c>
      <c r="M738" t="str">
        <f>VLOOKUP(D742,Restaurant_Master!A:B,2,FALSE)</f>
        <v>https://content.jdmagicbox.com/comp/deoria/g6/9999p5568.5568.200119143033.m4g6/catalogue/biryani-house-deoria-ho-deoria-mktc2xph0o.jpg</v>
      </c>
    </row>
    <row r="739" spans="1:13" x14ac:dyDescent="0.3">
      <c r="A739" t="s">
        <v>769</v>
      </c>
      <c r="B739" s="1">
        <v>45301</v>
      </c>
      <c r="C739" t="s">
        <v>20</v>
      </c>
      <c r="D739" t="s">
        <v>32</v>
      </c>
      <c r="E739">
        <v>36</v>
      </c>
      <c r="F739" t="s">
        <v>15</v>
      </c>
      <c r="G739">
        <v>863.84</v>
      </c>
      <c r="H739">
        <v>48</v>
      </c>
      <c r="I739" t="s">
        <v>16</v>
      </c>
      <c r="J739">
        <v>3.8</v>
      </c>
      <c r="K739" t="s">
        <v>26</v>
      </c>
      <c r="L739" t="s">
        <v>23</v>
      </c>
      <c r="M739" t="str">
        <f>VLOOKUP(D743,Restaurant_Master!A:B,2,FALSE)</f>
        <v>https://content.jdmagicbox.com/comp/deoria/g6/9999p5568.5568.200119143033.m4g6/catalogue/biryani-house-deoria-ho-deoria-mktc2xph0o.jpg</v>
      </c>
    </row>
    <row r="740" spans="1:13" x14ac:dyDescent="0.3">
      <c r="A740" t="s">
        <v>770</v>
      </c>
      <c r="B740" s="1">
        <v>45531</v>
      </c>
      <c r="C740" t="s">
        <v>13</v>
      </c>
      <c r="D740" t="s">
        <v>21</v>
      </c>
      <c r="E740">
        <v>19</v>
      </c>
      <c r="F740" t="s">
        <v>28</v>
      </c>
      <c r="G740">
        <v>1155.8699999999999</v>
      </c>
      <c r="H740">
        <v>55</v>
      </c>
      <c r="I740" t="s">
        <v>16</v>
      </c>
      <c r="J740">
        <v>4.4000000000000004</v>
      </c>
      <c r="K740" t="s">
        <v>41</v>
      </c>
      <c r="L740" t="s">
        <v>23</v>
      </c>
      <c r="M740" t="str">
        <f>VLOOKUP(D744,Restaurant_Master!A:B,2,FALSE)</f>
        <v>https://www.chatswoodinterchange.com/storages/2018/08/Sushi-World_666x448.jpg</v>
      </c>
    </row>
    <row r="741" spans="1:13" x14ac:dyDescent="0.3">
      <c r="A741" t="s">
        <v>771</v>
      </c>
      <c r="B741" s="1">
        <v>45434</v>
      </c>
      <c r="C741" t="s">
        <v>13</v>
      </c>
      <c r="D741" t="s">
        <v>21</v>
      </c>
      <c r="E741">
        <v>57</v>
      </c>
      <c r="F741" t="s">
        <v>28</v>
      </c>
      <c r="G741">
        <v>150.19</v>
      </c>
      <c r="H741">
        <v>36</v>
      </c>
      <c r="I741" t="s">
        <v>22</v>
      </c>
      <c r="J741">
        <v>4.5</v>
      </c>
      <c r="K741" t="s">
        <v>41</v>
      </c>
      <c r="L741" t="s">
        <v>23</v>
      </c>
      <c r="M741" t="str">
        <f>VLOOKUP(D745,Restaurant_Master!A:B,2,FALSE)</f>
        <v>https://dineout-media-assets.swiggy.com/swiggy/image/upload/fl_lossy,f_auto,q_auto/v1660793737/fdqxvxcxg1wtdwvyv45v.jpg</v>
      </c>
    </row>
    <row r="742" spans="1:13" x14ac:dyDescent="0.3">
      <c r="A742" t="s">
        <v>772</v>
      </c>
      <c r="B742" s="1">
        <v>45387</v>
      </c>
      <c r="C742" t="s">
        <v>13</v>
      </c>
      <c r="D742" t="s">
        <v>32</v>
      </c>
      <c r="E742">
        <v>45</v>
      </c>
      <c r="F742" t="s">
        <v>28</v>
      </c>
      <c r="G742">
        <v>925.16</v>
      </c>
      <c r="H742">
        <v>42</v>
      </c>
      <c r="I742" t="s">
        <v>16</v>
      </c>
      <c r="J742">
        <v>4.3</v>
      </c>
      <c r="K742" t="s">
        <v>17</v>
      </c>
      <c r="L742" t="s">
        <v>18</v>
      </c>
      <c r="M742" t="str">
        <f>VLOOKUP(D746,Restaurant_Master!A:B,2,FALSE)</f>
        <v>https://media-cdn.tripadvisor.com/media/photo-s/1c/c7/97/b6/photo6jpg.jpg</v>
      </c>
    </row>
    <row r="743" spans="1:13" x14ac:dyDescent="0.3">
      <c r="A743" t="s">
        <v>773</v>
      </c>
      <c r="B743" s="1">
        <v>45534</v>
      </c>
      <c r="C743" t="s">
        <v>20</v>
      </c>
      <c r="D743" t="s">
        <v>32</v>
      </c>
      <c r="E743">
        <v>37</v>
      </c>
      <c r="F743" t="s">
        <v>15</v>
      </c>
      <c r="G743">
        <v>684.41</v>
      </c>
      <c r="H743">
        <v>55</v>
      </c>
      <c r="I743" t="s">
        <v>16</v>
      </c>
      <c r="J743">
        <v>3.3</v>
      </c>
      <c r="K743" t="s">
        <v>29</v>
      </c>
      <c r="L743" t="s">
        <v>23</v>
      </c>
      <c r="M743" t="str">
        <f>VLOOKUP(D747,Restaurant_Master!A:B,2,FALSE)</f>
        <v>https://www.chatswoodinterchange.com/storages/2018/08/Sushi-World_666x448.jpg</v>
      </c>
    </row>
    <row r="744" spans="1:13" x14ac:dyDescent="0.3">
      <c r="A744" t="s">
        <v>774</v>
      </c>
      <c r="B744" s="1">
        <v>45507</v>
      </c>
      <c r="C744" t="s">
        <v>20</v>
      </c>
      <c r="D744" t="s">
        <v>38</v>
      </c>
      <c r="E744">
        <v>32</v>
      </c>
      <c r="F744" t="s">
        <v>15</v>
      </c>
      <c r="G744">
        <v>258.26</v>
      </c>
      <c r="H744">
        <v>35</v>
      </c>
      <c r="I744" t="s">
        <v>22</v>
      </c>
      <c r="J744">
        <v>3.3</v>
      </c>
      <c r="K744" t="s">
        <v>29</v>
      </c>
      <c r="L744" t="s">
        <v>18</v>
      </c>
      <c r="M744" t="str">
        <f>VLOOKUP(D748,Restaurant_Master!A:B,2,FALSE)</f>
        <v>https://content.jdmagicbox.com/comp/deoria/g6/9999p5568.5568.200119143033.m4g6/catalogue/biryani-house-deoria-ho-deoria-mktc2xph0o.jpg</v>
      </c>
    </row>
    <row r="745" spans="1:13" x14ac:dyDescent="0.3">
      <c r="A745" t="s">
        <v>775</v>
      </c>
      <c r="B745" s="1">
        <v>45537</v>
      </c>
      <c r="C745" t="s">
        <v>34</v>
      </c>
      <c r="D745" t="s">
        <v>14</v>
      </c>
      <c r="E745">
        <v>46</v>
      </c>
      <c r="F745" t="s">
        <v>15</v>
      </c>
      <c r="G745">
        <v>510.44</v>
      </c>
      <c r="H745">
        <v>54</v>
      </c>
      <c r="I745" t="s">
        <v>16</v>
      </c>
      <c r="J745">
        <v>4</v>
      </c>
      <c r="K745" t="s">
        <v>41</v>
      </c>
      <c r="L745" t="s">
        <v>23</v>
      </c>
      <c r="M745" t="str">
        <f>VLOOKUP(D749,Restaurant_Master!A:B,2,FALSE)</f>
        <v>https://dynamic-media-cdn.tripadvisor.com/media/photo-o/1c/e7/04/0d/front-of-the-local-easily.jpg</v>
      </c>
    </row>
    <row r="746" spans="1:13" x14ac:dyDescent="0.3">
      <c r="A746" t="s">
        <v>776</v>
      </c>
      <c r="B746" s="1">
        <v>45584</v>
      </c>
      <c r="C746" t="s">
        <v>20</v>
      </c>
      <c r="D746" t="s">
        <v>25</v>
      </c>
      <c r="E746">
        <v>44</v>
      </c>
      <c r="F746" t="s">
        <v>15</v>
      </c>
      <c r="G746">
        <v>1143.8599999999999</v>
      </c>
      <c r="H746">
        <v>32</v>
      </c>
      <c r="I746" t="s">
        <v>22</v>
      </c>
      <c r="J746">
        <v>4.2</v>
      </c>
      <c r="K746" t="s">
        <v>17</v>
      </c>
      <c r="L746" t="s">
        <v>18</v>
      </c>
      <c r="M746" t="str">
        <f>VLOOKUP(D750,Restaurant_Master!A:B,2,FALSE)</f>
        <v>https://dineout-media-assets.swiggy.com/swiggy/image/upload/fl_lossy,f_auto,q_auto/v1660793737/fdqxvxcxg1wtdwvyv45v.jpg</v>
      </c>
    </row>
    <row r="747" spans="1:13" x14ac:dyDescent="0.3">
      <c r="A747" t="s">
        <v>777</v>
      </c>
      <c r="B747" s="1">
        <v>45310</v>
      </c>
      <c r="C747" t="s">
        <v>43</v>
      </c>
      <c r="D747" t="s">
        <v>38</v>
      </c>
      <c r="E747">
        <v>21</v>
      </c>
      <c r="F747" t="s">
        <v>28</v>
      </c>
      <c r="G747">
        <v>409.05</v>
      </c>
      <c r="H747">
        <v>37</v>
      </c>
      <c r="I747" t="s">
        <v>22</v>
      </c>
      <c r="J747">
        <v>3</v>
      </c>
      <c r="K747" t="s">
        <v>29</v>
      </c>
      <c r="L747" t="s">
        <v>23</v>
      </c>
      <c r="M747" t="str">
        <f>VLOOKUP(D751,Restaurant_Master!A:B,2,FALSE)</f>
        <v>https://media-cdn.tripadvisor.com/media/photo-s/1c/c7/97/b6/photo6jpg.jpg</v>
      </c>
    </row>
    <row r="748" spans="1:13" x14ac:dyDescent="0.3">
      <c r="A748" t="s">
        <v>778</v>
      </c>
      <c r="B748" s="1">
        <v>45295</v>
      </c>
      <c r="C748" t="s">
        <v>43</v>
      </c>
      <c r="D748" t="s">
        <v>32</v>
      </c>
      <c r="E748">
        <v>39</v>
      </c>
      <c r="F748" t="s">
        <v>28</v>
      </c>
      <c r="G748">
        <v>620.87</v>
      </c>
      <c r="H748">
        <v>56</v>
      </c>
      <c r="I748" t="s">
        <v>16</v>
      </c>
      <c r="J748">
        <v>4.5</v>
      </c>
      <c r="K748" t="s">
        <v>29</v>
      </c>
      <c r="L748" t="s">
        <v>23</v>
      </c>
      <c r="M748" t="str">
        <f>VLOOKUP(D752,Restaurant_Master!A:B,2,FALSE)</f>
        <v>https://dineout-media-assets.swiggy.com/swiggy/image/upload/fl_lossy,f_auto,q_auto/v1660793737/fdqxvxcxg1wtdwvyv45v.jpg</v>
      </c>
    </row>
    <row r="749" spans="1:13" x14ac:dyDescent="0.3">
      <c r="A749" t="s">
        <v>779</v>
      </c>
      <c r="B749" s="1">
        <v>45316</v>
      </c>
      <c r="C749" t="s">
        <v>13</v>
      </c>
      <c r="D749" t="s">
        <v>21</v>
      </c>
      <c r="E749">
        <v>42</v>
      </c>
      <c r="F749" t="s">
        <v>15</v>
      </c>
      <c r="G749">
        <v>483.51</v>
      </c>
      <c r="H749">
        <v>46</v>
      </c>
      <c r="I749" t="s">
        <v>16</v>
      </c>
      <c r="J749">
        <v>3.2</v>
      </c>
      <c r="K749" t="s">
        <v>17</v>
      </c>
      <c r="L749" t="s">
        <v>18</v>
      </c>
      <c r="M749" t="str">
        <f>VLOOKUP(D753,Restaurant_Master!A:B,2,FALSE)</f>
        <v>https://dineout-media-assets.swiggy.com/swiggy/image/upload/fl_lossy,f_auto,q_auto/v1660793737/fdqxvxcxg1wtdwvyv45v.jpg</v>
      </c>
    </row>
    <row r="750" spans="1:13" x14ac:dyDescent="0.3">
      <c r="A750" t="s">
        <v>780</v>
      </c>
      <c r="B750" s="1">
        <v>45642</v>
      </c>
      <c r="C750" t="s">
        <v>36</v>
      </c>
      <c r="D750" t="s">
        <v>14</v>
      </c>
      <c r="E750">
        <v>42</v>
      </c>
      <c r="F750" t="s">
        <v>15</v>
      </c>
      <c r="G750">
        <v>912</v>
      </c>
      <c r="H750">
        <v>58</v>
      </c>
      <c r="I750" t="s">
        <v>16</v>
      </c>
      <c r="J750">
        <v>4.5999999999999996</v>
      </c>
      <c r="K750" t="s">
        <v>17</v>
      </c>
      <c r="L750" t="s">
        <v>23</v>
      </c>
      <c r="M750" t="str">
        <f>VLOOKUP(D754,Restaurant_Master!A:B,2,FALSE)</f>
        <v>https://dineout-media-assets.swiggy.com/swiggy/image/upload/fl_lossy,f_auto,q_auto/v1660793737/fdqxvxcxg1wtdwvyv45v.jpg</v>
      </c>
    </row>
    <row r="751" spans="1:13" x14ac:dyDescent="0.3">
      <c r="A751" t="s">
        <v>781</v>
      </c>
      <c r="B751" s="1">
        <v>45317</v>
      </c>
      <c r="C751" t="s">
        <v>34</v>
      </c>
      <c r="D751" t="s">
        <v>25</v>
      </c>
      <c r="E751">
        <v>43</v>
      </c>
      <c r="F751" t="s">
        <v>28</v>
      </c>
      <c r="G751">
        <v>996.03</v>
      </c>
      <c r="H751">
        <v>50</v>
      </c>
      <c r="I751" t="s">
        <v>16</v>
      </c>
      <c r="J751">
        <v>3.3</v>
      </c>
      <c r="K751" t="s">
        <v>29</v>
      </c>
      <c r="L751" t="s">
        <v>18</v>
      </c>
      <c r="M751" t="str">
        <f>VLOOKUP(D755,Restaurant_Master!A:B,2,FALSE)</f>
        <v>https://dynamic-media-cdn.tripadvisor.com/media/photo-o/1c/e7/04/0d/front-of-the-local-easily.jpg</v>
      </c>
    </row>
    <row r="752" spans="1:13" x14ac:dyDescent="0.3">
      <c r="A752" t="s">
        <v>782</v>
      </c>
      <c r="B752" s="1">
        <v>45314</v>
      </c>
      <c r="C752" t="s">
        <v>43</v>
      </c>
      <c r="D752" t="s">
        <v>14</v>
      </c>
      <c r="E752">
        <v>29</v>
      </c>
      <c r="F752" t="s">
        <v>28</v>
      </c>
      <c r="G752">
        <v>382.83</v>
      </c>
      <c r="H752">
        <v>41</v>
      </c>
      <c r="I752" t="s">
        <v>16</v>
      </c>
      <c r="J752">
        <v>3.1</v>
      </c>
      <c r="K752" t="s">
        <v>41</v>
      </c>
      <c r="L752" t="s">
        <v>18</v>
      </c>
      <c r="M752" t="str">
        <f>VLOOKUP(D756,Restaurant_Master!A:B,2,FALSE)</f>
        <v>https://dynamic-media-cdn.tripadvisor.com/media/photo-o/1c/e7/04/0d/front-of-the-local-easily.jpg</v>
      </c>
    </row>
    <row r="753" spans="1:13" x14ac:dyDescent="0.3">
      <c r="A753" t="s">
        <v>783</v>
      </c>
      <c r="B753" s="1">
        <v>45579</v>
      </c>
      <c r="C753" t="s">
        <v>20</v>
      </c>
      <c r="D753" t="s">
        <v>14</v>
      </c>
      <c r="E753">
        <v>18</v>
      </c>
      <c r="F753" t="s">
        <v>15</v>
      </c>
      <c r="G753">
        <v>652.79</v>
      </c>
      <c r="H753">
        <v>51</v>
      </c>
      <c r="I753" t="s">
        <v>16</v>
      </c>
      <c r="J753">
        <v>5</v>
      </c>
      <c r="K753" t="s">
        <v>29</v>
      </c>
      <c r="L753" t="s">
        <v>18</v>
      </c>
      <c r="M753" t="str">
        <f>VLOOKUP(D757,Restaurant_Master!A:B,2,FALSE)</f>
        <v>https://media-cdn.tripadvisor.com/media/photo-s/1c/c7/97/b6/photo6jpg.jpg</v>
      </c>
    </row>
    <row r="754" spans="1:13" x14ac:dyDescent="0.3">
      <c r="A754" t="s">
        <v>784</v>
      </c>
      <c r="B754" s="1">
        <v>45369</v>
      </c>
      <c r="C754" t="s">
        <v>36</v>
      </c>
      <c r="D754" t="s">
        <v>14</v>
      </c>
      <c r="E754">
        <v>33</v>
      </c>
      <c r="F754" t="s">
        <v>15</v>
      </c>
      <c r="G754">
        <v>1025.77</v>
      </c>
      <c r="H754">
        <v>53</v>
      </c>
      <c r="I754" t="s">
        <v>16</v>
      </c>
      <c r="J754">
        <v>4.5</v>
      </c>
      <c r="K754" t="s">
        <v>17</v>
      </c>
      <c r="L754" t="s">
        <v>18</v>
      </c>
      <c r="M754" t="str">
        <f>VLOOKUP(D758,Restaurant_Master!A:B,2,FALSE)</f>
        <v>https://media-cdn.tripadvisor.com/media/photo-s/1c/c7/97/b6/photo6jpg.jpg</v>
      </c>
    </row>
    <row r="755" spans="1:13" x14ac:dyDescent="0.3">
      <c r="A755" t="s">
        <v>785</v>
      </c>
      <c r="B755" s="1">
        <v>45615</v>
      </c>
      <c r="C755" t="s">
        <v>36</v>
      </c>
      <c r="D755" t="s">
        <v>21</v>
      </c>
      <c r="E755">
        <v>23</v>
      </c>
      <c r="F755" t="s">
        <v>28</v>
      </c>
      <c r="G755">
        <v>749.47</v>
      </c>
      <c r="H755">
        <v>21</v>
      </c>
      <c r="I755" t="s">
        <v>22</v>
      </c>
      <c r="J755">
        <v>3.2</v>
      </c>
      <c r="K755" t="s">
        <v>17</v>
      </c>
      <c r="L755" t="s">
        <v>18</v>
      </c>
      <c r="M755" t="str">
        <f>VLOOKUP(D759,Restaurant_Master!A:B,2,FALSE)</f>
        <v>https://dineout-media-assets.swiggy.com/swiggy/image/upload/fl_lossy,f_auto,q_auto/v1660793737/fdqxvxcxg1wtdwvyv45v.jpg</v>
      </c>
    </row>
    <row r="756" spans="1:13" x14ac:dyDescent="0.3">
      <c r="A756" t="s">
        <v>786</v>
      </c>
      <c r="B756" s="1">
        <v>45579</v>
      </c>
      <c r="C756" t="s">
        <v>43</v>
      </c>
      <c r="D756" t="s">
        <v>21</v>
      </c>
      <c r="E756">
        <v>48</v>
      </c>
      <c r="F756" t="s">
        <v>15</v>
      </c>
      <c r="G756">
        <v>991.13</v>
      </c>
      <c r="H756">
        <v>31</v>
      </c>
      <c r="I756" t="s">
        <v>22</v>
      </c>
      <c r="J756">
        <v>4.7</v>
      </c>
      <c r="K756" t="s">
        <v>17</v>
      </c>
      <c r="L756" t="s">
        <v>23</v>
      </c>
      <c r="M756" t="str">
        <f>VLOOKUP(D760,Restaurant_Master!A:B,2,FALSE)</f>
        <v>https://media-cdn.tripadvisor.com/media/photo-s/1c/c7/97/b6/photo6jpg.jpg</v>
      </c>
    </row>
    <row r="757" spans="1:13" x14ac:dyDescent="0.3">
      <c r="A757" t="s">
        <v>787</v>
      </c>
      <c r="B757" s="1">
        <v>45543</v>
      </c>
      <c r="C757" t="s">
        <v>34</v>
      </c>
      <c r="D757" t="s">
        <v>25</v>
      </c>
      <c r="E757">
        <v>37</v>
      </c>
      <c r="F757" t="s">
        <v>28</v>
      </c>
      <c r="G757">
        <v>470.26</v>
      </c>
      <c r="H757">
        <v>48</v>
      </c>
      <c r="I757" t="s">
        <v>16</v>
      </c>
      <c r="J757">
        <v>3.5</v>
      </c>
      <c r="K757" t="s">
        <v>17</v>
      </c>
      <c r="L757" t="s">
        <v>23</v>
      </c>
      <c r="M757" t="str">
        <f>VLOOKUP(D761,Restaurant_Master!A:B,2,FALSE)</f>
        <v>https://www.chatswoodinterchange.com/storages/2018/08/Sushi-World_666x448.jpg</v>
      </c>
    </row>
    <row r="758" spans="1:13" x14ac:dyDescent="0.3">
      <c r="A758" t="s">
        <v>788</v>
      </c>
      <c r="B758" s="1">
        <v>45300</v>
      </c>
      <c r="C758" t="s">
        <v>13</v>
      </c>
      <c r="D758" t="s">
        <v>25</v>
      </c>
      <c r="E758">
        <v>55</v>
      </c>
      <c r="F758" t="s">
        <v>15</v>
      </c>
      <c r="G758">
        <v>813.25</v>
      </c>
      <c r="H758">
        <v>20</v>
      </c>
      <c r="I758" t="s">
        <v>22</v>
      </c>
      <c r="J758">
        <v>4.7</v>
      </c>
      <c r="K758" t="s">
        <v>29</v>
      </c>
      <c r="L758" t="s">
        <v>23</v>
      </c>
      <c r="M758" t="str">
        <f>VLOOKUP(D762,Restaurant_Master!A:B,2,FALSE)</f>
        <v>https://dineout-media-assets.swiggy.com/swiggy/image/upload/fl_lossy,f_auto,q_auto/v1660793737/fdqxvxcxg1wtdwvyv45v.jpg</v>
      </c>
    </row>
    <row r="759" spans="1:13" x14ac:dyDescent="0.3">
      <c r="A759" t="s">
        <v>789</v>
      </c>
      <c r="B759" s="1">
        <v>45539</v>
      </c>
      <c r="C759" t="s">
        <v>34</v>
      </c>
      <c r="D759" t="s">
        <v>14</v>
      </c>
      <c r="E759">
        <v>32</v>
      </c>
      <c r="F759" t="s">
        <v>28</v>
      </c>
      <c r="G759">
        <v>627.91</v>
      </c>
      <c r="H759">
        <v>52</v>
      </c>
      <c r="I759" t="s">
        <v>16</v>
      </c>
      <c r="J759">
        <v>2.7</v>
      </c>
      <c r="K759" t="s">
        <v>26</v>
      </c>
      <c r="L759" t="s">
        <v>18</v>
      </c>
      <c r="M759" t="str">
        <f>VLOOKUP(D763,Restaurant_Master!A:B,2,FALSE)</f>
        <v>https://dineout-media-assets.swiggy.com/swiggy/image/upload/fl_lossy,f_auto,q_auto/v1660793737/fdqxvxcxg1wtdwvyv45v.jpg</v>
      </c>
    </row>
    <row r="760" spans="1:13" x14ac:dyDescent="0.3">
      <c r="A760" t="s">
        <v>790</v>
      </c>
      <c r="B760" s="1">
        <v>45377</v>
      </c>
      <c r="C760" t="s">
        <v>13</v>
      </c>
      <c r="D760" t="s">
        <v>25</v>
      </c>
      <c r="E760">
        <v>18</v>
      </c>
      <c r="F760" t="s">
        <v>28</v>
      </c>
      <c r="G760">
        <v>192.62</v>
      </c>
      <c r="H760">
        <v>57</v>
      </c>
      <c r="I760" t="s">
        <v>16</v>
      </c>
      <c r="J760">
        <v>4.3</v>
      </c>
      <c r="K760" t="s">
        <v>26</v>
      </c>
      <c r="L760" t="s">
        <v>18</v>
      </c>
      <c r="M760" t="str">
        <f>VLOOKUP(D764,Restaurant_Master!A:B,2,FALSE)</f>
        <v>https://media-cdn.tripadvisor.com/media/photo-s/1c/c7/97/b6/photo6jpg.jpg</v>
      </c>
    </row>
    <row r="761" spans="1:13" x14ac:dyDescent="0.3">
      <c r="A761" t="s">
        <v>791</v>
      </c>
      <c r="B761" s="1">
        <v>45403</v>
      </c>
      <c r="C761" t="s">
        <v>13</v>
      </c>
      <c r="D761" t="s">
        <v>38</v>
      </c>
      <c r="E761">
        <v>19</v>
      </c>
      <c r="F761" t="s">
        <v>28</v>
      </c>
      <c r="G761">
        <v>185.33</v>
      </c>
      <c r="H761">
        <v>26</v>
      </c>
      <c r="I761" t="s">
        <v>22</v>
      </c>
      <c r="J761">
        <v>2.9</v>
      </c>
      <c r="K761" t="s">
        <v>26</v>
      </c>
      <c r="L761" t="s">
        <v>23</v>
      </c>
      <c r="M761" t="str">
        <f>VLOOKUP(D765,Restaurant_Master!A:B,2,FALSE)</f>
        <v>https://content.jdmagicbox.com/comp/deoria/g6/9999p5568.5568.200119143033.m4g6/catalogue/biryani-house-deoria-ho-deoria-mktc2xph0o.jpg</v>
      </c>
    </row>
    <row r="762" spans="1:13" x14ac:dyDescent="0.3">
      <c r="A762" t="s">
        <v>792</v>
      </c>
      <c r="B762" s="1">
        <v>45643</v>
      </c>
      <c r="C762" t="s">
        <v>36</v>
      </c>
      <c r="D762" t="s">
        <v>14</v>
      </c>
      <c r="E762">
        <v>22</v>
      </c>
      <c r="F762" t="s">
        <v>15</v>
      </c>
      <c r="G762">
        <v>723.79</v>
      </c>
      <c r="H762">
        <v>56</v>
      </c>
      <c r="I762" t="s">
        <v>16</v>
      </c>
      <c r="J762">
        <v>3.8</v>
      </c>
      <c r="K762" t="s">
        <v>26</v>
      </c>
      <c r="L762" t="s">
        <v>18</v>
      </c>
      <c r="M762" t="str">
        <f>VLOOKUP(D766,Restaurant_Master!A:B,2,FALSE)</f>
        <v>https://media-cdn.tripadvisor.com/media/photo-s/1c/c7/97/b6/photo6jpg.jpg</v>
      </c>
    </row>
    <row r="763" spans="1:13" x14ac:dyDescent="0.3">
      <c r="A763" t="s">
        <v>793</v>
      </c>
      <c r="B763" s="1">
        <v>45488</v>
      </c>
      <c r="C763" t="s">
        <v>43</v>
      </c>
      <c r="D763" t="s">
        <v>14</v>
      </c>
      <c r="E763">
        <v>38</v>
      </c>
      <c r="F763" t="s">
        <v>28</v>
      </c>
      <c r="G763">
        <v>498.83</v>
      </c>
      <c r="H763">
        <v>38</v>
      </c>
      <c r="I763" t="s">
        <v>22</v>
      </c>
      <c r="J763">
        <v>4.3</v>
      </c>
      <c r="K763" t="s">
        <v>26</v>
      </c>
      <c r="L763" t="s">
        <v>18</v>
      </c>
      <c r="M763" t="str">
        <f>VLOOKUP(D767,Restaurant_Master!A:B,2,FALSE)</f>
        <v>https://dineout-media-assets.swiggy.com/swiggy/image/upload/fl_lossy,f_auto,q_auto/v1660793737/fdqxvxcxg1wtdwvyv45v.jpg</v>
      </c>
    </row>
    <row r="764" spans="1:13" x14ac:dyDescent="0.3">
      <c r="A764" t="s">
        <v>794</v>
      </c>
      <c r="B764" s="1">
        <v>45482</v>
      </c>
      <c r="C764" t="s">
        <v>20</v>
      </c>
      <c r="D764" t="s">
        <v>25</v>
      </c>
      <c r="E764">
        <v>54</v>
      </c>
      <c r="F764" t="s">
        <v>15</v>
      </c>
      <c r="G764">
        <v>1120.17</v>
      </c>
      <c r="H764">
        <v>51</v>
      </c>
      <c r="I764" t="s">
        <v>16</v>
      </c>
      <c r="J764">
        <v>3.3</v>
      </c>
      <c r="K764" t="s">
        <v>17</v>
      </c>
      <c r="L764" t="s">
        <v>23</v>
      </c>
      <c r="M764" t="str">
        <f>VLOOKUP(D768,Restaurant_Master!A:B,2,FALSE)</f>
        <v>https://dynamic-media-cdn.tripadvisor.com/media/photo-o/1c/e7/04/0d/front-of-the-local-easily.jpg</v>
      </c>
    </row>
    <row r="765" spans="1:13" x14ac:dyDescent="0.3">
      <c r="A765" t="s">
        <v>795</v>
      </c>
      <c r="B765" s="1">
        <v>45342</v>
      </c>
      <c r="C765" t="s">
        <v>13</v>
      </c>
      <c r="D765" t="s">
        <v>32</v>
      </c>
      <c r="E765">
        <v>29</v>
      </c>
      <c r="F765" t="s">
        <v>15</v>
      </c>
      <c r="G765">
        <v>226.95</v>
      </c>
      <c r="H765">
        <v>58</v>
      </c>
      <c r="I765" t="s">
        <v>16</v>
      </c>
      <c r="J765">
        <v>3.3</v>
      </c>
      <c r="K765" t="s">
        <v>26</v>
      </c>
      <c r="L765" t="s">
        <v>23</v>
      </c>
      <c r="M765" t="str">
        <f>VLOOKUP(D769,Restaurant_Master!A:B,2,FALSE)</f>
        <v>https://www.chatswoodinterchange.com/storages/2018/08/Sushi-World_666x448.jpg</v>
      </c>
    </row>
    <row r="766" spans="1:13" x14ac:dyDescent="0.3">
      <c r="A766" t="s">
        <v>796</v>
      </c>
      <c r="B766" s="1">
        <v>45616</v>
      </c>
      <c r="C766" t="s">
        <v>34</v>
      </c>
      <c r="D766" t="s">
        <v>25</v>
      </c>
      <c r="E766">
        <v>49</v>
      </c>
      <c r="F766" t="s">
        <v>15</v>
      </c>
      <c r="G766">
        <v>657.12</v>
      </c>
      <c r="H766">
        <v>40</v>
      </c>
      <c r="I766" t="s">
        <v>22</v>
      </c>
      <c r="J766">
        <v>4.8</v>
      </c>
      <c r="K766" t="s">
        <v>26</v>
      </c>
      <c r="L766" t="s">
        <v>18</v>
      </c>
      <c r="M766" t="str">
        <f>VLOOKUP(D770,Restaurant_Master!A:B,2,FALSE)</f>
        <v>https://www.chatswoodinterchange.com/storages/2018/08/Sushi-World_666x448.jpg</v>
      </c>
    </row>
    <row r="767" spans="1:13" x14ac:dyDescent="0.3">
      <c r="A767" t="s">
        <v>797</v>
      </c>
      <c r="B767" s="1">
        <v>45584</v>
      </c>
      <c r="C767" t="s">
        <v>36</v>
      </c>
      <c r="D767" t="s">
        <v>14</v>
      </c>
      <c r="E767">
        <v>58</v>
      </c>
      <c r="F767" t="s">
        <v>15</v>
      </c>
      <c r="G767">
        <v>630.84</v>
      </c>
      <c r="H767">
        <v>26</v>
      </c>
      <c r="I767" t="s">
        <v>22</v>
      </c>
      <c r="J767">
        <v>3.7</v>
      </c>
      <c r="K767" t="s">
        <v>17</v>
      </c>
      <c r="L767" t="s">
        <v>23</v>
      </c>
      <c r="M767" t="str">
        <f>VLOOKUP(D771,Restaurant_Master!A:B,2,FALSE)</f>
        <v>https://content.jdmagicbox.com/comp/deoria/g6/9999p5568.5568.200119143033.m4g6/catalogue/biryani-house-deoria-ho-deoria-mktc2xph0o.jpg</v>
      </c>
    </row>
    <row r="768" spans="1:13" x14ac:dyDescent="0.3">
      <c r="A768" t="s">
        <v>798</v>
      </c>
      <c r="B768" s="1">
        <v>45421</v>
      </c>
      <c r="C768" t="s">
        <v>20</v>
      </c>
      <c r="D768" t="s">
        <v>21</v>
      </c>
      <c r="E768">
        <v>21</v>
      </c>
      <c r="F768" t="s">
        <v>15</v>
      </c>
      <c r="G768">
        <v>772.22</v>
      </c>
      <c r="H768">
        <v>51</v>
      </c>
      <c r="I768" t="s">
        <v>16</v>
      </c>
      <c r="J768">
        <v>2.6</v>
      </c>
      <c r="K768" t="s">
        <v>41</v>
      </c>
      <c r="L768" t="s">
        <v>23</v>
      </c>
      <c r="M768" t="str">
        <f>VLOOKUP(D772,Restaurant_Master!A:B,2,FALSE)</f>
        <v>https://content.jdmagicbox.com/comp/deoria/g6/9999p5568.5568.200119143033.m4g6/catalogue/biryani-house-deoria-ho-deoria-mktc2xph0o.jpg</v>
      </c>
    </row>
    <row r="769" spans="1:13" x14ac:dyDescent="0.3">
      <c r="A769" t="s">
        <v>799</v>
      </c>
      <c r="B769" s="1">
        <v>45595</v>
      </c>
      <c r="C769" t="s">
        <v>43</v>
      </c>
      <c r="D769" t="s">
        <v>38</v>
      </c>
      <c r="E769">
        <v>34</v>
      </c>
      <c r="F769" t="s">
        <v>28</v>
      </c>
      <c r="G769">
        <v>1148.1099999999999</v>
      </c>
      <c r="H769">
        <v>26</v>
      </c>
      <c r="I769" t="s">
        <v>22</v>
      </c>
      <c r="J769">
        <v>4.5999999999999996</v>
      </c>
      <c r="K769" t="s">
        <v>29</v>
      </c>
      <c r="L769" t="s">
        <v>18</v>
      </c>
      <c r="M769" t="str">
        <f>VLOOKUP(D773,Restaurant_Master!A:B,2,FALSE)</f>
        <v>https://media-cdn.tripadvisor.com/media/photo-s/1c/c7/97/b6/photo6jpg.jpg</v>
      </c>
    </row>
    <row r="770" spans="1:13" x14ac:dyDescent="0.3">
      <c r="A770" t="s">
        <v>800</v>
      </c>
      <c r="B770" s="1">
        <v>45435</v>
      </c>
      <c r="C770" t="s">
        <v>13</v>
      </c>
      <c r="D770" t="s">
        <v>38</v>
      </c>
      <c r="E770">
        <v>54</v>
      </c>
      <c r="F770" t="s">
        <v>28</v>
      </c>
      <c r="G770">
        <v>913.09</v>
      </c>
      <c r="H770">
        <v>48</v>
      </c>
      <c r="I770" t="s">
        <v>16</v>
      </c>
      <c r="J770">
        <v>3.7</v>
      </c>
      <c r="K770" t="s">
        <v>17</v>
      </c>
      <c r="L770" t="s">
        <v>23</v>
      </c>
      <c r="M770" t="str">
        <f>VLOOKUP(D774,Restaurant_Master!A:B,2,FALSE)</f>
        <v>https://media-cdn.tripadvisor.com/media/photo-s/1c/c7/97/b6/photo6jpg.jpg</v>
      </c>
    </row>
    <row r="771" spans="1:13" x14ac:dyDescent="0.3">
      <c r="A771" t="s">
        <v>801</v>
      </c>
      <c r="B771" s="1">
        <v>45500</v>
      </c>
      <c r="C771" t="s">
        <v>34</v>
      </c>
      <c r="D771" t="s">
        <v>32</v>
      </c>
      <c r="E771">
        <v>51</v>
      </c>
      <c r="F771" t="s">
        <v>28</v>
      </c>
      <c r="G771">
        <v>1115.3699999999999</v>
      </c>
      <c r="H771">
        <v>27</v>
      </c>
      <c r="I771" t="s">
        <v>22</v>
      </c>
      <c r="J771">
        <v>3.9</v>
      </c>
      <c r="K771" t="s">
        <v>17</v>
      </c>
      <c r="L771" t="s">
        <v>23</v>
      </c>
      <c r="M771" t="str">
        <f>VLOOKUP(D775,Restaurant_Master!A:B,2,FALSE)</f>
        <v>https://dineout-media-assets.swiggy.com/swiggy/image/upload/fl_lossy,f_auto,q_auto/v1660793737/fdqxvxcxg1wtdwvyv45v.jpg</v>
      </c>
    </row>
    <row r="772" spans="1:13" x14ac:dyDescent="0.3">
      <c r="A772" t="s">
        <v>802</v>
      </c>
      <c r="B772" s="1">
        <v>45520</v>
      </c>
      <c r="C772" t="s">
        <v>36</v>
      </c>
      <c r="D772" t="s">
        <v>32</v>
      </c>
      <c r="E772">
        <v>20</v>
      </c>
      <c r="F772" t="s">
        <v>28</v>
      </c>
      <c r="G772">
        <v>492.66</v>
      </c>
      <c r="H772">
        <v>33</v>
      </c>
      <c r="I772" t="s">
        <v>22</v>
      </c>
      <c r="J772">
        <v>4.8</v>
      </c>
      <c r="K772" t="s">
        <v>17</v>
      </c>
      <c r="L772" t="s">
        <v>18</v>
      </c>
      <c r="M772" t="str">
        <f>VLOOKUP(D776,Restaurant_Master!A:B,2,FALSE)</f>
        <v>https://dynamic-media-cdn.tripadvisor.com/media/photo-o/1c/e7/04/0d/front-of-the-local-easily.jpg</v>
      </c>
    </row>
    <row r="773" spans="1:13" x14ac:dyDescent="0.3">
      <c r="A773" t="s">
        <v>803</v>
      </c>
      <c r="B773" s="1">
        <v>45337</v>
      </c>
      <c r="C773" t="s">
        <v>43</v>
      </c>
      <c r="D773" t="s">
        <v>25</v>
      </c>
      <c r="E773">
        <v>19</v>
      </c>
      <c r="F773" t="s">
        <v>28</v>
      </c>
      <c r="G773">
        <v>576.01</v>
      </c>
      <c r="H773">
        <v>29</v>
      </c>
      <c r="I773" t="s">
        <v>22</v>
      </c>
      <c r="J773">
        <v>4.3</v>
      </c>
      <c r="K773" t="s">
        <v>29</v>
      </c>
      <c r="L773" t="s">
        <v>18</v>
      </c>
      <c r="M773" t="str">
        <f>VLOOKUP(D777,Restaurant_Master!A:B,2,FALSE)</f>
        <v>https://dineout-media-assets.swiggy.com/swiggy/image/upload/fl_lossy,f_auto,q_auto/v1660793737/fdqxvxcxg1wtdwvyv45v.jpg</v>
      </c>
    </row>
    <row r="774" spans="1:13" x14ac:dyDescent="0.3">
      <c r="A774" t="s">
        <v>804</v>
      </c>
      <c r="B774" s="1">
        <v>45606</v>
      </c>
      <c r="C774" t="s">
        <v>36</v>
      </c>
      <c r="D774" t="s">
        <v>25</v>
      </c>
      <c r="E774">
        <v>53</v>
      </c>
      <c r="F774" t="s">
        <v>28</v>
      </c>
      <c r="G774">
        <v>1160.9100000000001</v>
      </c>
      <c r="H774">
        <v>20</v>
      </c>
      <c r="I774" t="s">
        <v>22</v>
      </c>
      <c r="J774">
        <v>2.7</v>
      </c>
      <c r="K774" t="s">
        <v>26</v>
      </c>
      <c r="L774" t="s">
        <v>18</v>
      </c>
      <c r="M774" t="str">
        <f>VLOOKUP(D778,Restaurant_Master!A:B,2,FALSE)</f>
        <v>https://dynamic-media-cdn.tripadvisor.com/media/photo-o/1c/e7/04/0d/front-of-the-local-easily.jpg</v>
      </c>
    </row>
    <row r="775" spans="1:13" x14ac:dyDescent="0.3">
      <c r="A775" t="s">
        <v>805</v>
      </c>
      <c r="B775" s="1">
        <v>45335</v>
      </c>
      <c r="C775" t="s">
        <v>20</v>
      </c>
      <c r="D775" t="s">
        <v>14</v>
      </c>
      <c r="E775">
        <v>30</v>
      </c>
      <c r="F775" t="s">
        <v>15</v>
      </c>
      <c r="G775">
        <v>287.45999999999998</v>
      </c>
      <c r="H775">
        <v>22</v>
      </c>
      <c r="I775" t="s">
        <v>22</v>
      </c>
      <c r="J775">
        <v>4.5999999999999996</v>
      </c>
      <c r="K775" t="s">
        <v>17</v>
      </c>
      <c r="L775" t="s">
        <v>23</v>
      </c>
      <c r="M775" t="str">
        <f>VLOOKUP(D779,Restaurant_Master!A:B,2,FALSE)</f>
        <v>https://dynamic-media-cdn.tripadvisor.com/media/photo-o/1c/e7/04/0d/front-of-the-local-easily.jpg</v>
      </c>
    </row>
    <row r="776" spans="1:13" x14ac:dyDescent="0.3">
      <c r="A776" t="s">
        <v>806</v>
      </c>
      <c r="B776" s="1">
        <v>45515</v>
      </c>
      <c r="C776" t="s">
        <v>43</v>
      </c>
      <c r="D776" t="s">
        <v>21</v>
      </c>
      <c r="E776">
        <v>55</v>
      </c>
      <c r="F776" t="s">
        <v>28</v>
      </c>
      <c r="G776">
        <v>516.05999999999995</v>
      </c>
      <c r="H776">
        <v>26</v>
      </c>
      <c r="I776" t="s">
        <v>22</v>
      </c>
      <c r="J776">
        <v>3.6</v>
      </c>
      <c r="K776" t="s">
        <v>29</v>
      </c>
      <c r="L776" t="s">
        <v>23</v>
      </c>
      <c r="M776" t="str">
        <f>VLOOKUP(D780,Restaurant_Master!A:B,2,FALSE)</f>
        <v>https://media-cdn.tripadvisor.com/media/photo-s/1c/c7/97/b6/photo6jpg.jpg</v>
      </c>
    </row>
    <row r="777" spans="1:13" x14ac:dyDescent="0.3">
      <c r="A777" t="s">
        <v>807</v>
      </c>
      <c r="B777" s="1">
        <v>45309</v>
      </c>
      <c r="C777" t="s">
        <v>20</v>
      </c>
      <c r="D777" t="s">
        <v>14</v>
      </c>
      <c r="E777">
        <v>52</v>
      </c>
      <c r="F777" t="s">
        <v>15</v>
      </c>
      <c r="G777">
        <v>1099.19</v>
      </c>
      <c r="H777">
        <v>29</v>
      </c>
      <c r="I777" t="s">
        <v>22</v>
      </c>
      <c r="J777">
        <v>3.8</v>
      </c>
      <c r="K777" t="s">
        <v>17</v>
      </c>
      <c r="L777" t="s">
        <v>18</v>
      </c>
      <c r="M777" t="str">
        <f>VLOOKUP(D781,Restaurant_Master!A:B,2,FALSE)</f>
        <v>https://dineout-media-assets.swiggy.com/swiggy/image/upload/fl_lossy,f_auto,q_auto/v1660793737/fdqxvxcxg1wtdwvyv45v.jpg</v>
      </c>
    </row>
    <row r="778" spans="1:13" x14ac:dyDescent="0.3">
      <c r="A778" t="s">
        <v>808</v>
      </c>
      <c r="B778" s="1">
        <v>45591</v>
      </c>
      <c r="C778" t="s">
        <v>36</v>
      </c>
      <c r="D778" t="s">
        <v>21</v>
      </c>
      <c r="E778">
        <v>35</v>
      </c>
      <c r="F778" t="s">
        <v>28</v>
      </c>
      <c r="G778">
        <v>1084.1500000000001</v>
      </c>
      <c r="H778">
        <v>44</v>
      </c>
      <c r="I778" t="s">
        <v>16</v>
      </c>
      <c r="J778">
        <v>4.5999999999999996</v>
      </c>
      <c r="K778" t="s">
        <v>17</v>
      </c>
      <c r="L778" t="s">
        <v>18</v>
      </c>
      <c r="M778" t="str">
        <f>VLOOKUP(D782,Restaurant_Master!A:B,2,FALSE)</f>
        <v>https://www.chatswoodinterchange.com/storages/2018/08/Sushi-World_666x448.jpg</v>
      </c>
    </row>
    <row r="779" spans="1:13" x14ac:dyDescent="0.3">
      <c r="A779" t="s">
        <v>809</v>
      </c>
      <c r="B779" s="1">
        <v>45462</v>
      </c>
      <c r="C779" t="s">
        <v>34</v>
      </c>
      <c r="D779" t="s">
        <v>21</v>
      </c>
      <c r="E779">
        <v>19</v>
      </c>
      <c r="F779" t="s">
        <v>15</v>
      </c>
      <c r="G779">
        <v>396.41</v>
      </c>
      <c r="H779">
        <v>27</v>
      </c>
      <c r="I779" t="s">
        <v>22</v>
      </c>
      <c r="J779">
        <v>3.3</v>
      </c>
      <c r="K779" t="s">
        <v>29</v>
      </c>
      <c r="L779" t="s">
        <v>23</v>
      </c>
      <c r="M779" t="str">
        <f>VLOOKUP(D783,Restaurant_Master!A:B,2,FALSE)</f>
        <v>https://dynamic-media-cdn.tripadvisor.com/media/photo-o/1c/e7/04/0d/front-of-the-local-easily.jpg</v>
      </c>
    </row>
    <row r="780" spans="1:13" x14ac:dyDescent="0.3">
      <c r="A780" t="s">
        <v>810</v>
      </c>
      <c r="B780" s="1">
        <v>45536</v>
      </c>
      <c r="C780" t="s">
        <v>20</v>
      </c>
      <c r="D780" t="s">
        <v>25</v>
      </c>
      <c r="E780">
        <v>43</v>
      </c>
      <c r="F780" t="s">
        <v>28</v>
      </c>
      <c r="G780">
        <v>491</v>
      </c>
      <c r="H780">
        <v>26</v>
      </c>
      <c r="I780" t="s">
        <v>22</v>
      </c>
      <c r="J780">
        <v>4.9000000000000004</v>
      </c>
      <c r="K780" t="s">
        <v>26</v>
      </c>
      <c r="L780" t="s">
        <v>23</v>
      </c>
      <c r="M780" t="str">
        <f>VLOOKUP(D784,Restaurant_Master!A:B,2,FALSE)</f>
        <v>https://content.jdmagicbox.com/comp/deoria/g6/9999p5568.5568.200119143033.m4g6/catalogue/biryani-house-deoria-ho-deoria-mktc2xph0o.jpg</v>
      </c>
    </row>
    <row r="781" spans="1:13" x14ac:dyDescent="0.3">
      <c r="A781" t="s">
        <v>811</v>
      </c>
      <c r="B781" s="1">
        <v>45546</v>
      </c>
      <c r="C781" t="s">
        <v>20</v>
      </c>
      <c r="D781" t="s">
        <v>14</v>
      </c>
      <c r="E781">
        <v>28</v>
      </c>
      <c r="F781" t="s">
        <v>15</v>
      </c>
      <c r="G781">
        <v>1185.1099999999999</v>
      </c>
      <c r="H781">
        <v>59</v>
      </c>
      <c r="I781" t="s">
        <v>16</v>
      </c>
      <c r="J781">
        <v>4.4000000000000004</v>
      </c>
      <c r="K781" t="s">
        <v>41</v>
      </c>
      <c r="L781" t="s">
        <v>23</v>
      </c>
      <c r="M781" t="str">
        <f>VLOOKUP(D785,Restaurant_Master!A:B,2,FALSE)</f>
        <v>https://www.chatswoodinterchange.com/storages/2018/08/Sushi-World_666x448.jpg</v>
      </c>
    </row>
    <row r="782" spans="1:13" x14ac:dyDescent="0.3">
      <c r="A782" t="s">
        <v>812</v>
      </c>
      <c r="B782" s="1">
        <v>45642</v>
      </c>
      <c r="C782" t="s">
        <v>34</v>
      </c>
      <c r="D782" t="s">
        <v>38</v>
      </c>
      <c r="E782">
        <v>40</v>
      </c>
      <c r="F782" t="s">
        <v>15</v>
      </c>
      <c r="G782">
        <v>832.04</v>
      </c>
      <c r="H782">
        <v>60</v>
      </c>
      <c r="I782" t="s">
        <v>16</v>
      </c>
      <c r="J782">
        <v>4.3</v>
      </c>
      <c r="K782" t="s">
        <v>41</v>
      </c>
      <c r="L782" t="s">
        <v>23</v>
      </c>
      <c r="M782" t="str">
        <f>VLOOKUP(D786,Restaurant_Master!A:B,2,FALSE)</f>
        <v>https://content.jdmagicbox.com/comp/deoria/g6/9999p5568.5568.200119143033.m4g6/catalogue/biryani-house-deoria-ho-deoria-mktc2xph0o.jpg</v>
      </c>
    </row>
    <row r="783" spans="1:13" x14ac:dyDescent="0.3">
      <c r="A783" t="s">
        <v>813</v>
      </c>
      <c r="B783" s="1">
        <v>45313</v>
      </c>
      <c r="C783" t="s">
        <v>34</v>
      </c>
      <c r="D783" t="s">
        <v>21</v>
      </c>
      <c r="E783">
        <v>54</v>
      </c>
      <c r="F783" t="s">
        <v>15</v>
      </c>
      <c r="G783">
        <v>997.54</v>
      </c>
      <c r="H783">
        <v>21</v>
      </c>
      <c r="I783" t="s">
        <v>22</v>
      </c>
      <c r="J783">
        <v>3.2</v>
      </c>
      <c r="K783" t="s">
        <v>17</v>
      </c>
      <c r="L783" t="s">
        <v>23</v>
      </c>
      <c r="M783" t="str">
        <f>VLOOKUP(D787,Restaurant_Master!A:B,2,FALSE)</f>
        <v>https://dynamic-media-cdn.tripadvisor.com/media/photo-o/1c/e7/04/0d/front-of-the-local-easily.jpg</v>
      </c>
    </row>
    <row r="784" spans="1:13" x14ac:dyDescent="0.3">
      <c r="A784" t="s">
        <v>814</v>
      </c>
      <c r="B784" s="1">
        <v>45458</v>
      </c>
      <c r="C784" t="s">
        <v>34</v>
      </c>
      <c r="D784" t="s">
        <v>32</v>
      </c>
      <c r="E784">
        <v>27</v>
      </c>
      <c r="F784" t="s">
        <v>28</v>
      </c>
      <c r="G784">
        <v>711.98</v>
      </c>
      <c r="H784">
        <v>42</v>
      </c>
      <c r="I784" t="s">
        <v>16</v>
      </c>
      <c r="J784">
        <v>3.6</v>
      </c>
      <c r="K784" t="s">
        <v>29</v>
      </c>
      <c r="L784" t="s">
        <v>18</v>
      </c>
      <c r="M784" t="str">
        <f>VLOOKUP(D788,Restaurant_Master!A:B,2,FALSE)</f>
        <v>https://dineout-media-assets.swiggy.com/swiggy/image/upload/fl_lossy,f_auto,q_auto/v1660793737/fdqxvxcxg1wtdwvyv45v.jpg</v>
      </c>
    </row>
    <row r="785" spans="1:13" x14ac:dyDescent="0.3">
      <c r="A785" t="s">
        <v>815</v>
      </c>
      <c r="B785" s="1">
        <v>45650</v>
      </c>
      <c r="C785" t="s">
        <v>36</v>
      </c>
      <c r="D785" t="s">
        <v>38</v>
      </c>
      <c r="E785">
        <v>36</v>
      </c>
      <c r="F785" t="s">
        <v>28</v>
      </c>
      <c r="G785">
        <v>522.59</v>
      </c>
      <c r="H785">
        <v>47</v>
      </c>
      <c r="I785" t="s">
        <v>16</v>
      </c>
      <c r="J785">
        <v>3</v>
      </c>
      <c r="K785" t="s">
        <v>17</v>
      </c>
      <c r="L785" t="s">
        <v>23</v>
      </c>
      <c r="M785" t="str">
        <f>VLOOKUP(D789,Restaurant_Master!A:B,2,FALSE)</f>
        <v>https://dineout-media-assets.swiggy.com/swiggy/image/upload/fl_lossy,f_auto,q_auto/v1660793737/fdqxvxcxg1wtdwvyv45v.jpg</v>
      </c>
    </row>
    <row r="786" spans="1:13" x14ac:dyDescent="0.3">
      <c r="A786" t="s">
        <v>816</v>
      </c>
      <c r="B786" s="1">
        <v>45471</v>
      </c>
      <c r="C786" t="s">
        <v>13</v>
      </c>
      <c r="D786" t="s">
        <v>32</v>
      </c>
      <c r="E786">
        <v>33</v>
      </c>
      <c r="F786" t="s">
        <v>28</v>
      </c>
      <c r="G786">
        <v>336.73</v>
      </c>
      <c r="H786">
        <v>54</v>
      </c>
      <c r="I786" t="s">
        <v>16</v>
      </c>
      <c r="J786">
        <v>4.0999999999999996</v>
      </c>
      <c r="K786" t="s">
        <v>29</v>
      </c>
      <c r="L786" t="s">
        <v>23</v>
      </c>
      <c r="M786" t="str">
        <f>VLOOKUP(D790,Restaurant_Master!A:B,2,FALSE)</f>
        <v>https://content.jdmagicbox.com/comp/deoria/g6/9999p5568.5568.200119143033.m4g6/catalogue/biryani-house-deoria-ho-deoria-mktc2xph0o.jpg</v>
      </c>
    </row>
    <row r="787" spans="1:13" x14ac:dyDescent="0.3">
      <c r="A787" t="s">
        <v>817</v>
      </c>
      <c r="B787" s="1">
        <v>45531</v>
      </c>
      <c r="C787" t="s">
        <v>20</v>
      </c>
      <c r="D787" t="s">
        <v>21</v>
      </c>
      <c r="E787">
        <v>48</v>
      </c>
      <c r="F787" t="s">
        <v>15</v>
      </c>
      <c r="G787">
        <v>586.30999999999995</v>
      </c>
      <c r="H787">
        <v>56</v>
      </c>
      <c r="I787" t="s">
        <v>16</v>
      </c>
      <c r="J787">
        <v>4.8</v>
      </c>
      <c r="K787" t="s">
        <v>29</v>
      </c>
      <c r="L787" t="s">
        <v>23</v>
      </c>
      <c r="M787" t="str">
        <f>VLOOKUP(D791,Restaurant_Master!A:B,2,FALSE)</f>
        <v>https://www.chatswoodinterchange.com/storages/2018/08/Sushi-World_666x448.jpg</v>
      </c>
    </row>
    <row r="788" spans="1:13" x14ac:dyDescent="0.3">
      <c r="A788" t="s">
        <v>818</v>
      </c>
      <c r="B788" s="1">
        <v>45304</v>
      </c>
      <c r="C788" t="s">
        <v>36</v>
      </c>
      <c r="D788" t="s">
        <v>14</v>
      </c>
      <c r="E788">
        <v>25</v>
      </c>
      <c r="F788" t="s">
        <v>28</v>
      </c>
      <c r="G788">
        <v>199.16</v>
      </c>
      <c r="H788">
        <v>35</v>
      </c>
      <c r="I788" t="s">
        <v>22</v>
      </c>
      <c r="J788">
        <v>3.4</v>
      </c>
      <c r="K788" t="s">
        <v>26</v>
      </c>
      <c r="L788" t="s">
        <v>18</v>
      </c>
      <c r="M788" t="str">
        <f>VLOOKUP(D792,Restaurant_Master!A:B,2,FALSE)</f>
        <v>https://media-cdn.tripadvisor.com/media/photo-s/1c/c7/97/b6/photo6jpg.jpg</v>
      </c>
    </row>
    <row r="789" spans="1:13" x14ac:dyDescent="0.3">
      <c r="A789" t="s">
        <v>819</v>
      </c>
      <c r="B789" s="1">
        <v>45433</v>
      </c>
      <c r="C789" t="s">
        <v>13</v>
      </c>
      <c r="D789" t="s">
        <v>14</v>
      </c>
      <c r="E789">
        <v>40</v>
      </c>
      <c r="F789" t="s">
        <v>28</v>
      </c>
      <c r="G789">
        <v>553.99</v>
      </c>
      <c r="H789">
        <v>38</v>
      </c>
      <c r="I789" t="s">
        <v>22</v>
      </c>
      <c r="J789">
        <v>4.2</v>
      </c>
      <c r="K789" t="s">
        <v>26</v>
      </c>
      <c r="L789" t="s">
        <v>23</v>
      </c>
      <c r="M789" t="str">
        <f>VLOOKUP(D793,Restaurant_Master!A:B,2,FALSE)</f>
        <v>https://dineout-media-assets.swiggy.com/swiggy/image/upload/fl_lossy,f_auto,q_auto/v1660793737/fdqxvxcxg1wtdwvyv45v.jpg</v>
      </c>
    </row>
    <row r="790" spans="1:13" x14ac:dyDescent="0.3">
      <c r="A790" t="s">
        <v>820</v>
      </c>
      <c r="B790" s="1">
        <v>45306</v>
      </c>
      <c r="C790" t="s">
        <v>13</v>
      </c>
      <c r="D790" t="s">
        <v>32</v>
      </c>
      <c r="E790">
        <v>36</v>
      </c>
      <c r="F790" t="s">
        <v>15</v>
      </c>
      <c r="G790">
        <v>1155.5</v>
      </c>
      <c r="H790">
        <v>59</v>
      </c>
      <c r="I790" t="s">
        <v>16</v>
      </c>
      <c r="J790">
        <v>4.4000000000000004</v>
      </c>
      <c r="K790" t="s">
        <v>29</v>
      </c>
      <c r="L790" t="s">
        <v>23</v>
      </c>
      <c r="M790" t="str">
        <f>VLOOKUP(D794,Restaurant_Master!A:B,2,FALSE)</f>
        <v>https://www.chatswoodinterchange.com/storages/2018/08/Sushi-World_666x448.jpg</v>
      </c>
    </row>
    <row r="791" spans="1:13" x14ac:dyDescent="0.3">
      <c r="A791" t="s">
        <v>821</v>
      </c>
      <c r="B791" s="1">
        <v>45427</v>
      </c>
      <c r="C791" t="s">
        <v>34</v>
      </c>
      <c r="D791" t="s">
        <v>38</v>
      </c>
      <c r="E791">
        <v>24</v>
      </c>
      <c r="F791" t="s">
        <v>15</v>
      </c>
      <c r="G791">
        <v>696.42</v>
      </c>
      <c r="H791">
        <v>36</v>
      </c>
      <c r="I791" t="s">
        <v>22</v>
      </c>
      <c r="J791">
        <v>4.0999999999999996</v>
      </c>
      <c r="K791" t="s">
        <v>41</v>
      </c>
      <c r="L791" t="s">
        <v>18</v>
      </c>
      <c r="M791" t="str">
        <f>VLOOKUP(D795,Restaurant_Master!A:B,2,FALSE)</f>
        <v>https://www.chatswoodinterchange.com/storages/2018/08/Sushi-World_666x448.jpg</v>
      </c>
    </row>
    <row r="792" spans="1:13" x14ac:dyDescent="0.3">
      <c r="A792" t="s">
        <v>822</v>
      </c>
      <c r="B792" s="1">
        <v>45377</v>
      </c>
      <c r="C792" t="s">
        <v>20</v>
      </c>
      <c r="D792" t="s">
        <v>25</v>
      </c>
      <c r="E792">
        <v>21</v>
      </c>
      <c r="F792" t="s">
        <v>28</v>
      </c>
      <c r="G792">
        <v>180.72</v>
      </c>
      <c r="H792">
        <v>34</v>
      </c>
      <c r="I792" t="s">
        <v>22</v>
      </c>
      <c r="J792">
        <v>4.7</v>
      </c>
      <c r="K792" t="s">
        <v>17</v>
      </c>
      <c r="L792" t="s">
        <v>18</v>
      </c>
      <c r="M792" t="str">
        <f>VLOOKUP(D796,Restaurant_Master!A:B,2,FALSE)</f>
        <v>https://dynamic-media-cdn.tripadvisor.com/media/photo-o/1c/e7/04/0d/front-of-the-local-easily.jpg</v>
      </c>
    </row>
    <row r="793" spans="1:13" x14ac:dyDescent="0.3">
      <c r="A793" t="s">
        <v>823</v>
      </c>
      <c r="B793" s="1">
        <v>45530</v>
      </c>
      <c r="C793" t="s">
        <v>36</v>
      </c>
      <c r="D793" t="s">
        <v>14</v>
      </c>
      <c r="E793">
        <v>18</v>
      </c>
      <c r="F793" t="s">
        <v>15</v>
      </c>
      <c r="G793">
        <v>1140.6300000000001</v>
      </c>
      <c r="H793">
        <v>37</v>
      </c>
      <c r="I793" t="s">
        <v>22</v>
      </c>
      <c r="J793">
        <v>4.5999999999999996</v>
      </c>
      <c r="K793" t="s">
        <v>41</v>
      </c>
      <c r="L793" t="s">
        <v>23</v>
      </c>
      <c r="M793" t="str">
        <f>VLOOKUP(D797,Restaurant_Master!A:B,2,FALSE)</f>
        <v>https://content.jdmagicbox.com/comp/deoria/g6/9999p5568.5568.200119143033.m4g6/catalogue/biryani-house-deoria-ho-deoria-mktc2xph0o.jpg</v>
      </c>
    </row>
    <row r="794" spans="1:13" x14ac:dyDescent="0.3">
      <c r="A794" t="s">
        <v>824</v>
      </c>
      <c r="B794" s="1">
        <v>45321</v>
      </c>
      <c r="C794" t="s">
        <v>20</v>
      </c>
      <c r="D794" t="s">
        <v>38</v>
      </c>
      <c r="E794">
        <v>29</v>
      </c>
      <c r="F794" t="s">
        <v>28</v>
      </c>
      <c r="G794">
        <v>395.78</v>
      </c>
      <c r="H794">
        <v>25</v>
      </c>
      <c r="I794" t="s">
        <v>22</v>
      </c>
      <c r="J794">
        <v>3.6</v>
      </c>
      <c r="K794" t="s">
        <v>17</v>
      </c>
      <c r="L794" t="s">
        <v>23</v>
      </c>
      <c r="M794" t="str">
        <f>VLOOKUP(D798,Restaurant_Master!A:B,2,FALSE)</f>
        <v>https://dineout-media-assets.swiggy.com/swiggy/image/upload/fl_lossy,f_auto,q_auto/v1660793737/fdqxvxcxg1wtdwvyv45v.jpg</v>
      </c>
    </row>
    <row r="795" spans="1:13" x14ac:dyDescent="0.3">
      <c r="A795" t="s">
        <v>825</v>
      </c>
      <c r="B795" s="1">
        <v>45656</v>
      </c>
      <c r="C795" t="s">
        <v>13</v>
      </c>
      <c r="D795" t="s">
        <v>38</v>
      </c>
      <c r="E795">
        <v>52</v>
      </c>
      <c r="F795" t="s">
        <v>15</v>
      </c>
      <c r="G795">
        <v>506.78</v>
      </c>
      <c r="H795">
        <v>54</v>
      </c>
      <c r="I795" t="s">
        <v>16</v>
      </c>
      <c r="J795">
        <v>3.6</v>
      </c>
      <c r="K795" t="s">
        <v>26</v>
      </c>
      <c r="L795" t="s">
        <v>18</v>
      </c>
      <c r="M795" t="str">
        <f>VLOOKUP(D799,Restaurant_Master!A:B,2,FALSE)</f>
        <v>https://media-cdn.tripadvisor.com/media/photo-s/1c/c7/97/b6/photo6jpg.jpg</v>
      </c>
    </row>
    <row r="796" spans="1:13" x14ac:dyDescent="0.3">
      <c r="A796" t="s">
        <v>826</v>
      </c>
      <c r="B796" s="1">
        <v>45569</v>
      </c>
      <c r="C796" t="s">
        <v>43</v>
      </c>
      <c r="D796" t="s">
        <v>21</v>
      </c>
      <c r="E796">
        <v>50</v>
      </c>
      <c r="F796" t="s">
        <v>28</v>
      </c>
      <c r="G796">
        <v>495.24</v>
      </c>
      <c r="H796">
        <v>43</v>
      </c>
      <c r="I796" t="s">
        <v>16</v>
      </c>
      <c r="J796">
        <v>4.5999999999999996</v>
      </c>
      <c r="K796" t="s">
        <v>26</v>
      </c>
      <c r="L796" t="s">
        <v>23</v>
      </c>
      <c r="M796" t="str">
        <f>VLOOKUP(D800,Restaurant_Master!A:B,2,FALSE)</f>
        <v>https://dynamic-media-cdn.tripadvisor.com/media/photo-o/1c/e7/04/0d/front-of-the-local-easily.jpg</v>
      </c>
    </row>
    <row r="797" spans="1:13" x14ac:dyDescent="0.3">
      <c r="A797" t="s">
        <v>827</v>
      </c>
      <c r="B797" s="1">
        <v>45582</v>
      </c>
      <c r="C797" t="s">
        <v>36</v>
      </c>
      <c r="D797" t="s">
        <v>32</v>
      </c>
      <c r="E797">
        <v>54</v>
      </c>
      <c r="F797" t="s">
        <v>28</v>
      </c>
      <c r="G797">
        <v>960.44</v>
      </c>
      <c r="H797">
        <v>39</v>
      </c>
      <c r="I797" t="s">
        <v>22</v>
      </c>
      <c r="J797">
        <v>3.8</v>
      </c>
      <c r="K797" t="s">
        <v>17</v>
      </c>
      <c r="L797" t="s">
        <v>18</v>
      </c>
      <c r="M797" t="str">
        <f>VLOOKUP(D801,Restaurant_Master!A:B,2,FALSE)</f>
        <v>https://media-cdn.tripadvisor.com/media/photo-s/1c/c7/97/b6/photo6jpg.jpg</v>
      </c>
    </row>
    <row r="798" spans="1:13" x14ac:dyDescent="0.3">
      <c r="A798" t="s">
        <v>828</v>
      </c>
      <c r="B798" s="1">
        <v>45449</v>
      </c>
      <c r="C798" t="s">
        <v>13</v>
      </c>
      <c r="D798" t="s">
        <v>14</v>
      </c>
      <c r="E798">
        <v>33</v>
      </c>
      <c r="F798" t="s">
        <v>28</v>
      </c>
      <c r="G798">
        <v>1087.5899999999999</v>
      </c>
      <c r="H798">
        <v>55</v>
      </c>
      <c r="I798" t="s">
        <v>16</v>
      </c>
      <c r="J798">
        <v>4.2</v>
      </c>
      <c r="K798" t="s">
        <v>29</v>
      </c>
      <c r="L798" t="s">
        <v>18</v>
      </c>
      <c r="M798" t="str">
        <f>VLOOKUP(D802,Restaurant_Master!A:B,2,FALSE)</f>
        <v>https://dineout-media-assets.swiggy.com/swiggy/image/upload/fl_lossy,f_auto,q_auto/v1660793737/fdqxvxcxg1wtdwvyv45v.jpg</v>
      </c>
    </row>
    <row r="799" spans="1:13" x14ac:dyDescent="0.3">
      <c r="A799" t="s">
        <v>829</v>
      </c>
      <c r="B799" s="1">
        <v>45656</v>
      </c>
      <c r="C799" t="s">
        <v>36</v>
      </c>
      <c r="D799" t="s">
        <v>25</v>
      </c>
      <c r="E799">
        <v>56</v>
      </c>
      <c r="F799" t="s">
        <v>15</v>
      </c>
      <c r="G799">
        <v>1171.5</v>
      </c>
      <c r="H799">
        <v>37</v>
      </c>
      <c r="I799" t="s">
        <v>22</v>
      </c>
      <c r="J799">
        <v>4.9000000000000004</v>
      </c>
      <c r="K799" t="s">
        <v>17</v>
      </c>
      <c r="L799" t="s">
        <v>18</v>
      </c>
      <c r="M799" t="str">
        <f>VLOOKUP(D803,Restaurant_Master!A:B,2,FALSE)</f>
        <v>https://www.chatswoodinterchange.com/storages/2018/08/Sushi-World_666x448.jpg</v>
      </c>
    </row>
    <row r="800" spans="1:13" x14ac:dyDescent="0.3">
      <c r="A800" t="s">
        <v>830</v>
      </c>
      <c r="B800" s="1">
        <v>45550</v>
      </c>
      <c r="C800" t="s">
        <v>20</v>
      </c>
      <c r="D800" t="s">
        <v>21</v>
      </c>
      <c r="E800">
        <v>32</v>
      </c>
      <c r="F800" t="s">
        <v>28</v>
      </c>
      <c r="G800">
        <v>488.76</v>
      </c>
      <c r="H800">
        <v>22</v>
      </c>
      <c r="I800" t="s">
        <v>22</v>
      </c>
      <c r="J800">
        <v>3.8</v>
      </c>
      <c r="K800" t="s">
        <v>29</v>
      </c>
      <c r="L800" t="s">
        <v>18</v>
      </c>
      <c r="M800" t="str">
        <f>VLOOKUP(D804,Restaurant_Master!A:B,2,FALSE)</f>
        <v>https://media-cdn.tripadvisor.com/media/photo-s/1c/c7/97/b6/photo6jpg.jpg</v>
      </c>
    </row>
    <row r="801" spans="1:13" x14ac:dyDescent="0.3">
      <c r="A801" t="s">
        <v>831</v>
      </c>
      <c r="B801" s="1">
        <v>45417</v>
      </c>
      <c r="C801" t="s">
        <v>20</v>
      </c>
      <c r="D801" t="s">
        <v>25</v>
      </c>
      <c r="E801">
        <v>58</v>
      </c>
      <c r="F801" t="s">
        <v>28</v>
      </c>
      <c r="G801">
        <v>669.16</v>
      </c>
      <c r="H801">
        <v>38</v>
      </c>
      <c r="I801" t="s">
        <v>22</v>
      </c>
      <c r="J801">
        <v>4.3</v>
      </c>
      <c r="K801" t="s">
        <v>29</v>
      </c>
      <c r="L801" t="s">
        <v>18</v>
      </c>
      <c r="M801" t="str">
        <f>VLOOKUP(D805,Restaurant_Master!A:B,2,FALSE)</f>
        <v>https://dineout-media-assets.swiggy.com/swiggy/image/upload/fl_lossy,f_auto,q_auto/v1660793737/fdqxvxcxg1wtdwvyv45v.jpg</v>
      </c>
    </row>
    <row r="802" spans="1:13" x14ac:dyDescent="0.3">
      <c r="A802" t="s">
        <v>832</v>
      </c>
      <c r="B802" s="1">
        <v>45530</v>
      </c>
      <c r="C802" t="s">
        <v>34</v>
      </c>
      <c r="D802" t="s">
        <v>14</v>
      </c>
      <c r="E802">
        <v>58</v>
      </c>
      <c r="F802" t="s">
        <v>15</v>
      </c>
      <c r="G802">
        <v>269.88</v>
      </c>
      <c r="H802">
        <v>59</v>
      </c>
      <c r="I802" t="s">
        <v>16</v>
      </c>
      <c r="J802">
        <v>4.4000000000000004</v>
      </c>
      <c r="K802" t="s">
        <v>17</v>
      </c>
      <c r="L802" t="s">
        <v>23</v>
      </c>
      <c r="M802" t="str">
        <f>VLOOKUP(D806,Restaurant_Master!A:B,2,FALSE)</f>
        <v>https://content.jdmagicbox.com/comp/deoria/g6/9999p5568.5568.200119143033.m4g6/catalogue/biryani-house-deoria-ho-deoria-mktc2xph0o.jpg</v>
      </c>
    </row>
    <row r="803" spans="1:13" x14ac:dyDescent="0.3">
      <c r="A803" t="s">
        <v>833</v>
      </c>
      <c r="B803" s="1">
        <v>45549</v>
      </c>
      <c r="C803" t="s">
        <v>43</v>
      </c>
      <c r="D803" t="s">
        <v>38</v>
      </c>
      <c r="E803">
        <v>48</v>
      </c>
      <c r="F803" t="s">
        <v>15</v>
      </c>
      <c r="G803">
        <v>1102.99</v>
      </c>
      <c r="H803">
        <v>42</v>
      </c>
      <c r="I803" t="s">
        <v>16</v>
      </c>
      <c r="J803">
        <v>4.5999999999999996</v>
      </c>
      <c r="K803" t="s">
        <v>29</v>
      </c>
      <c r="L803" t="s">
        <v>23</v>
      </c>
      <c r="M803" t="str">
        <f>VLOOKUP(D807,Restaurant_Master!A:B,2,FALSE)</f>
        <v>https://dineout-media-assets.swiggy.com/swiggy/image/upload/fl_lossy,f_auto,q_auto/v1660793737/fdqxvxcxg1wtdwvyv45v.jpg</v>
      </c>
    </row>
    <row r="804" spans="1:13" x14ac:dyDescent="0.3">
      <c r="A804" t="s">
        <v>834</v>
      </c>
      <c r="B804" s="1">
        <v>45557</v>
      </c>
      <c r="C804" t="s">
        <v>13</v>
      </c>
      <c r="D804" t="s">
        <v>25</v>
      </c>
      <c r="E804">
        <v>34</v>
      </c>
      <c r="F804" t="s">
        <v>28</v>
      </c>
      <c r="G804">
        <v>1021.48</v>
      </c>
      <c r="H804">
        <v>22</v>
      </c>
      <c r="I804" t="s">
        <v>22</v>
      </c>
      <c r="J804">
        <v>5</v>
      </c>
      <c r="K804" t="s">
        <v>26</v>
      </c>
      <c r="L804" t="s">
        <v>23</v>
      </c>
      <c r="M804" t="str">
        <f>VLOOKUP(D808,Restaurant_Master!A:B,2,FALSE)</f>
        <v>https://media-cdn.tripadvisor.com/media/photo-s/1c/c7/97/b6/photo6jpg.jpg</v>
      </c>
    </row>
    <row r="805" spans="1:13" x14ac:dyDescent="0.3">
      <c r="A805" t="s">
        <v>835</v>
      </c>
      <c r="B805" s="1">
        <v>45646</v>
      </c>
      <c r="C805" t="s">
        <v>43</v>
      </c>
      <c r="D805" t="s">
        <v>14</v>
      </c>
      <c r="E805">
        <v>47</v>
      </c>
      <c r="F805" t="s">
        <v>28</v>
      </c>
      <c r="G805">
        <v>154.28</v>
      </c>
      <c r="H805">
        <v>31</v>
      </c>
      <c r="I805" t="s">
        <v>22</v>
      </c>
      <c r="J805">
        <v>4.4000000000000004</v>
      </c>
      <c r="K805" t="s">
        <v>26</v>
      </c>
      <c r="L805" t="s">
        <v>23</v>
      </c>
      <c r="M805" t="str">
        <f>VLOOKUP(D809,Restaurant_Master!A:B,2,FALSE)</f>
        <v>https://content.jdmagicbox.com/comp/deoria/g6/9999p5568.5568.200119143033.m4g6/catalogue/biryani-house-deoria-ho-deoria-mktc2xph0o.jpg</v>
      </c>
    </row>
    <row r="806" spans="1:13" x14ac:dyDescent="0.3">
      <c r="A806" t="s">
        <v>836</v>
      </c>
      <c r="B806" s="1">
        <v>45398</v>
      </c>
      <c r="C806" t="s">
        <v>36</v>
      </c>
      <c r="D806" t="s">
        <v>32</v>
      </c>
      <c r="E806">
        <v>28</v>
      </c>
      <c r="F806" t="s">
        <v>15</v>
      </c>
      <c r="G806">
        <v>972.29</v>
      </c>
      <c r="H806">
        <v>38</v>
      </c>
      <c r="I806" t="s">
        <v>22</v>
      </c>
      <c r="J806">
        <v>3.2</v>
      </c>
      <c r="K806" t="s">
        <v>41</v>
      </c>
      <c r="L806" t="s">
        <v>23</v>
      </c>
      <c r="M806" t="str">
        <f>VLOOKUP(D810,Restaurant_Master!A:B,2,FALSE)</f>
        <v>https://dineout-media-assets.swiggy.com/swiggy/image/upload/fl_lossy,f_auto,q_auto/v1660793737/fdqxvxcxg1wtdwvyv45v.jpg</v>
      </c>
    </row>
    <row r="807" spans="1:13" x14ac:dyDescent="0.3">
      <c r="A807" t="s">
        <v>837</v>
      </c>
      <c r="B807" s="1">
        <v>45520</v>
      </c>
      <c r="C807" t="s">
        <v>20</v>
      </c>
      <c r="D807" t="s">
        <v>14</v>
      </c>
      <c r="E807">
        <v>34</v>
      </c>
      <c r="F807" t="s">
        <v>15</v>
      </c>
      <c r="G807">
        <v>241.71</v>
      </c>
      <c r="H807">
        <v>51</v>
      </c>
      <c r="I807" t="s">
        <v>16</v>
      </c>
      <c r="J807">
        <v>4.7</v>
      </c>
      <c r="K807" t="s">
        <v>29</v>
      </c>
      <c r="L807" t="s">
        <v>23</v>
      </c>
      <c r="M807" t="str">
        <f>VLOOKUP(D811,Restaurant_Master!A:B,2,FALSE)</f>
        <v>https://content.jdmagicbox.com/comp/deoria/g6/9999p5568.5568.200119143033.m4g6/catalogue/biryani-house-deoria-ho-deoria-mktc2xph0o.jpg</v>
      </c>
    </row>
    <row r="808" spans="1:13" x14ac:dyDescent="0.3">
      <c r="A808" t="s">
        <v>838</v>
      </c>
      <c r="B808" s="1">
        <v>45323</v>
      </c>
      <c r="C808" t="s">
        <v>36</v>
      </c>
      <c r="D808" t="s">
        <v>25</v>
      </c>
      <c r="E808">
        <v>56</v>
      </c>
      <c r="F808" t="s">
        <v>15</v>
      </c>
      <c r="G808">
        <v>813.52</v>
      </c>
      <c r="H808">
        <v>41</v>
      </c>
      <c r="I808" t="s">
        <v>16</v>
      </c>
      <c r="J808">
        <v>2.5</v>
      </c>
      <c r="K808" t="s">
        <v>29</v>
      </c>
      <c r="L808" t="s">
        <v>23</v>
      </c>
      <c r="M808" t="str">
        <f>VLOOKUP(D812,Restaurant_Master!A:B,2,FALSE)</f>
        <v>https://dineout-media-assets.swiggy.com/swiggy/image/upload/fl_lossy,f_auto,q_auto/v1660793737/fdqxvxcxg1wtdwvyv45v.jpg</v>
      </c>
    </row>
    <row r="809" spans="1:13" x14ac:dyDescent="0.3">
      <c r="A809" t="s">
        <v>839</v>
      </c>
      <c r="B809" s="1">
        <v>45386</v>
      </c>
      <c r="C809" t="s">
        <v>20</v>
      </c>
      <c r="D809" t="s">
        <v>32</v>
      </c>
      <c r="E809">
        <v>36</v>
      </c>
      <c r="F809" t="s">
        <v>28</v>
      </c>
      <c r="G809">
        <v>1029.1099999999999</v>
      </c>
      <c r="H809">
        <v>48</v>
      </c>
      <c r="I809" t="s">
        <v>16</v>
      </c>
      <c r="J809">
        <v>3</v>
      </c>
      <c r="K809" t="s">
        <v>17</v>
      </c>
      <c r="L809" t="s">
        <v>18</v>
      </c>
      <c r="M809" t="str">
        <f>VLOOKUP(D813,Restaurant_Master!A:B,2,FALSE)</f>
        <v>https://dineout-media-assets.swiggy.com/swiggy/image/upload/fl_lossy,f_auto,q_auto/v1660793737/fdqxvxcxg1wtdwvyv45v.jpg</v>
      </c>
    </row>
    <row r="810" spans="1:13" x14ac:dyDescent="0.3">
      <c r="A810" t="s">
        <v>840</v>
      </c>
      <c r="B810" s="1">
        <v>45294</v>
      </c>
      <c r="C810" t="s">
        <v>34</v>
      </c>
      <c r="D810" t="s">
        <v>14</v>
      </c>
      <c r="E810">
        <v>58</v>
      </c>
      <c r="F810" t="s">
        <v>15</v>
      </c>
      <c r="G810">
        <v>483.45</v>
      </c>
      <c r="H810">
        <v>59</v>
      </c>
      <c r="I810" t="s">
        <v>16</v>
      </c>
      <c r="J810">
        <v>3</v>
      </c>
      <c r="K810" t="s">
        <v>41</v>
      </c>
      <c r="L810" t="s">
        <v>18</v>
      </c>
      <c r="M810" t="str">
        <f>VLOOKUP(D814,Restaurant_Master!A:B,2,FALSE)</f>
        <v>https://content.jdmagicbox.com/comp/deoria/g6/9999p5568.5568.200119143033.m4g6/catalogue/biryani-house-deoria-ho-deoria-mktc2xph0o.jpg</v>
      </c>
    </row>
    <row r="811" spans="1:13" x14ac:dyDescent="0.3">
      <c r="A811" t="s">
        <v>841</v>
      </c>
      <c r="B811" s="1">
        <v>45656</v>
      </c>
      <c r="C811" t="s">
        <v>20</v>
      </c>
      <c r="D811" t="s">
        <v>32</v>
      </c>
      <c r="E811">
        <v>38</v>
      </c>
      <c r="F811" t="s">
        <v>28</v>
      </c>
      <c r="G811">
        <v>1036.3399999999999</v>
      </c>
      <c r="H811">
        <v>27</v>
      </c>
      <c r="I811" t="s">
        <v>22</v>
      </c>
      <c r="J811">
        <v>4.4000000000000004</v>
      </c>
      <c r="K811" t="s">
        <v>17</v>
      </c>
      <c r="L811" t="s">
        <v>18</v>
      </c>
      <c r="M811" t="str">
        <f>VLOOKUP(D815,Restaurant_Master!A:B,2,FALSE)</f>
        <v>https://www.chatswoodinterchange.com/storages/2018/08/Sushi-World_666x448.jpg</v>
      </c>
    </row>
    <row r="812" spans="1:13" x14ac:dyDescent="0.3">
      <c r="A812" t="s">
        <v>842</v>
      </c>
      <c r="B812" s="1">
        <v>45583</v>
      </c>
      <c r="C812" t="s">
        <v>20</v>
      </c>
      <c r="D812" t="s">
        <v>14</v>
      </c>
      <c r="E812">
        <v>18</v>
      </c>
      <c r="F812" t="s">
        <v>15</v>
      </c>
      <c r="G812">
        <v>162.57</v>
      </c>
      <c r="H812">
        <v>48</v>
      </c>
      <c r="I812" t="s">
        <v>16</v>
      </c>
      <c r="J812">
        <v>4.5999999999999996</v>
      </c>
      <c r="K812" t="s">
        <v>26</v>
      </c>
      <c r="L812" t="s">
        <v>23</v>
      </c>
      <c r="M812" t="str">
        <f>VLOOKUP(D816,Restaurant_Master!A:B,2,FALSE)</f>
        <v>https://content.jdmagicbox.com/comp/deoria/g6/9999p5568.5568.200119143033.m4g6/catalogue/biryani-house-deoria-ho-deoria-mktc2xph0o.jpg</v>
      </c>
    </row>
    <row r="813" spans="1:13" x14ac:dyDescent="0.3">
      <c r="A813" t="s">
        <v>843</v>
      </c>
      <c r="B813" s="1">
        <v>45338</v>
      </c>
      <c r="C813" t="s">
        <v>13</v>
      </c>
      <c r="D813" t="s">
        <v>14</v>
      </c>
      <c r="E813">
        <v>30</v>
      </c>
      <c r="F813" t="s">
        <v>15</v>
      </c>
      <c r="G813">
        <v>633.52</v>
      </c>
      <c r="H813">
        <v>58</v>
      </c>
      <c r="I813" t="s">
        <v>16</v>
      </c>
      <c r="J813">
        <v>2.9</v>
      </c>
      <c r="K813" t="s">
        <v>29</v>
      </c>
      <c r="L813" t="s">
        <v>23</v>
      </c>
      <c r="M813" t="str">
        <f>VLOOKUP(D817,Restaurant_Master!A:B,2,FALSE)</f>
        <v>https://media-cdn.tripadvisor.com/media/photo-s/1c/c7/97/b6/photo6jpg.jpg</v>
      </c>
    </row>
    <row r="814" spans="1:13" x14ac:dyDescent="0.3">
      <c r="A814" t="s">
        <v>844</v>
      </c>
      <c r="B814" s="1">
        <v>45350</v>
      </c>
      <c r="C814" t="s">
        <v>13</v>
      </c>
      <c r="D814" t="s">
        <v>32</v>
      </c>
      <c r="E814">
        <v>21</v>
      </c>
      <c r="F814" t="s">
        <v>28</v>
      </c>
      <c r="G814">
        <v>511.42</v>
      </c>
      <c r="H814">
        <v>39</v>
      </c>
      <c r="I814" t="s">
        <v>22</v>
      </c>
      <c r="J814">
        <v>3.9</v>
      </c>
      <c r="K814" t="s">
        <v>29</v>
      </c>
      <c r="L814" t="s">
        <v>23</v>
      </c>
      <c r="M814" t="str">
        <f>VLOOKUP(D818,Restaurant_Master!A:B,2,FALSE)</f>
        <v>https://media-cdn.tripadvisor.com/media/photo-s/1c/c7/97/b6/photo6jpg.jpg</v>
      </c>
    </row>
    <row r="815" spans="1:13" x14ac:dyDescent="0.3">
      <c r="A815" t="s">
        <v>845</v>
      </c>
      <c r="B815" s="1">
        <v>45558</v>
      </c>
      <c r="C815" t="s">
        <v>13</v>
      </c>
      <c r="D815" t="s">
        <v>38</v>
      </c>
      <c r="E815">
        <v>45</v>
      </c>
      <c r="F815" t="s">
        <v>28</v>
      </c>
      <c r="G815">
        <v>903.95</v>
      </c>
      <c r="H815">
        <v>60</v>
      </c>
      <c r="I815" t="s">
        <v>16</v>
      </c>
      <c r="J815">
        <v>2.9</v>
      </c>
      <c r="K815" t="s">
        <v>17</v>
      </c>
      <c r="L815" t="s">
        <v>18</v>
      </c>
      <c r="M815" t="str">
        <f>VLOOKUP(D819,Restaurant_Master!A:B,2,FALSE)</f>
        <v>https://dynamic-media-cdn.tripadvisor.com/media/photo-o/1c/e7/04/0d/front-of-the-local-easily.jpg</v>
      </c>
    </row>
    <row r="816" spans="1:13" x14ac:dyDescent="0.3">
      <c r="A816" t="s">
        <v>846</v>
      </c>
      <c r="B816" s="1">
        <v>45408</v>
      </c>
      <c r="C816" t="s">
        <v>13</v>
      </c>
      <c r="D816" t="s">
        <v>32</v>
      </c>
      <c r="E816">
        <v>24</v>
      </c>
      <c r="F816" t="s">
        <v>28</v>
      </c>
      <c r="G816">
        <v>1116.1199999999999</v>
      </c>
      <c r="H816">
        <v>22</v>
      </c>
      <c r="I816" t="s">
        <v>22</v>
      </c>
      <c r="J816">
        <v>4.5</v>
      </c>
      <c r="K816" t="s">
        <v>29</v>
      </c>
      <c r="L816" t="s">
        <v>23</v>
      </c>
      <c r="M816" t="str">
        <f>VLOOKUP(D820,Restaurant_Master!A:B,2,FALSE)</f>
        <v>https://content.jdmagicbox.com/comp/deoria/g6/9999p5568.5568.200119143033.m4g6/catalogue/biryani-house-deoria-ho-deoria-mktc2xph0o.jpg</v>
      </c>
    </row>
    <row r="817" spans="1:13" x14ac:dyDescent="0.3">
      <c r="A817" t="s">
        <v>847</v>
      </c>
      <c r="B817" s="1">
        <v>45343</v>
      </c>
      <c r="C817" t="s">
        <v>20</v>
      </c>
      <c r="D817" t="s">
        <v>25</v>
      </c>
      <c r="E817">
        <v>31</v>
      </c>
      <c r="F817" t="s">
        <v>28</v>
      </c>
      <c r="G817">
        <v>667.94</v>
      </c>
      <c r="H817">
        <v>31</v>
      </c>
      <c r="I817" t="s">
        <v>22</v>
      </c>
      <c r="J817">
        <v>3.9</v>
      </c>
      <c r="K817" t="s">
        <v>17</v>
      </c>
      <c r="L817" t="s">
        <v>23</v>
      </c>
      <c r="M817" t="str">
        <f>VLOOKUP(D821,Restaurant_Master!A:B,2,FALSE)</f>
        <v>https://content.jdmagicbox.com/comp/deoria/g6/9999p5568.5568.200119143033.m4g6/catalogue/biryani-house-deoria-ho-deoria-mktc2xph0o.jpg</v>
      </c>
    </row>
    <row r="818" spans="1:13" x14ac:dyDescent="0.3">
      <c r="A818" t="s">
        <v>848</v>
      </c>
      <c r="B818" s="1">
        <v>45543</v>
      </c>
      <c r="C818" t="s">
        <v>43</v>
      </c>
      <c r="D818" t="s">
        <v>25</v>
      </c>
      <c r="E818">
        <v>46</v>
      </c>
      <c r="F818" t="s">
        <v>15</v>
      </c>
      <c r="G818">
        <v>1111.73</v>
      </c>
      <c r="H818">
        <v>23</v>
      </c>
      <c r="I818" t="s">
        <v>22</v>
      </c>
      <c r="J818">
        <v>2.8</v>
      </c>
      <c r="K818" t="s">
        <v>41</v>
      </c>
      <c r="L818" t="s">
        <v>23</v>
      </c>
      <c r="M818" t="str">
        <f>VLOOKUP(D822,Restaurant_Master!A:B,2,FALSE)</f>
        <v>https://dineout-media-assets.swiggy.com/swiggy/image/upload/fl_lossy,f_auto,q_auto/v1660793737/fdqxvxcxg1wtdwvyv45v.jpg</v>
      </c>
    </row>
    <row r="819" spans="1:13" x14ac:dyDescent="0.3">
      <c r="A819" t="s">
        <v>849</v>
      </c>
      <c r="B819" s="1">
        <v>45305</v>
      </c>
      <c r="C819" t="s">
        <v>34</v>
      </c>
      <c r="D819" t="s">
        <v>21</v>
      </c>
      <c r="E819">
        <v>57</v>
      </c>
      <c r="F819" t="s">
        <v>15</v>
      </c>
      <c r="G819">
        <v>1141.78</v>
      </c>
      <c r="H819">
        <v>48</v>
      </c>
      <c r="I819" t="s">
        <v>16</v>
      </c>
      <c r="J819">
        <v>3.6</v>
      </c>
      <c r="K819" t="s">
        <v>29</v>
      </c>
      <c r="L819" t="s">
        <v>18</v>
      </c>
      <c r="M819" t="str">
        <f>VLOOKUP(D823,Restaurant_Master!A:B,2,FALSE)</f>
        <v>https://content.jdmagicbox.com/comp/deoria/g6/9999p5568.5568.200119143033.m4g6/catalogue/biryani-house-deoria-ho-deoria-mktc2xph0o.jpg</v>
      </c>
    </row>
    <row r="820" spans="1:13" x14ac:dyDescent="0.3">
      <c r="A820" t="s">
        <v>850</v>
      </c>
      <c r="B820" s="1">
        <v>45444</v>
      </c>
      <c r="C820" t="s">
        <v>34</v>
      </c>
      <c r="D820" t="s">
        <v>32</v>
      </c>
      <c r="E820">
        <v>48</v>
      </c>
      <c r="F820" t="s">
        <v>28</v>
      </c>
      <c r="G820">
        <v>280.02</v>
      </c>
      <c r="H820">
        <v>22</v>
      </c>
      <c r="I820" t="s">
        <v>22</v>
      </c>
      <c r="J820">
        <v>4.5</v>
      </c>
      <c r="K820" t="s">
        <v>26</v>
      </c>
      <c r="L820" t="s">
        <v>23</v>
      </c>
      <c r="M820" t="str">
        <f>VLOOKUP(D824,Restaurant_Master!A:B,2,FALSE)</f>
        <v>https://content.jdmagicbox.com/comp/deoria/g6/9999p5568.5568.200119143033.m4g6/catalogue/biryani-house-deoria-ho-deoria-mktc2xph0o.jpg</v>
      </c>
    </row>
    <row r="821" spans="1:13" x14ac:dyDescent="0.3">
      <c r="A821" t="s">
        <v>851</v>
      </c>
      <c r="B821" s="1">
        <v>45512</v>
      </c>
      <c r="C821" t="s">
        <v>20</v>
      </c>
      <c r="D821" t="s">
        <v>32</v>
      </c>
      <c r="E821">
        <v>18</v>
      </c>
      <c r="F821" t="s">
        <v>15</v>
      </c>
      <c r="G821">
        <v>782.81</v>
      </c>
      <c r="H821">
        <v>56</v>
      </c>
      <c r="I821" t="s">
        <v>16</v>
      </c>
      <c r="J821">
        <v>3.2</v>
      </c>
      <c r="K821" t="s">
        <v>17</v>
      </c>
      <c r="L821" t="s">
        <v>23</v>
      </c>
      <c r="M821" t="str">
        <f>VLOOKUP(D825,Restaurant_Master!A:B,2,FALSE)</f>
        <v>https://www.chatswoodinterchange.com/storages/2018/08/Sushi-World_666x448.jpg</v>
      </c>
    </row>
    <row r="822" spans="1:13" x14ac:dyDescent="0.3">
      <c r="A822" t="s">
        <v>852</v>
      </c>
      <c r="B822" s="1">
        <v>45306</v>
      </c>
      <c r="C822" t="s">
        <v>43</v>
      </c>
      <c r="D822" t="s">
        <v>14</v>
      </c>
      <c r="E822">
        <v>30</v>
      </c>
      <c r="F822" t="s">
        <v>28</v>
      </c>
      <c r="G822">
        <v>860.54</v>
      </c>
      <c r="H822">
        <v>36</v>
      </c>
      <c r="I822" t="s">
        <v>22</v>
      </c>
      <c r="J822">
        <v>3.3</v>
      </c>
      <c r="K822" t="s">
        <v>41</v>
      </c>
      <c r="L822" t="s">
        <v>23</v>
      </c>
      <c r="M822" t="str">
        <f>VLOOKUP(D826,Restaurant_Master!A:B,2,FALSE)</f>
        <v>https://content.jdmagicbox.com/comp/deoria/g6/9999p5568.5568.200119143033.m4g6/catalogue/biryani-house-deoria-ho-deoria-mktc2xph0o.jpg</v>
      </c>
    </row>
    <row r="823" spans="1:13" x14ac:dyDescent="0.3">
      <c r="A823" t="s">
        <v>853</v>
      </c>
      <c r="B823" s="1">
        <v>45547</v>
      </c>
      <c r="C823" t="s">
        <v>20</v>
      </c>
      <c r="D823" t="s">
        <v>32</v>
      </c>
      <c r="E823">
        <v>27</v>
      </c>
      <c r="F823" t="s">
        <v>28</v>
      </c>
      <c r="G823">
        <v>231.69</v>
      </c>
      <c r="H823">
        <v>23</v>
      </c>
      <c r="I823" t="s">
        <v>22</v>
      </c>
      <c r="J823">
        <v>4.4000000000000004</v>
      </c>
      <c r="K823" t="s">
        <v>26</v>
      </c>
      <c r="L823" t="s">
        <v>18</v>
      </c>
      <c r="M823" t="str">
        <f>VLOOKUP(D827,Restaurant_Master!A:B,2,FALSE)</f>
        <v>https://dineout-media-assets.swiggy.com/swiggy/image/upload/fl_lossy,f_auto,q_auto/v1660793737/fdqxvxcxg1wtdwvyv45v.jpg</v>
      </c>
    </row>
    <row r="824" spans="1:13" x14ac:dyDescent="0.3">
      <c r="A824" t="s">
        <v>854</v>
      </c>
      <c r="B824" s="1">
        <v>45404</v>
      </c>
      <c r="C824" t="s">
        <v>13</v>
      </c>
      <c r="D824" t="s">
        <v>32</v>
      </c>
      <c r="E824">
        <v>25</v>
      </c>
      <c r="F824" t="s">
        <v>28</v>
      </c>
      <c r="G824">
        <v>992.46</v>
      </c>
      <c r="H824">
        <v>40</v>
      </c>
      <c r="I824" t="s">
        <v>22</v>
      </c>
      <c r="J824">
        <v>3.6</v>
      </c>
      <c r="K824" t="s">
        <v>26</v>
      </c>
      <c r="L824" t="s">
        <v>23</v>
      </c>
      <c r="M824" t="str">
        <f>VLOOKUP(D828,Restaurant_Master!A:B,2,FALSE)</f>
        <v>https://media-cdn.tripadvisor.com/media/photo-s/1c/c7/97/b6/photo6jpg.jpg</v>
      </c>
    </row>
    <row r="825" spans="1:13" x14ac:dyDescent="0.3">
      <c r="A825" t="s">
        <v>855</v>
      </c>
      <c r="B825" s="1">
        <v>45654</v>
      </c>
      <c r="C825" t="s">
        <v>43</v>
      </c>
      <c r="D825" t="s">
        <v>38</v>
      </c>
      <c r="E825">
        <v>40</v>
      </c>
      <c r="F825" t="s">
        <v>15</v>
      </c>
      <c r="G825">
        <v>680.83</v>
      </c>
      <c r="H825">
        <v>54</v>
      </c>
      <c r="I825" t="s">
        <v>16</v>
      </c>
      <c r="J825">
        <v>5</v>
      </c>
      <c r="K825" t="s">
        <v>26</v>
      </c>
      <c r="L825" t="s">
        <v>23</v>
      </c>
      <c r="M825" t="str">
        <f>VLOOKUP(D829,Restaurant_Master!A:B,2,FALSE)</f>
        <v>https://www.chatswoodinterchange.com/storages/2018/08/Sushi-World_666x448.jpg</v>
      </c>
    </row>
    <row r="826" spans="1:13" x14ac:dyDescent="0.3">
      <c r="A826" t="s">
        <v>856</v>
      </c>
      <c r="B826" s="1">
        <v>45485</v>
      </c>
      <c r="C826" t="s">
        <v>43</v>
      </c>
      <c r="D826" t="s">
        <v>32</v>
      </c>
      <c r="E826">
        <v>41</v>
      </c>
      <c r="F826" t="s">
        <v>28</v>
      </c>
      <c r="G826">
        <v>884.56</v>
      </c>
      <c r="H826">
        <v>48</v>
      </c>
      <c r="I826" t="s">
        <v>16</v>
      </c>
      <c r="J826">
        <v>2.7</v>
      </c>
      <c r="K826" t="s">
        <v>17</v>
      </c>
      <c r="L826" t="s">
        <v>23</v>
      </c>
      <c r="M826" t="str">
        <f>VLOOKUP(D830,Restaurant_Master!A:B,2,FALSE)</f>
        <v>https://dineout-media-assets.swiggy.com/swiggy/image/upload/fl_lossy,f_auto,q_auto/v1660793737/fdqxvxcxg1wtdwvyv45v.jpg</v>
      </c>
    </row>
    <row r="827" spans="1:13" x14ac:dyDescent="0.3">
      <c r="A827" t="s">
        <v>857</v>
      </c>
      <c r="B827" s="1">
        <v>45653</v>
      </c>
      <c r="C827" t="s">
        <v>34</v>
      </c>
      <c r="D827" t="s">
        <v>14</v>
      </c>
      <c r="E827">
        <v>59</v>
      </c>
      <c r="F827" t="s">
        <v>15</v>
      </c>
      <c r="G827">
        <v>1014.87</v>
      </c>
      <c r="H827">
        <v>24</v>
      </c>
      <c r="I827" t="s">
        <v>22</v>
      </c>
      <c r="J827">
        <v>3.2</v>
      </c>
      <c r="K827" t="s">
        <v>26</v>
      </c>
      <c r="L827" t="s">
        <v>18</v>
      </c>
      <c r="M827" t="str">
        <f>VLOOKUP(D831,Restaurant_Master!A:B,2,FALSE)</f>
        <v>https://dynamic-media-cdn.tripadvisor.com/media/photo-o/1c/e7/04/0d/front-of-the-local-easily.jpg</v>
      </c>
    </row>
    <row r="828" spans="1:13" x14ac:dyDescent="0.3">
      <c r="A828" t="s">
        <v>858</v>
      </c>
      <c r="B828" s="1">
        <v>45410</v>
      </c>
      <c r="C828" t="s">
        <v>43</v>
      </c>
      <c r="D828" t="s">
        <v>25</v>
      </c>
      <c r="E828">
        <v>42</v>
      </c>
      <c r="F828" t="s">
        <v>15</v>
      </c>
      <c r="G828">
        <v>755.98</v>
      </c>
      <c r="H828">
        <v>49</v>
      </c>
      <c r="I828" t="s">
        <v>16</v>
      </c>
      <c r="J828">
        <v>2.8</v>
      </c>
      <c r="K828" t="s">
        <v>41</v>
      </c>
      <c r="L828" t="s">
        <v>18</v>
      </c>
      <c r="M828" t="str">
        <f>VLOOKUP(D832,Restaurant_Master!A:B,2,FALSE)</f>
        <v>https://dynamic-media-cdn.tripadvisor.com/media/photo-o/1c/e7/04/0d/front-of-the-local-easily.jpg</v>
      </c>
    </row>
    <row r="829" spans="1:13" x14ac:dyDescent="0.3">
      <c r="A829" t="s">
        <v>859</v>
      </c>
      <c r="B829" s="1">
        <v>45508</v>
      </c>
      <c r="C829" t="s">
        <v>20</v>
      </c>
      <c r="D829" t="s">
        <v>38</v>
      </c>
      <c r="E829">
        <v>51</v>
      </c>
      <c r="F829" t="s">
        <v>15</v>
      </c>
      <c r="G829">
        <v>974.1</v>
      </c>
      <c r="H829">
        <v>27</v>
      </c>
      <c r="I829" t="s">
        <v>22</v>
      </c>
      <c r="J829">
        <v>4.8</v>
      </c>
      <c r="K829" t="s">
        <v>17</v>
      </c>
      <c r="L829" t="s">
        <v>23</v>
      </c>
      <c r="M829" t="str">
        <f>VLOOKUP(D833,Restaurant_Master!A:B,2,FALSE)</f>
        <v>https://media-cdn.tripadvisor.com/media/photo-s/1c/c7/97/b6/photo6jpg.jpg</v>
      </c>
    </row>
    <row r="830" spans="1:13" x14ac:dyDescent="0.3">
      <c r="A830" t="s">
        <v>860</v>
      </c>
      <c r="B830" s="1">
        <v>45301</v>
      </c>
      <c r="C830" t="s">
        <v>13</v>
      </c>
      <c r="D830" t="s">
        <v>14</v>
      </c>
      <c r="E830">
        <v>21</v>
      </c>
      <c r="F830" t="s">
        <v>28</v>
      </c>
      <c r="G830">
        <v>877.12</v>
      </c>
      <c r="H830">
        <v>60</v>
      </c>
      <c r="I830" t="s">
        <v>16</v>
      </c>
      <c r="J830">
        <v>3.9</v>
      </c>
      <c r="K830" t="s">
        <v>41</v>
      </c>
      <c r="L830" t="s">
        <v>18</v>
      </c>
      <c r="M830" t="str">
        <f>VLOOKUP(D834,Restaurant_Master!A:B,2,FALSE)</f>
        <v>https://dineout-media-assets.swiggy.com/swiggy/image/upload/fl_lossy,f_auto,q_auto/v1660793737/fdqxvxcxg1wtdwvyv45v.jpg</v>
      </c>
    </row>
    <row r="831" spans="1:13" x14ac:dyDescent="0.3">
      <c r="A831" t="s">
        <v>861</v>
      </c>
      <c r="B831" s="1">
        <v>45293</v>
      </c>
      <c r="C831" t="s">
        <v>20</v>
      </c>
      <c r="D831" t="s">
        <v>21</v>
      </c>
      <c r="E831">
        <v>53</v>
      </c>
      <c r="F831" t="s">
        <v>15</v>
      </c>
      <c r="G831">
        <v>197.66</v>
      </c>
      <c r="H831">
        <v>49</v>
      </c>
      <c r="I831" t="s">
        <v>16</v>
      </c>
      <c r="J831">
        <v>4.3</v>
      </c>
      <c r="K831" t="s">
        <v>29</v>
      </c>
      <c r="L831" t="s">
        <v>18</v>
      </c>
      <c r="M831" t="str">
        <f>VLOOKUP(D835,Restaurant_Master!A:B,2,FALSE)</f>
        <v>https://www.chatswoodinterchange.com/storages/2018/08/Sushi-World_666x448.jpg</v>
      </c>
    </row>
    <row r="832" spans="1:13" x14ac:dyDescent="0.3">
      <c r="A832" t="s">
        <v>862</v>
      </c>
      <c r="B832" s="1">
        <v>45439</v>
      </c>
      <c r="C832" t="s">
        <v>43</v>
      </c>
      <c r="D832" t="s">
        <v>21</v>
      </c>
      <c r="E832">
        <v>56</v>
      </c>
      <c r="F832" t="s">
        <v>15</v>
      </c>
      <c r="G832">
        <v>1022.45</v>
      </c>
      <c r="H832">
        <v>24</v>
      </c>
      <c r="I832" t="s">
        <v>22</v>
      </c>
      <c r="J832">
        <v>3.5</v>
      </c>
      <c r="K832" t="s">
        <v>26</v>
      </c>
      <c r="L832" t="s">
        <v>18</v>
      </c>
      <c r="M832" t="str">
        <f>VLOOKUP(D836,Restaurant_Master!A:B,2,FALSE)</f>
        <v>https://dineout-media-assets.swiggy.com/swiggy/image/upload/fl_lossy,f_auto,q_auto/v1660793737/fdqxvxcxg1wtdwvyv45v.jpg</v>
      </c>
    </row>
    <row r="833" spans="1:13" x14ac:dyDescent="0.3">
      <c r="A833" t="s">
        <v>863</v>
      </c>
      <c r="B833" s="1">
        <v>45648</v>
      </c>
      <c r="C833" t="s">
        <v>36</v>
      </c>
      <c r="D833" t="s">
        <v>25</v>
      </c>
      <c r="E833">
        <v>43</v>
      </c>
      <c r="F833" t="s">
        <v>15</v>
      </c>
      <c r="G833">
        <v>724.34</v>
      </c>
      <c r="H833">
        <v>20</v>
      </c>
      <c r="I833" t="s">
        <v>22</v>
      </c>
      <c r="J833">
        <v>4.5999999999999996</v>
      </c>
      <c r="K833" t="s">
        <v>41</v>
      </c>
      <c r="L833" t="s">
        <v>18</v>
      </c>
      <c r="M833" t="str">
        <f>VLOOKUP(D837,Restaurant_Master!A:B,2,FALSE)</f>
        <v>https://media-cdn.tripadvisor.com/media/photo-s/1c/c7/97/b6/photo6jpg.jpg</v>
      </c>
    </row>
    <row r="834" spans="1:13" x14ac:dyDescent="0.3">
      <c r="A834" t="s">
        <v>864</v>
      </c>
      <c r="B834" s="1">
        <v>45536</v>
      </c>
      <c r="C834" t="s">
        <v>34</v>
      </c>
      <c r="D834" t="s">
        <v>14</v>
      </c>
      <c r="E834">
        <v>59</v>
      </c>
      <c r="F834" t="s">
        <v>15</v>
      </c>
      <c r="G834">
        <v>935.74</v>
      </c>
      <c r="H834">
        <v>48</v>
      </c>
      <c r="I834" t="s">
        <v>16</v>
      </c>
      <c r="J834">
        <v>3.6</v>
      </c>
      <c r="K834" t="s">
        <v>41</v>
      </c>
      <c r="L834" t="s">
        <v>18</v>
      </c>
      <c r="M834" t="str">
        <f>VLOOKUP(D838,Restaurant_Master!A:B,2,FALSE)</f>
        <v>https://content.jdmagicbox.com/comp/deoria/g6/9999p5568.5568.200119143033.m4g6/catalogue/biryani-house-deoria-ho-deoria-mktc2xph0o.jpg</v>
      </c>
    </row>
    <row r="835" spans="1:13" x14ac:dyDescent="0.3">
      <c r="A835" t="s">
        <v>865</v>
      </c>
      <c r="B835" s="1">
        <v>45550</v>
      </c>
      <c r="C835" t="s">
        <v>20</v>
      </c>
      <c r="D835" t="s">
        <v>38</v>
      </c>
      <c r="E835">
        <v>53</v>
      </c>
      <c r="F835" t="s">
        <v>15</v>
      </c>
      <c r="G835">
        <v>828.2</v>
      </c>
      <c r="H835">
        <v>57</v>
      </c>
      <c r="I835" t="s">
        <v>16</v>
      </c>
      <c r="J835">
        <v>3.3</v>
      </c>
      <c r="K835" t="s">
        <v>41</v>
      </c>
      <c r="L835" t="s">
        <v>18</v>
      </c>
      <c r="M835" t="str">
        <f>VLOOKUP(D839,Restaurant_Master!A:B,2,FALSE)</f>
        <v>https://content.jdmagicbox.com/comp/deoria/g6/9999p5568.5568.200119143033.m4g6/catalogue/biryani-house-deoria-ho-deoria-mktc2xph0o.jpg</v>
      </c>
    </row>
    <row r="836" spans="1:13" x14ac:dyDescent="0.3">
      <c r="A836" t="s">
        <v>866</v>
      </c>
      <c r="B836" s="1">
        <v>45513</v>
      </c>
      <c r="C836" t="s">
        <v>43</v>
      </c>
      <c r="D836" t="s">
        <v>14</v>
      </c>
      <c r="E836">
        <v>35</v>
      </c>
      <c r="F836" t="s">
        <v>28</v>
      </c>
      <c r="G836">
        <v>294.82</v>
      </c>
      <c r="H836">
        <v>22</v>
      </c>
      <c r="I836" t="s">
        <v>22</v>
      </c>
      <c r="J836">
        <v>2.7</v>
      </c>
      <c r="K836" t="s">
        <v>17</v>
      </c>
      <c r="L836" t="s">
        <v>23</v>
      </c>
      <c r="M836" t="str">
        <f>VLOOKUP(D840,Restaurant_Master!A:B,2,FALSE)</f>
        <v>https://media-cdn.tripadvisor.com/media/photo-s/1c/c7/97/b6/photo6jpg.jpg</v>
      </c>
    </row>
    <row r="837" spans="1:13" x14ac:dyDescent="0.3">
      <c r="A837" t="s">
        <v>867</v>
      </c>
      <c r="B837" s="1">
        <v>45585</v>
      </c>
      <c r="C837" t="s">
        <v>43</v>
      </c>
      <c r="D837" t="s">
        <v>25</v>
      </c>
      <c r="E837">
        <v>29</v>
      </c>
      <c r="F837" t="s">
        <v>28</v>
      </c>
      <c r="G837">
        <v>701.83</v>
      </c>
      <c r="H837">
        <v>40</v>
      </c>
      <c r="I837" t="s">
        <v>22</v>
      </c>
      <c r="J837">
        <v>2.5</v>
      </c>
      <c r="K837" t="s">
        <v>29</v>
      </c>
      <c r="L837" t="s">
        <v>23</v>
      </c>
      <c r="M837" t="str">
        <f>VLOOKUP(D841,Restaurant_Master!A:B,2,FALSE)</f>
        <v>https://media-cdn.tripadvisor.com/media/photo-s/1c/c7/97/b6/photo6jpg.jpg</v>
      </c>
    </row>
    <row r="838" spans="1:13" x14ac:dyDescent="0.3">
      <c r="A838" t="s">
        <v>868</v>
      </c>
      <c r="B838" s="1">
        <v>45449</v>
      </c>
      <c r="C838" t="s">
        <v>36</v>
      </c>
      <c r="D838" t="s">
        <v>32</v>
      </c>
      <c r="E838">
        <v>33</v>
      </c>
      <c r="F838" t="s">
        <v>28</v>
      </c>
      <c r="G838">
        <v>233.61</v>
      </c>
      <c r="H838">
        <v>36</v>
      </c>
      <c r="I838" t="s">
        <v>22</v>
      </c>
      <c r="J838">
        <v>2.5</v>
      </c>
      <c r="K838" t="s">
        <v>29</v>
      </c>
      <c r="L838" t="s">
        <v>23</v>
      </c>
      <c r="M838" t="str">
        <f>VLOOKUP(D842,Restaurant_Master!A:B,2,FALSE)</f>
        <v>https://dynamic-media-cdn.tripadvisor.com/media/photo-o/1c/e7/04/0d/front-of-the-local-easily.jpg</v>
      </c>
    </row>
    <row r="839" spans="1:13" x14ac:dyDescent="0.3">
      <c r="A839" t="s">
        <v>869</v>
      </c>
      <c r="B839" s="1">
        <v>45376</v>
      </c>
      <c r="C839" t="s">
        <v>20</v>
      </c>
      <c r="D839" t="s">
        <v>32</v>
      </c>
      <c r="E839">
        <v>41</v>
      </c>
      <c r="F839" t="s">
        <v>28</v>
      </c>
      <c r="G839">
        <v>167.81</v>
      </c>
      <c r="H839">
        <v>45</v>
      </c>
      <c r="I839" t="s">
        <v>16</v>
      </c>
      <c r="J839">
        <v>4.8</v>
      </c>
      <c r="K839" t="s">
        <v>41</v>
      </c>
      <c r="L839" t="s">
        <v>18</v>
      </c>
      <c r="M839" t="str">
        <f>VLOOKUP(D843,Restaurant_Master!A:B,2,FALSE)</f>
        <v>https://media-cdn.tripadvisor.com/media/photo-s/1c/c7/97/b6/photo6jpg.jpg</v>
      </c>
    </row>
    <row r="840" spans="1:13" x14ac:dyDescent="0.3">
      <c r="A840" t="s">
        <v>870</v>
      </c>
      <c r="B840" s="1">
        <v>45387</v>
      </c>
      <c r="C840" t="s">
        <v>36</v>
      </c>
      <c r="D840" t="s">
        <v>25</v>
      </c>
      <c r="E840">
        <v>24</v>
      </c>
      <c r="F840" t="s">
        <v>15</v>
      </c>
      <c r="G840">
        <v>398.6</v>
      </c>
      <c r="H840">
        <v>46</v>
      </c>
      <c r="I840" t="s">
        <v>16</v>
      </c>
      <c r="J840">
        <v>4.8</v>
      </c>
      <c r="K840" t="s">
        <v>17</v>
      </c>
      <c r="L840" t="s">
        <v>23</v>
      </c>
      <c r="M840" t="str">
        <f>VLOOKUP(D844,Restaurant_Master!A:B,2,FALSE)</f>
        <v>https://dynamic-media-cdn.tripadvisor.com/media/photo-o/1c/e7/04/0d/front-of-the-local-easily.jpg</v>
      </c>
    </row>
    <row r="841" spans="1:13" x14ac:dyDescent="0.3">
      <c r="A841" t="s">
        <v>871</v>
      </c>
      <c r="B841" s="1">
        <v>45608</v>
      </c>
      <c r="C841" t="s">
        <v>43</v>
      </c>
      <c r="D841" t="s">
        <v>25</v>
      </c>
      <c r="E841">
        <v>58</v>
      </c>
      <c r="F841" t="s">
        <v>28</v>
      </c>
      <c r="G841">
        <v>669.01</v>
      </c>
      <c r="H841">
        <v>33</v>
      </c>
      <c r="I841" t="s">
        <v>22</v>
      </c>
      <c r="J841">
        <v>3.5</v>
      </c>
      <c r="K841" t="s">
        <v>26</v>
      </c>
      <c r="L841" t="s">
        <v>23</v>
      </c>
      <c r="M841" t="str">
        <f>VLOOKUP(D845,Restaurant_Master!A:B,2,FALSE)</f>
        <v>https://media-cdn.tripadvisor.com/media/photo-s/1c/c7/97/b6/photo6jpg.jpg</v>
      </c>
    </row>
    <row r="842" spans="1:13" x14ac:dyDescent="0.3">
      <c r="A842" t="s">
        <v>872</v>
      </c>
      <c r="B842" s="1">
        <v>45579</v>
      </c>
      <c r="C842" t="s">
        <v>34</v>
      </c>
      <c r="D842" t="s">
        <v>21</v>
      </c>
      <c r="E842">
        <v>23</v>
      </c>
      <c r="F842" t="s">
        <v>15</v>
      </c>
      <c r="G842">
        <v>1081.22</v>
      </c>
      <c r="H842">
        <v>28</v>
      </c>
      <c r="I842" t="s">
        <v>22</v>
      </c>
      <c r="J842">
        <v>2.9</v>
      </c>
      <c r="K842" t="s">
        <v>41</v>
      </c>
      <c r="L842" t="s">
        <v>23</v>
      </c>
      <c r="M842" t="str">
        <f>VLOOKUP(D846,Restaurant_Master!A:B,2,FALSE)</f>
        <v>https://dineout-media-assets.swiggy.com/swiggy/image/upload/fl_lossy,f_auto,q_auto/v1660793737/fdqxvxcxg1wtdwvyv45v.jpg</v>
      </c>
    </row>
    <row r="843" spans="1:13" x14ac:dyDescent="0.3">
      <c r="A843" t="s">
        <v>873</v>
      </c>
      <c r="B843" s="1">
        <v>45439</v>
      </c>
      <c r="C843" t="s">
        <v>13</v>
      </c>
      <c r="D843" t="s">
        <v>25</v>
      </c>
      <c r="E843">
        <v>28</v>
      </c>
      <c r="F843" t="s">
        <v>28</v>
      </c>
      <c r="G843">
        <v>594.32000000000005</v>
      </c>
      <c r="H843">
        <v>34</v>
      </c>
      <c r="I843" t="s">
        <v>22</v>
      </c>
      <c r="J843">
        <v>4.8</v>
      </c>
      <c r="K843" t="s">
        <v>29</v>
      </c>
      <c r="L843" t="s">
        <v>18</v>
      </c>
      <c r="M843" t="str">
        <f>VLOOKUP(D847,Restaurant_Master!A:B,2,FALSE)</f>
        <v>https://dynamic-media-cdn.tripadvisor.com/media/photo-o/1c/e7/04/0d/front-of-the-local-easily.jpg</v>
      </c>
    </row>
    <row r="844" spans="1:13" x14ac:dyDescent="0.3">
      <c r="A844" t="s">
        <v>874</v>
      </c>
      <c r="B844" s="1">
        <v>45400</v>
      </c>
      <c r="C844" t="s">
        <v>34</v>
      </c>
      <c r="D844" t="s">
        <v>21</v>
      </c>
      <c r="E844">
        <v>53</v>
      </c>
      <c r="F844" t="s">
        <v>28</v>
      </c>
      <c r="G844">
        <v>1141.58</v>
      </c>
      <c r="H844">
        <v>32</v>
      </c>
      <c r="I844" t="s">
        <v>22</v>
      </c>
      <c r="J844">
        <v>3</v>
      </c>
      <c r="K844" t="s">
        <v>17</v>
      </c>
      <c r="L844" t="s">
        <v>23</v>
      </c>
      <c r="M844" t="str">
        <f>VLOOKUP(D848,Restaurant_Master!A:B,2,FALSE)</f>
        <v>https://www.chatswoodinterchange.com/storages/2018/08/Sushi-World_666x448.jpg</v>
      </c>
    </row>
    <row r="845" spans="1:13" x14ac:dyDescent="0.3">
      <c r="A845" t="s">
        <v>875</v>
      </c>
      <c r="B845" s="1">
        <v>45499</v>
      </c>
      <c r="C845" t="s">
        <v>34</v>
      </c>
      <c r="D845" t="s">
        <v>25</v>
      </c>
      <c r="E845">
        <v>60</v>
      </c>
      <c r="F845" t="s">
        <v>15</v>
      </c>
      <c r="G845">
        <v>178.2</v>
      </c>
      <c r="H845">
        <v>48</v>
      </c>
      <c r="I845" t="s">
        <v>16</v>
      </c>
      <c r="J845">
        <v>4.8</v>
      </c>
      <c r="K845" t="s">
        <v>17</v>
      </c>
      <c r="L845" t="s">
        <v>18</v>
      </c>
      <c r="M845" t="str">
        <f>VLOOKUP(D849,Restaurant_Master!A:B,2,FALSE)</f>
        <v>https://www.chatswoodinterchange.com/storages/2018/08/Sushi-World_666x448.jpg</v>
      </c>
    </row>
    <row r="846" spans="1:13" x14ac:dyDescent="0.3">
      <c r="A846" t="s">
        <v>876</v>
      </c>
      <c r="B846" s="1">
        <v>45477</v>
      </c>
      <c r="C846" t="s">
        <v>13</v>
      </c>
      <c r="D846" t="s">
        <v>14</v>
      </c>
      <c r="E846">
        <v>22</v>
      </c>
      <c r="F846" t="s">
        <v>28</v>
      </c>
      <c r="G846">
        <v>807.86</v>
      </c>
      <c r="H846">
        <v>39</v>
      </c>
      <c r="I846" t="s">
        <v>22</v>
      </c>
      <c r="J846">
        <v>3.4</v>
      </c>
      <c r="K846" t="s">
        <v>17</v>
      </c>
      <c r="L846" t="s">
        <v>18</v>
      </c>
      <c r="M846" t="str">
        <f>VLOOKUP(D850,Restaurant_Master!A:B,2,FALSE)</f>
        <v>https://dineout-media-assets.swiggy.com/swiggy/image/upload/fl_lossy,f_auto,q_auto/v1660793737/fdqxvxcxg1wtdwvyv45v.jpg</v>
      </c>
    </row>
    <row r="847" spans="1:13" x14ac:dyDescent="0.3">
      <c r="A847" t="s">
        <v>877</v>
      </c>
      <c r="B847" s="1">
        <v>45463</v>
      </c>
      <c r="C847" t="s">
        <v>13</v>
      </c>
      <c r="D847" t="s">
        <v>21</v>
      </c>
      <c r="E847">
        <v>46</v>
      </c>
      <c r="F847" t="s">
        <v>15</v>
      </c>
      <c r="G847">
        <v>1187.06</v>
      </c>
      <c r="H847">
        <v>48</v>
      </c>
      <c r="I847" t="s">
        <v>16</v>
      </c>
      <c r="J847">
        <v>4</v>
      </c>
      <c r="K847" t="s">
        <v>29</v>
      </c>
      <c r="L847" t="s">
        <v>23</v>
      </c>
      <c r="M847" t="str">
        <f>VLOOKUP(D851,Restaurant_Master!A:B,2,FALSE)</f>
        <v>https://media-cdn.tripadvisor.com/media/photo-s/1c/c7/97/b6/photo6jpg.jpg</v>
      </c>
    </row>
    <row r="848" spans="1:13" x14ac:dyDescent="0.3">
      <c r="A848" t="s">
        <v>878</v>
      </c>
      <c r="B848" s="1">
        <v>45311</v>
      </c>
      <c r="C848" t="s">
        <v>13</v>
      </c>
      <c r="D848" t="s">
        <v>38</v>
      </c>
      <c r="E848">
        <v>21</v>
      </c>
      <c r="F848" t="s">
        <v>28</v>
      </c>
      <c r="G848">
        <v>674.87</v>
      </c>
      <c r="H848">
        <v>31</v>
      </c>
      <c r="I848" t="s">
        <v>22</v>
      </c>
      <c r="J848">
        <v>2.9</v>
      </c>
      <c r="K848" t="s">
        <v>41</v>
      </c>
      <c r="L848" t="s">
        <v>23</v>
      </c>
      <c r="M848" t="str">
        <f>VLOOKUP(D852,Restaurant_Master!A:B,2,FALSE)</f>
        <v>https://content.jdmagicbox.com/comp/deoria/g6/9999p5568.5568.200119143033.m4g6/catalogue/biryani-house-deoria-ho-deoria-mktc2xph0o.jpg</v>
      </c>
    </row>
    <row r="849" spans="1:13" x14ac:dyDescent="0.3">
      <c r="A849" t="s">
        <v>879</v>
      </c>
      <c r="B849" s="1">
        <v>45338</v>
      </c>
      <c r="C849" t="s">
        <v>36</v>
      </c>
      <c r="D849" t="s">
        <v>38</v>
      </c>
      <c r="E849">
        <v>48</v>
      </c>
      <c r="F849" t="s">
        <v>28</v>
      </c>
      <c r="G849">
        <v>588.21</v>
      </c>
      <c r="H849">
        <v>47</v>
      </c>
      <c r="I849" t="s">
        <v>16</v>
      </c>
      <c r="J849">
        <v>4.5</v>
      </c>
      <c r="K849" t="s">
        <v>41</v>
      </c>
      <c r="L849" t="s">
        <v>23</v>
      </c>
      <c r="M849" t="str">
        <f>VLOOKUP(D853,Restaurant_Master!A:B,2,FALSE)</f>
        <v>https://www.chatswoodinterchange.com/storages/2018/08/Sushi-World_666x448.jpg</v>
      </c>
    </row>
    <row r="850" spans="1:13" x14ac:dyDescent="0.3">
      <c r="A850" t="s">
        <v>880</v>
      </c>
      <c r="B850" s="1">
        <v>45350</v>
      </c>
      <c r="C850" t="s">
        <v>36</v>
      </c>
      <c r="D850" t="s">
        <v>14</v>
      </c>
      <c r="E850">
        <v>24</v>
      </c>
      <c r="F850" t="s">
        <v>28</v>
      </c>
      <c r="G850">
        <v>793.2</v>
      </c>
      <c r="H850">
        <v>58</v>
      </c>
      <c r="I850" t="s">
        <v>16</v>
      </c>
      <c r="J850">
        <v>4.9000000000000004</v>
      </c>
      <c r="K850" t="s">
        <v>29</v>
      </c>
      <c r="L850" t="s">
        <v>23</v>
      </c>
      <c r="M850" t="str">
        <f>VLOOKUP(D854,Restaurant_Master!A:B,2,FALSE)</f>
        <v>https://dynamic-media-cdn.tripadvisor.com/media/photo-o/1c/e7/04/0d/front-of-the-local-easily.jpg</v>
      </c>
    </row>
    <row r="851" spans="1:13" x14ac:dyDescent="0.3">
      <c r="A851" t="s">
        <v>881</v>
      </c>
      <c r="B851" s="1">
        <v>45397</v>
      </c>
      <c r="C851" t="s">
        <v>43</v>
      </c>
      <c r="D851" t="s">
        <v>25</v>
      </c>
      <c r="E851">
        <v>33</v>
      </c>
      <c r="F851" t="s">
        <v>28</v>
      </c>
      <c r="G851">
        <v>255.84</v>
      </c>
      <c r="H851">
        <v>20</v>
      </c>
      <c r="I851" t="s">
        <v>22</v>
      </c>
      <c r="J851">
        <v>4.7</v>
      </c>
      <c r="K851" t="s">
        <v>17</v>
      </c>
      <c r="L851" t="s">
        <v>18</v>
      </c>
      <c r="M851" t="str">
        <f>VLOOKUP(D855,Restaurant_Master!A:B,2,FALSE)</f>
        <v>https://content.jdmagicbox.com/comp/deoria/g6/9999p5568.5568.200119143033.m4g6/catalogue/biryani-house-deoria-ho-deoria-mktc2xph0o.jpg</v>
      </c>
    </row>
    <row r="852" spans="1:13" x14ac:dyDescent="0.3">
      <c r="A852" t="s">
        <v>882</v>
      </c>
      <c r="B852" s="1">
        <v>45329</v>
      </c>
      <c r="C852" t="s">
        <v>20</v>
      </c>
      <c r="D852" t="s">
        <v>32</v>
      </c>
      <c r="E852">
        <v>60</v>
      </c>
      <c r="F852" t="s">
        <v>28</v>
      </c>
      <c r="G852">
        <v>633.16999999999996</v>
      </c>
      <c r="H852">
        <v>34</v>
      </c>
      <c r="I852" t="s">
        <v>22</v>
      </c>
      <c r="J852">
        <v>4.4000000000000004</v>
      </c>
      <c r="K852" t="s">
        <v>17</v>
      </c>
      <c r="L852" t="s">
        <v>23</v>
      </c>
      <c r="M852" t="str">
        <f>VLOOKUP(D856,Restaurant_Master!A:B,2,FALSE)</f>
        <v>https://dynamic-media-cdn.tripadvisor.com/media/photo-o/1c/e7/04/0d/front-of-the-local-easily.jpg</v>
      </c>
    </row>
    <row r="853" spans="1:13" x14ac:dyDescent="0.3">
      <c r="A853" t="s">
        <v>883</v>
      </c>
      <c r="B853" s="1">
        <v>45418</v>
      </c>
      <c r="C853" t="s">
        <v>13</v>
      </c>
      <c r="D853" t="s">
        <v>38</v>
      </c>
      <c r="E853">
        <v>57</v>
      </c>
      <c r="F853" t="s">
        <v>15</v>
      </c>
      <c r="G853">
        <v>403.77</v>
      </c>
      <c r="H853">
        <v>29</v>
      </c>
      <c r="I853" t="s">
        <v>22</v>
      </c>
      <c r="J853">
        <v>3.7</v>
      </c>
      <c r="K853" t="s">
        <v>17</v>
      </c>
      <c r="L853" t="s">
        <v>23</v>
      </c>
      <c r="M853" t="str">
        <f>VLOOKUP(D857,Restaurant_Master!A:B,2,FALSE)</f>
        <v>https://content.jdmagicbox.com/comp/deoria/g6/9999p5568.5568.200119143033.m4g6/catalogue/biryani-house-deoria-ho-deoria-mktc2xph0o.jpg</v>
      </c>
    </row>
    <row r="854" spans="1:13" x14ac:dyDescent="0.3">
      <c r="A854" t="s">
        <v>884</v>
      </c>
      <c r="B854" s="1">
        <v>45560</v>
      </c>
      <c r="C854" t="s">
        <v>34</v>
      </c>
      <c r="D854" t="s">
        <v>21</v>
      </c>
      <c r="E854">
        <v>28</v>
      </c>
      <c r="F854" t="s">
        <v>28</v>
      </c>
      <c r="G854">
        <v>239.48</v>
      </c>
      <c r="H854">
        <v>37</v>
      </c>
      <c r="I854" t="s">
        <v>22</v>
      </c>
      <c r="J854">
        <v>2.9</v>
      </c>
      <c r="K854" t="s">
        <v>29</v>
      </c>
      <c r="L854" t="s">
        <v>23</v>
      </c>
      <c r="M854" t="str">
        <f>VLOOKUP(D858,Restaurant_Master!A:B,2,FALSE)</f>
        <v>https://media-cdn.tripadvisor.com/media/photo-s/1c/c7/97/b6/photo6jpg.jpg</v>
      </c>
    </row>
    <row r="855" spans="1:13" x14ac:dyDescent="0.3">
      <c r="A855" t="s">
        <v>885</v>
      </c>
      <c r="B855" s="1">
        <v>45379</v>
      </c>
      <c r="C855" t="s">
        <v>36</v>
      </c>
      <c r="D855" t="s">
        <v>32</v>
      </c>
      <c r="E855">
        <v>42</v>
      </c>
      <c r="F855" t="s">
        <v>15</v>
      </c>
      <c r="G855">
        <v>633.46</v>
      </c>
      <c r="H855">
        <v>54</v>
      </c>
      <c r="I855" t="s">
        <v>16</v>
      </c>
      <c r="J855">
        <v>4.4000000000000004</v>
      </c>
      <c r="K855" t="s">
        <v>17</v>
      </c>
      <c r="L855" t="s">
        <v>18</v>
      </c>
      <c r="M855" t="str">
        <f>VLOOKUP(D859,Restaurant_Master!A:B,2,FALSE)</f>
        <v>https://dineout-media-assets.swiggy.com/swiggy/image/upload/fl_lossy,f_auto,q_auto/v1660793737/fdqxvxcxg1wtdwvyv45v.jpg</v>
      </c>
    </row>
    <row r="856" spans="1:13" x14ac:dyDescent="0.3">
      <c r="A856" t="s">
        <v>886</v>
      </c>
      <c r="B856" s="1">
        <v>45375</v>
      </c>
      <c r="C856" t="s">
        <v>20</v>
      </c>
      <c r="D856" t="s">
        <v>21</v>
      </c>
      <c r="E856">
        <v>37</v>
      </c>
      <c r="F856" t="s">
        <v>28</v>
      </c>
      <c r="G856">
        <v>1031.57</v>
      </c>
      <c r="H856">
        <v>55</v>
      </c>
      <c r="I856" t="s">
        <v>16</v>
      </c>
      <c r="J856">
        <v>2.8</v>
      </c>
      <c r="K856" t="s">
        <v>41</v>
      </c>
      <c r="L856" t="s">
        <v>18</v>
      </c>
      <c r="M856" t="str">
        <f>VLOOKUP(D860,Restaurant_Master!A:B,2,FALSE)</f>
        <v>https://content.jdmagicbox.com/comp/deoria/g6/9999p5568.5568.200119143033.m4g6/catalogue/biryani-house-deoria-ho-deoria-mktc2xph0o.jpg</v>
      </c>
    </row>
    <row r="857" spans="1:13" x14ac:dyDescent="0.3">
      <c r="A857" t="s">
        <v>887</v>
      </c>
      <c r="B857" s="1">
        <v>45577</v>
      </c>
      <c r="C857" t="s">
        <v>34</v>
      </c>
      <c r="D857" t="s">
        <v>32</v>
      </c>
      <c r="E857">
        <v>47</v>
      </c>
      <c r="F857" t="s">
        <v>28</v>
      </c>
      <c r="G857">
        <v>232.17</v>
      </c>
      <c r="H857">
        <v>31</v>
      </c>
      <c r="I857" t="s">
        <v>22</v>
      </c>
      <c r="J857">
        <v>3.5</v>
      </c>
      <c r="K857" t="s">
        <v>17</v>
      </c>
      <c r="L857" t="s">
        <v>23</v>
      </c>
      <c r="M857" t="str">
        <f>VLOOKUP(D861,Restaurant_Master!A:B,2,FALSE)</f>
        <v>https://www.chatswoodinterchange.com/storages/2018/08/Sushi-World_666x448.jpg</v>
      </c>
    </row>
    <row r="858" spans="1:13" x14ac:dyDescent="0.3">
      <c r="A858" t="s">
        <v>888</v>
      </c>
      <c r="B858" s="1">
        <v>45475</v>
      </c>
      <c r="C858" t="s">
        <v>13</v>
      </c>
      <c r="D858" t="s">
        <v>25</v>
      </c>
      <c r="E858">
        <v>34</v>
      </c>
      <c r="F858" t="s">
        <v>28</v>
      </c>
      <c r="G858">
        <v>1057.07</v>
      </c>
      <c r="H858">
        <v>38</v>
      </c>
      <c r="I858" t="s">
        <v>22</v>
      </c>
      <c r="J858">
        <v>3</v>
      </c>
      <c r="K858" t="s">
        <v>17</v>
      </c>
      <c r="L858" t="s">
        <v>23</v>
      </c>
      <c r="M858" t="str">
        <f>VLOOKUP(D862,Restaurant_Master!A:B,2,FALSE)</f>
        <v>https://content.jdmagicbox.com/comp/deoria/g6/9999p5568.5568.200119143033.m4g6/catalogue/biryani-house-deoria-ho-deoria-mktc2xph0o.jpg</v>
      </c>
    </row>
    <row r="859" spans="1:13" x14ac:dyDescent="0.3">
      <c r="A859" t="s">
        <v>889</v>
      </c>
      <c r="B859" s="1">
        <v>45630</v>
      </c>
      <c r="C859" t="s">
        <v>43</v>
      </c>
      <c r="D859" t="s">
        <v>14</v>
      </c>
      <c r="E859">
        <v>57</v>
      </c>
      <c r="F859" t="s">
        <v>15</v>
      </c>
      <c r="G859">
        <v>250.84</v>
      </c>
      <c r="H859">
        <v>43</v>
      </c>
      <c r="I859" t="s">
        <v>16</v>
      </c>
      <c r="J859">
        <v>4.5</v>
      </c>
      <c r="K859" t="s">
        <v>17</v>
      </c>
      <c r="L859" t="s">
        <v>23</v>
      </c>
      <c r="M859" t="str">
        <f>VLOOKUP(D863,Restaurant_Master!A:B,2,FALSE)</f>
        <v>https://media-cdn.tripadvisor.com/media/photo-s/1c/c7/97/b6/photo6jpg.jpg</v>
      </c>
    </row>
    <row r="860" spans="1:13" x14ac:dyDescent="0.3">
      <c r="A860" t="s">
        <v>890</v>
      </c>
      <c r="B860" s="1">
        <v>45380</v>
      </c>
      <c r="C860" t="s">
        <v>20</v>
      </c>
      <c r="D860" t="s">
        <v>32</v>
      </c>
      <c r="E860">
        <v>48</v>
      </c>
      <c r="F860" t="s">
        <v>15</v>
      </c>
      <c r="G860">
        <v>1083.72</v>
      </c>
      <c r="H860">
        <v>31</v>
      </c>
      <c r="I860" t="s">
        <v>22</v>
      </c>
      <c r="J860">
        <v>2.8</v>
      </c>
      <c r="K860" t="s">
        <v>17</v>
      </c>
      <c r="L860" t="s">
        <v>18</v>
      </c>
      <c r="M860" t="str">
        <f>VLOOKUP(D864,Restaurant_Master!A:B,2,FALSE)</f>
        <v>https://dynamic-media-cdn.tripadvisor.com/media/photo-o/1c/e7/04/0d/front-of-the-local-easily.jpg</v>
      </c>
    </row>
    <row r="861" spans="1:13" x14ac:dyDescent="0.3">
      <c r="A861" t="s">
        <v>891</v>
      </c>
      <c r="B861" s="1">
        <v>45447</v>
      </c>
      <c r="C861" t="s">
        <v>34</v>
      </c>
      <c r="D861" t="s">
        <v>38</v>
      </c>
      <c r="E861">
        <v>48</v>
      </c>
      <c r="F861" t="s">
        <v>15</v>
      </c>
      <c r="G861">
        <v>544.85</v>
      </c>
      <c r="H861">
        <v>43</v>
      </c>
      <c r="I861" t="s">
        <v>16</v>
      </c>
      <c r="J861">
        <v>5</v>
      </c>
      <c r="K861" t="s">
        <v>17</v>
      </c>
      <c r="L861" t="s">
        <v>23</v>
      </c>
      <c r="M861" t="str">
        <f>VLOOKUP(D865,Restaurant_Master!A:B,2,FALSE)</f>
        <v>https://dynamic-media-cdn.tripadvisor.com/media/photo-o/1c/e7/04/0d/front-of-the-local-easily.jpg</v>
      </c>
    </row>
    <row r="862" spans="1:13" x14ac:dyDescent="0.3">
      <c r="A862" t="s">
        <v>892</v>
      </c>
      <c r="B862" s="1">
        <v>45357</v>
      </c>
      <c r="C862" t="s">
        <v>34</v>
      </c>
      <c r="D862" t="s">
        <v>32</v>
      </c>
      <c r="E862">
        <v>43</v>
      </c>
      <c r="F862" t="s">
        <v>28</v>
      </c>
      <c r="G862">
        <v>767.25</v>
      </c>
      <c r="H862">
        <v>31</v>
      </c>
      <c r="I862" t="s">
        <v>22</v>
      </c>
      <c r="J862">
        <v>2.9</v>
      </c>
      <c r="K862" t="s">
        <v>41</v>
      </c>
      <c r="L862" t="s">
        <v>23</v>
      </c>
      <c r="M862" t="str">
        <f>VLOOKUP(D866,Restaurant_Master!A:B,2,FALSE)</f>
        <v>https://dynamic-media-cdn.tripadvisor.com/media/photo-o/1c/e7/04/0d/front-of-the-local-easily.jpg</v>
      </c>
    </row>
    <row r="863" spans="1:13" x14ac:dyDescent="0.3">
      <c r="A863" t="s">
        <v>893</v>
      </c>
      <c r="B863" s="1">
        <v>45301</v>
      </c>
      <c r="C863" t="s">
        <v>43</v>
      </c>
      <c r="D863" t="s">
        <v>25</v>
      </c>
      <c r="E863">
        <v>53</v>
      </c>
      <c r="F863" t="s">
        <v>15</v>
      </c>
      <c r="G863">
        <v>1075.53</v>
      </c>
      <c r="H863">
        <v>33</v>
      </c>
      <c r="I863" t="s">
        <v>22</v>
      </c>
      <c r="J863">
        <v>4.5</v>
      </c>
      <c r="K863" t="s">
        <v>17</v>
      </c>
      <c r="L863" t="s">
        <v>23</v>
      </c>
      <c r="M863" t="str">
        <f>VLOOKUP(D867,Restaurant_Master!A:B,2,FALSE)</f>
        <v>https://dynamic-media-cdn.tripadvisor.com/media/photo-o/1c/e7/04/0d/front-of-the-local-easily.jpg</v>
      </c>
    </row>
    <row r="864" spans="1:13" x14ac:dyDescent="0.3">
      <c r="A864" t="s">
        <v>894</v>
      </c>
      <c r="B864" s="1">
        <v>45637</v>
      </c>
      <c r="C864" t="s">
        <v>13</v>
      </c>
      <c r="D864" t="s">
        <v>21</v>
      </c>
      <c r="E864">
        <v>51</v>
      </c>
      <c r="F864" t="s">
        <v>15</v>
      </c>
      <c r="G864">
        <v>928.3</v>
      </c>
      <c r="H864">
        <v>20</v>
      </c>
      <c r="I864" t="s">
        <v>22</v>
      </c>
      <c r="J864">
        <v>4.4000000000000004</v>
      </c>
      <c r="K864" t="s">
        <v>17</v>
      </c>
      <c r="L864" t="s">
        <v>23</v>
      </c>
      <c r="M864" t="str">
        <f>VLOOKUP(D868,Restaurant_Master!A:B,2,FALSE)</f>
        <v>https://content.jdmagicbox.com/comp/deoria/g6/9999p5568.5568.200119143033.m4g6/catalogue/biryani-house-deoria-ho-deoria-mktc2xph0o.jpg</v>
      </c>
    </row>
    <row r="865" spans="1:13" x14ac:dyDescent="0.3">
      <c r="A865" t="s">
        <v>895</v>
      </c>
      <c r="B865" s="1">
        <v>45371</v>
      </c>
      <c r="C865" t="s">
        <v>36</v>
      </c>
      <c r="D865" t="s">
        <v>21</v>
      </c>
      <c r="E865">
        <v>42</v>
      </c>
      <c r="F865" t="s">
        <v>15</v>
      </c>
      <c r="G865">
        <v>753.79</v>
      </c>
      <c r="H865">
        <v>20</v>
      </c>
      <c r="I865" t="s">
        <v>22</v>
      </c>
      <c r="J865">
        <v>2.7</v>
      </c>
      <c r="K865" t="s">
        <v>29</v>
      </c>
      <c r="L865" t="s">
        <v>23</v>
      </c>
      <c r="M865" t="str">
        <f>VLOOKUP(D869,Restaurant_Master!A:B,2,FALSE)</f>
        <v>https://www.chatswoodinterchange.com/storages/2018/08/Sushi-World_666x448.jpg</v>
      </c>
    </row>
    <row r="866" spans="1:13" x14ac:dyDescent="0.3">
      <c r="A866" t="s">
        <v>896</v>
      </c>
      <c r="B866" s="1">
        <v>45611</v>
      </c>
      <c r="C866" t="s">
        <v>36</v>
      </c>
      <c r="D866" t="s">
        <v>21</v>
      </c>
      <c r="E866">
        <v>30</v>
      </c>
      <c r="F866" t="s">
        <v>15</v>
      </c>
      <c r="G866">
        <v>520.84</v>
      </c>
      <c r="H866">
        <v>48</v>
      </c>
      <c r="I866" t="s">
        <v>16</v>
      </c>
      <c r="J866">
        <v>2.6</v>
      </c>
      <c r="K866" t="s">
        <v>41</v>
      </c>
      <c r="L866" t="s">
        <v>18</v>
      </c>
      <c r="M866" t="str">
        <f>VLOOKUP(D870,Restaurant_Master!A:B,2,FALSE)</f>
        <v>https://content.jdmagicbox.com/comp/deoria/g6/9999p5568.5568.200119143033.m4g6/catalogue/biryani-house-deoria-ho-deoria-mktc2xph0o.jpg</v>
      </c>
    </row>
    <row r="867" spans="1:13" x14ac:dyDescent="0.3">
      <c r="A867" t="s">
        <v>897</v>
      </c>
      <c r="B867" s="1">
        <v>45565</v>
      </c>
      <c r="C867" t="s">
        <v>43</v>
      </c>
      <c r="D867" t="s">
        <v>21</v>
      </c>
      <c r="E867">
        <v>46</v>
      </c>
      <c r="F867" t="s">
        <v>15</v>
      </c>
      <c r="G867">
        <v>692.93</v>
      </c>
      <c r="H867">
        <v>46</v>
      </c>
      <c r="I867" t="s">
        <v>16</v>
      </c>
      <c r="J867">
        <v>2.7</v>
      </c>
      <c r="K867" t="s">
        <v>29</v>
      </c>
      <c r="L867" t="s">
        <v>18</v>
      </c>
      <c r="M867" t="str">
        <f>VLOOKUP(D871,Restaurant_Master!A:B,2,FALSE)</f>
        <v>https://dynamic-media-cdn.tripadvisor.com/media/photo-o/1c/e7/04/0d/front-of-the-local-easily.jpg</v>
      </c>
    </row>
    <row r="868" spans="1:13" x14ac:dyDescent="0.3">
      <c r="A868" t="s">
        <v>898</v>
      </c>
      <c r="B868" s="1">
        <v>45463</v>
      </c>
      <c r="C868" t="s">
        <v>34</v>
      </c>
      <c r="D868" t="s">
        <v>32</v>
      </c>
      <c r="E868">
        <v>21</v>
      </c>
      <c r="F868" t="s">
        <v>28</v>
      </c>
      <c r="G868">
        <v>671.93</v>
      </c>
      <c r="H868">
        <v>39</v>
      </c>
      <c r="I868" t="s">
        <v>22</v>
      </c>
      <c r="J868">
        <v>3.6</v>
      </c>
      <c r="K868" t="s">
        <v>26</v>
      </c>
      <c r="L868" t="s">
        <v>18</v>
      </c>
      <c r="M868" t="str">
        <f>VLOOKUP(D872,Restaurant_Master!A:B,2,FALSE)</f>
        <v>https://dineout-media-assets.swiggy.com/swiggy/image/upload/fl_lossy,f_auto,q_auto/v1660793737/fdqxvxcxg1wtdwvyv45v.jpg</v>
      </c>
    </row>
    <row r="869" spans="1:13" x14ac:dyDescent="0.3">
      <c r="A869" t="s">
        <v>899</v>
      </c>
      <c r="B869" s="1">
        <v>45618</v>
      </c>
      <c r="C869" t="s">
        <v>36</v>
      </c>
      <c r="D869" t="s">
        <v>38</v>
      </c>
      <c r="E869">
        <v>44</v>
      </c>
      <c r="F869" t="s">
        <v>28</v>
      </c>
      <c r="G869">
        <v>431.33</v>
      </c>
      <c r="H869">
        <v>25</v>
      </c>
      <c r="I869" t="s">
        <v>22</v>
      </c>
      <c r="J869">
        <v>4.0999999999999996</v>
      </c>
      <c r="K869" t="s">
        <v>41</v>
      </c>
      <c r="L869" t="s">
        <v>23</v>
      </c>
      <c r="M869" t="str">
        <f>VLOOKUP(D873,Restaurant_Master!A:B,2,FALSE)</f>
        <v>https://content.jdmagicbox.com/comp/deoria/g6/9999p5568.5568.200119143033.m4g6/catalogue/biryani-house-deoria-ho-deoria-mktc2xph0o.jpg</v>
      </c>
    </row>
    <row r="870" spans="1:13" x14ac:dyDescent="0.3">
      <c r="A870" t="s">
        <v>900</v>
      </c>
      <c r="B870" s="1">
        <v>45577</v>
      </c>
      <c r="C870" t="s">
        <v>36</v>
      </c>
      <c r="D870" t="s">
        <v>32</v>
      </c>
      <c r="E870">
        <v>51</v>
      </c>
      <c r="F870" t="s">
        <v>28</v>
      </c>
      <c r="G870">
        <v>588.57000000000005</v>
      </c>
      <c r="H870">
        <v>58</v>
      </c>
      <c r="I870" t="s">
        <v>16</v>
      </c>
      <c r="J870">
        <v>4.0999999999999996</v>
      </c>
      <c r="K870" t="s">
        <v>29</v>
      </c>
      <c r="L870" t="s">
        <v>23</v>
      </c>
      <c r="M870" t="str">
        <f>VLOOKUP(D874,Restaurant_Master!A:B,2,FALSE)</f>
        <v>https://dynamic-media-cdn.tripadvisor.com/media/photo-o/1c/e7/04/0d/front-of-the-local-easily.jpg</v>
      </c>
    </row>
    <row r="871" spans="1:13" x14ac:dyDescent="0.3">
      <c r="A871" t="s">
        <v>901</v>
      </c>
      <c r="B871" s="1">
        <v>45593</v>
      </c>
      <c r="C871" t="s">
        <v>20</v>
      </c>
      <c r="D871" t="s">
        <v>21</v>
      </c>
      <c r="E871">
        <v>42</v>
      </c>
      <c r="F871" t="s">
        <v>28</v>
      </c>
      <c r="G871">
        <v>775.59</v>
      </c>
      <c r="H871">
        <v>25</v>
      </c>
      <c r="I871" t="s">
        <v>22</v>
      </c>
      <c r="J871">
        <v>3.2</v>
      </c>
      <c r="K871" t="s">
        <v>26</v>
      </c>
      <c r="L871" t="s">
        <v>18</v>
      </c>
      <c r="M871" t="str">
        <f>VLOOKUP(D875,Restaurant_Master!A:B,2,FALSE)</f>
        <v>https://content.jdmagicbox.com/comp/deoria/g6/9999p5568.5568.200119143033.m4g6/catalogue/biryani-house-deoria-ho-deoria-mktc2xph0o.jpg</v>
      </c>
    </row>
    <row r="872" spans="1:13" x14ac:dyDescent="0.3">
      <c r="A872" t="s">
        <v>902</v>
      </c>
      <c r="B872" s="1">
        <v>45504</v>
      </c>
      <c r="C872" t="s">
        <v>36</v>
      </c>
      <c r="D872" t="s">
        <v>14</v>
      </c>
      <c r="E872">
        <v>26</v>
      </c>
      <c r="F872" t="s">
        <v>28</v>
      </c>
      <c r="G872">
        <v>678.72</v>
      </c>
      <c r="H872">
        <v>35</v>
      </c>
      <c r="I872" t="s">
        <v>22</v>
      </c>
      <c r="J872">
        <v>3.7</v>
      </c>
      <c r="K872" t="s">
        <v>29</v>
      </c>
      <c r="L872" t="s">
        <v>18</v>
      </c>
      <c r="M872" t="str">
        <f>VLOOKUP(D876,Restaurant_Master!A:B,2,FALSE)</f>
        <v>https://dineout-media-assets.swiggy.com/swiggy/image/upload/fl_lossy,f_auto,q_auto/v1660793737/fdqxvxcxg1wtdwvyv45v.jpg</v>
      </c>
    </row>
    <row r="873" spans="1:13" x14ac:dyDescent="0.3">
      <c r="A873" t="s">
        <v>903</v>
      </c>
      <c r="B873" s="1">
        <v>45404</v>
      </c>
      <c r="C873" t="s">
        <v>43</v>
      </c>
      <c r="D873" t="s">
        <v>32</v>
      </c>
      <c r="E873">
        <v>35</v>
      </c>
      <c r="F873" t="s">
        <v>15</v>
      </c>
      <c r="G873">
        <v>721.74</v>
      </c>
      <c r="H873">
        <v>60</v>
      </c>
      <c r="I873" t="s">
        <v>16</v>
      </c>
      <c r="J873">
        <v>4.8</v>
      </c>
      <c r="K873" t="s">
        <v>29</v>
      </c>
      <c r="L873" t="s">
        <v>18</v>
      </c>
      <c r="M873" t="str">
        <f>VLOOKUP(D877,Restaurant_Master!A:B,2,FALSE)</f>
        <v>https://www.chatswoodinterchange.com/storages/2018/08/Sushi-World_666x448.jpg</v>
      </c>
    </row>
    <row r="874" spans="1:13" x14ac:dyDescent="0.3">
      <c r="A874" t="s">
        <v>904</v>
      </c>
      <c r="B874" s="1">
        <v>45566</v>
      </c>
      <c r="C874" t="s">
        <v>13</v>
      </c>
      <c r="D874" t="s">
        <v>21</v>
      </c>
      <c r="E874">
        <v>32</v>
      </c>
      <c r="F874" t="s">
        <v>15</v>
      </c>
      <c r="G874">
        <v>372.47</v>
      </c>
      <c r="H874">
        <v>35</v>
      </c>
      <c r="I874" t="s">
        <v>22</v>
      </c>
      <c r="J874">
        <v>4.8</v>
      </c>
      <c r="K874" t="s">
        <v>26</v>
      </c>
      <c r="L874" t="s">
        <v>18</v>
      </c>
      <c r="M874" t="str">
        <f>VLOOKUP(D878,Restaurant_Master!A:B,2,FALSE)</f>
        <v>https://dynamic-media-cdn.tripadvisor.com/media/photo-o/1c/e7/04/0d/front-of-the-local-easily.jpg</v>
      </c>
    </row>
    <row r="875" spans="1:13" x14ac:dyDescent="0.3">
      <c r="A875" t="s">
        <v>905</v>
      </c>
      <c r="B875" s="1">
        <v>45648</v>
      </c>
      <c r="C875" t="s">
        <v>43</v>
      </c>
      <c r="D875" t="s">
        <v>32</v>
      </c>
      <c r="E875">
        <v>59</v>
      </c>
      <c r="F875" t="s">
        <v>28</v>
      </c>
      <c r="G875">
        <v>509.07</v>
      </c>
      <c r="H875">
        <v>43</v>
      </c>
      <c r="I875" t="s">
        <v>16</v>
      </c>
      <c r="J875">
        <v>2.7</v>
      </c>
      <c r="K875" t="s">
        <v>26</v>
      </c>
      <c r="L875" t="s">
        <v>18</v>
      </c>
      <c r="M875" t="str">
        <f>VLOOKUP(D879,Restaurant_Master!A:B,2,FALSE)</f>
        <v>https://dynamic-media-cdn.tripadvisor.com/media/photo-o/1c/e7/04/0d/front-of-the-local-easily.jpg</v>
      </c>
    </row>
    <row r="876" spans="1:13" x14ac:dyDescent="0.3">
      <c r="A876" t="s">
        <v>906</v>
      </c>
      <c r="B876" s="1">
        <v>45545</v>
      </c>
      <c r="C876" t="s">
        <v>43</v>
      </c>
      <c r="D876" t="s">
        <v>14</v>
      </c>
      <c r="E876">
        <v>31</v>
      </c>
      <c r="F876" t="s">
        <v>15</v>
      </c>
      <c r="G876">
        <v>729.73</v>
      </c>
      <c r="H876">
        <v>37</v>
      </c>
      <c r="I876" t="s">
        <v>22</v>
      </c>
      <c r="J876">
        <v>4.5</v>
      </c>
      <c r="K876" t="s">
        <v>26</v>
      </c>
      <c r="L876" t="s">
        <v>18</v>
      </c>
      <c r="M876" t="str">
        <f>VLOOKUP(D880,Restaurant_Master!A:B,2,FALSE)</f>
        <v>https://content.jdmagicbox.com/comp/deoria/g6/9999p5568.5568.200119143033.m4g6/catalogue/biryani-house-deoria-ho-deoria-mktc2xph0o.jpg</v>
      </c>
    </row>
    <row r="877" spans="1:13" x14ac:dyDescent="0.3">
      <c r="A877" t="s">
        <v>907</v>
      </c>
      <c r="B877" s="1">
        <v>45444</v>
      </c>
      <c r="C877" t="s">
        <v>43</v>
      </c>
      <c r="D877" t="s">
        <v>38</v>
      </c>
      <c r="E877">
        <v>40</v>
      </c>
      <c r="F877" t="s">
        <v>15</v>
      </c>
      <c r="G877">
        <v>740.14</v>
      </c>
      <c r="H877">
        <v>48</v>
      </c>
      <c r="I877" t="s">
        <v>16</v>
      </c>
      <c r="J877">
        <v>3</v>
      </c>
      <c r="K877" t="s">
        <v>26</v>
      </c>
      <c r="L877" t="s">
        <v>18</v>
      </c>
      <c r="M877" t="str">
        <f>VLOOKUP(D881,Restaurant_Master!A:B,2,FALSE)</f>
        <v>https://www.chatswoodinterchange.com/storages/2018/08/Sushi-World_666x448.jpg</v>
      </c>
    </row>
    <row r="878" spans="1:13" x14ac:dyDescent="0.3">
      <c r="A878" t="s">
        <v>908</v>
      </c>
      <c r="B878" s="1">
        <v>45553</v>
      </c>
      <c r="C878" t="s">
        <v>43</v>
      </c>
      <c r="D878" t="s">
        <v>21</v>
      </c>
      <c r="E878">
        <v>43</v>
      </c>
      <c r="F878" t="s">
        <v>28</v>
      </c>
      <c r="G878">
        <v>831.01</v>
      </c>
      <c r="H878">
        <v>25</v>
      </c>
      <c r="I878" t="s">
        <v>22</v>
      </c>
      <c r="J878">
        <v>3.3</v>
      </c>
      <c r="K878" t="s">
        <v>26</v>
      </c>
      <c r="L878" t="s">
        <v>18</v>
      </c>
      <c r="M878" t="str">
        <f>VLOOKUP(D882,Restaurant_Master!A:B,2,FALSE)</f>
        <v>https://dynamic-media-cdn.tripadvisor.com/media/photo-o/1c/e7/04/0d/front-of-the-local-easily.jpg</v>
      </c>
    </row>
    <row r="879" spans="1:13" x14ac:dyDescent="0.3">
      <c r="A879" t="s">
        <v>909</v>
      </c>
      <c r="B879" s="1">
        <v>45500</v>
      </c>
      <c r="C879" t="s">
        <v>20</v>
      </c>
      <c r="D879" t="s">
        <v>21</v>
      </c>
      <c r="E879">
        <v>46</v>
      </c>
      <c r="F879" t="s">
        <v>28</v>
      </c>
      <c r="G879">
        <v>1126.43</v>
      </c>
      <c r="H879">
        <v>57</v>
      </c>
      <c r="I879" t="s">
        <v>16</v>
      </c>
      <c r="J879">
        <v>2.7</v>
      </c>
      <c r="K879" t="s">
        <v>26</v>
      </c>
      <c r="L879" t="s">
        <v>23</v>
      </c>
      <c r="M879" t="str">
        <f>VLOOKUP(D883,Restaurant_Master!A:B,2,FALSE)</f>
        <v>https://www.chatswoodinterchange.com/storages/2018/08/Sushi-World_666x448.jpg</v>
      </c>
    </row>
    <row r="880" spans="1:13" x14ac:dyDescent="0.3">
      <c r="A880" t="s">
        <v>910</v>
      </c>
      <c r="B880" s="1">
        <v>45606</v>
      </c>
      <c r="C880" t="s">
        <v>13</v>
      </c>
      <c r="D880" t="s">
        <v>32</v>
      </c>
      <c r="E880">
        <v>22</v>
      </c>
      <c r="F880" t="s">
        <v>15</v>
      </c>
      <c r="G880">
        <v>1038.52</v>
      </c>
      <c r="H880">
        <v>25</v>
      </c>
      <c r="I880" t="s">
        <v>22</v>
      </c>
      <c r="J880">
        <v>5</v>
      </c>
      <c r="K880" t="s">
        <v>41</v>
      </c>
      <c r="L880" t="s">
        <v>18</v>
      </c>
      <c r="M880" t="str">
        <f>VLOOKUP(D884,Restaurant_Master!A:B,2,FALSE)</f>
        <v>https://dynamic-media-cdn.tripadvisor.com/media/photo-o/1c/e7/04/0d/front-of-the-local-easily.jpg</v>
      </c>
    </row>
    <row r="881" spans="1:13" x14ac:dyDescent="0.3">
      <c r="A881" t="s">
        <v>911</v>
      </c>
      <c r="B881" s="1">
        <v>45357</v>
      </c>
      <c r="C881" t="s">
        <v>20</v>
      </c>
      <c r="D881" t="s">
        <v>38</v>
      </c>
      <c r="E881">
        <v>50</v>
      </c>
      <c r="F881" t="s">
        <v>15</v>
      </c>
      <c r="G881">
        <v>1107.8599999999999</v>
      </c>
      <c r="H881">
        <v>39</v>
      </c>
      <c r="I881" t="s">
        <v>22</v>
      </c>
      <c r="J881">
        <v>3.7</v>
      </c>
      <c r="K881" t="s">
        <v>17</v>
      </c>
      <c r="L881" t="s">
        <v>18</v>
      </c>
      <c r="M881" t="str">
        <f>VLOOKUP(D885,Restaurant_Master!A:B,2,FALSE)</f>
        <v>https://www.chatswoodinterchange.com/storages/2018/08/Sushi-World_666x448.jpg</v>
      </c>
    </row>
    <row r="882" spans="1:13" x14ac:dyDescent="0.3">
      <c r="A882" t="s">
        <v>912</v>
      </c>
      <c r="B882" s="1">
        <v>45442</v>
      </c>
      <c r="C882" t="s">
        <v>43</v>
      </c>
      <c r="D882" t="s">
        <v>21</v>
      </c>
      <c r="E882">
        <v>45</v>
      </c>
      <c r="F882" t="s">
        <v>28</v>
      </c>
      <c r="G882">
        <v>798.86</v>
      </c>
      <c r="H882">
        <v>23</v>
      </c>
      <c r="I882" t="s">
        <v>22</v>
      </c>
      <c r="J882">
        <v>3</v>
      </c>
      <c r="K882" t="s">
        <v>29</v>
      </c>
      <c r="L882" t="s">
        <v>23</v>
      </c>
      <c r="M882" t="str">
        <f>VLOOKUP(D886,Restaurant_Master!A:B,2,FALSE)</f>
        <v>https://dynamic-media-cdn.tripadvisor.com/media/photo-o/1c/e7/04/0d/front-of-the-local-easily.jpg</v>
      </c>
    </row>
    <row r="883" spans="1:13" x14ac:dyDescent="0.3">
      <c r="A883" t="s">
        <v>913</v>
      </c>
      <c r="B883" s="1">
        <v>45427</v>
      </c>
      <c r="C883" t="s">
        <v>36</v>
      </c>
      <c r="D883" t="s">
        <v>38</v>
      </c>
      <c r="E883">
        <v>31</v>
      </c>
      <c r="F883" t="s">
        <v>28</v>
      </c>
      <c r="G883">
        <v>171.05</v>
      </c>
      <c r="H883">
        <v>56</v>
      </c>
      <c r="I883" t="s">
        <v>16</v>
      </c>
      <c r="J883">
        <v>2.6</v>
      </c>
      <c r="K883" t="s">
        <v>17</v>
      </c>
      <c r="L883" t="s">
        <v>23</v>
      </c>
      <c r="M883" t="str">
        <f>VLOOKUP(D887,Restaurant_Master!A:B,2,FALSE)</f>
        <v>https://media-cdn.tripadvisor.com/media/photo-s/1c/c7/97/b6/photo6jpg.jpg</v>
      </c>
    </row>
    <row r="884" spans="1:13" x14ac:dyDescent="0.3">
      <c r="A884" t="s">
        <v>914</v>
      </c>
      <c r="B884" s="1">
        <v>45343</v>
      </c>
      <c r="C884" t="s">
        <v>34</v>
      </c>
      <c r="D884" t="s">
        <v>21</v>
      </c>
      <c r="E884">
        <v>37</v>
      </c>
      <c r="F884" t="s">
        <v>28</v>
      </c>
      <c r="G884">
        <v>971.09</v>
      </c>
      <c r="H884">
        <v>33</v>
      </c>
      <c r="I884" t="s">
        <v>22</v>
      </c>
      <c r="J884">
        <v>3.4</v>
      </c>
      <c r="K884" t="s">
        <v>26</v>
      </c>
      <c r="L884" t="s">
        <v>23</v>
      </c>
      <c r="M884" t="str">
        <f>VLOOKUP(D888,Restaurant_Master!A:B,2,FALSE)</f>
        <v>https://dineout-media-assets.swiggy.com/swiggy/image/upload/fl_lossy,f_auto,q_auto/v1660793737/fdqxvxcxg1wtdwvyv45v.jpg</v>
      </c>
    </row>
    <row r="885" spans="1:13" x14ac:dyDescent="0.3">
      <c r="A885" t="s">
        <v>915</v>
      </c>
      <c r="B885" s="1">
        <v>45399</v>
      </c>
      <c r="C885" t="s">
        <v>20</v>
      </c>
      <c r="D885" t="s">
        <v>38</v>
      </c>
      <c r="E885">
        <v>31</v>
      </c>
      <c r="F885" t="s">
        <v>15</v>
      </c>
      <c r="G885">
        <v>897.83</v>
      </c>
      <c r="H885">
        <v>27</v>
      </c>
      <c r="I885" t="s">
        <v>22</v>
      </c>
      <c r="J885">
        <v>3.8</v>
      </c>
      <c r="K885" t="s">
        <v>26</v>
      </c>
      <c r="L885" t="s">
        <v>23</v>
      </c>
      <c r="M885" t="str">
        <f>VLOOKUP(D889,Restaurant_Master!A:B,2,FALSE)</f>
        <v>https://dynamic-media-cdn.tripadvisor.com/media/photo-o/1c/e7/04/0d/front-of-the-local-easily.jpg</v>
      </c>
    </row>
    <row r="886" spans="1:13" x14ac:dyDescent="0.3">
      <c r="A886" t="s">
        <v>916</v>
      </c>
      <c r="B886" s="1">
        <v>45652</v>
      </c>
      <c r="C886" t="s">
        <v>13</v>
      </c>
      <c r="D886" t="s">
        <v>21</v>
      </c>
      <c r="E886">
        <v>24</v>
      </c>
      <c r="F886" t="s">
        <v>28</v>
      </c>
      <c r="G886">
        <v>402.69</v>
      </c>
      <c r="H886">
        <v>20</v>
      </c>
      <c r="I886" t="s">
        <v>22</v>
      </c>
      <c r="J886">
        <v>4.7</v>
      </c>
      <c r="K886" t="s">
        <v>41</v>
      </c>
      <c r="L886" t="s">
        <v>23</v>
      </c>
      <c r="M886" t="str">
        <f>VLOOKUP(D890,Restaurant_Master!A:B,2,FALSE)</f>
        <v>https://www.chatswoodinterchange.com/storages/2018/08/Sushi-World_666x448.jpg</v>
      </c>
    </row>
    <row r="887" spans="1:13" x14ac:dyDescent="0.3">
      <c r="A887" t="s">
        <v>917</v>
      </c>
      <c r="B887" s="1">
        <v>45517</v>
      </c>
      <c r="C887" t="s">
        <v>20</v>
      </c>
      <c r="D887" t="s">
        <v>25</v>
      </c>
      <c r="E887">
        <v>40</v>
      </c>
      <c r="F887" t="s">
        <v>28</v>
      </c>
      <c r="G887">
        <v>893.47</v>
      </c>
      <c r="H887">
        <v>25</v>
      </c>
      <c r="I887" t="s">
        <v>22</v>
      </c>
      <c r="J887">
        <v>3.9</v>
      </c>
      <c r="K887" t="s">
        <v>29</v>
      </c>
      <c r="L887" t="s">
        <v>23</v>
      </c>
      <c r="M887" t="str">
        <f>VLOOKUP(D891,Restaurant_Master!A:B,2,FALSE)</f>
        <v>https://media-cdn.tripadvisor.com/media/photo-s/1c/c7/97/b6/photo6jpg.jpg</v>
      </c>
    </row>
    <row r="888" spans="1:13" x14ac:dyDescent="0.3">
      <c r="A888" t="s">
        <v>918</v>
      </c>
      <c r="B888" s="1">
        <v>45534</v>
      </c>
      <c r="C888" t="s">
        <v>43</v>
      </c>
      <c r="D888" t="s">
        <v>14</v>
      </c>
      <c r="E888">
        <v>28</v>
      </c>
      <c r="F888" t="s">
        <v>28</v>
      </c>
      <c r="G888">
        <v>580.30999999999995</v>
      </c>
      <c r="H888">
        <v>39</v>
      </c>
      <c r="I888" t="s">
        <v>22</v>
      </c>
      <c r="J888">
        <v>3.3</v>
      </c>
      <c r="K888" t="s">
        <v>17</v>
      </c>
      <c r="L888" t="s">
        <v>18</v>
      </c>
      <c r="M888" t="str">
        <f>VLOOKUP(D892,Restaurant_Master!A:B,2,FALSE)</f>
        <v>https://www.chatswoodinterchange.com/storages/2018/08/Sushi-World_666x448.jpg</v>
      </c>
    </row>
    <row r="889" spans="1:13" x14ac:dyDescent="0.3">
      <c r="A889" t="s">
        <v>919</v>
      </c>
      <c r="B889" s="1">
        <v>45309</v>
      </c>
      <c r="C889" t="s">
        <v>43</v>
      </c>
      <c r="D889" t="s">
        <v>21</v>
      </c>
      <c r="E889">
        <v>48</v>
      </c>
      <c r="F889" t="s">
        <v>28</v>
      </c>
      <c r="G889">
        <v>519.28</v>
      </c>
      <c r="H889">
        <v>40</v>
      </c>
      <c r="I889" t="s">
        <v>22</v>
      </c>
      <c r="J889">
        <v>3.6</v>
      </c>
      <c r="K889" t="s">
        <v>26</v>
      </c>
      <c r="L889" t="s">
        <v>23</v>
      </c>
      <c r="M889" t="str">
        <f>VLOOKUP(D893,Restaurant_Master!A:B,2,FALSE)</f>
        <v>https://media-cdn.tripadvisor.com/media/photo-s/1c/c7/97/b6/photo6jpg.jpg</v>
      </c>
    </row>
    <row r="890" spans="1:13" x14ac:dyDescent="0.3">
      <c r="A890" t="s">
        <v>920</v>
      </c>
      <c r="B890" s="1">
        <v>45477</v>
      </c>
      <c r="C890" t="s">
        <v>13</v>
      </c>
      <c r="D890" t="s">
        <v>38</v>
      </c>
      <c r="E890">
        <v>38</v>
      </c>
      <c r="F890" t="s">
        <v>15</v>
      </c>
      <c r="G890">
        <v>276.14999999999998</v>
      </c>
      <c r="H890">
        <v>51</v>
      </c>
      <c r="I890" t="s">
        <v>16</v>
      </c>
      <c r="J890">
        <v>2.6</v>
      </c>
      <c r="K890" t="s">
        <v>41</v>
      </c>
      <c r="L890" t="s">
        <v>23</v>
      </c>
      <c r="M890" t="str">
        <f>VLOOKUP(D894,Restaurant_Master!A:B,2,FALSE)</f>
        <v>https://www.chatswoodinterchange.com/storages/2018/08/Sushi-World_666x448.jpg</v>
      </c>
    </row>
    <row r="891" spans="1:13" x14ac:dyDescent="0.3">
      <c r="A891" t="s">
        <v>921</v>
      </c>
      <c r="B891" s="1">
        <v>45441</v>
      </c>
      <c r="C891" t="s">
        <v>34</v>
      </c>
      <c r="D891" t="s">
        <v>25</v>
      </c>
      <c r="E891">
        <v>24</v>
      </c>
      <c r="F891" t="s">
        <v>15</v>
      </c>
      <c r="G891">
        <v>609.89</v>
      </c>
      <c r="H891">
        <v>48</v>
      </c>
      <c r="I891" t="s">
        <v>16</v>
      </c>
      <c r="J891">
        <v>4.0999999999999996</v>
      </c>
      <c r="K891" t="s">
        <v>17</v>
      </c>
      <c r="L891" t="s">
        <v>18</v>
      </c>
      <c r="M891" t="str">
        <f>VLOOKUP(D895,Restaurant_Master!A:B,2,FALSE)</f>
        <v>https://dynamic-media-cdn.tripadvisor.com/media/photo-o/1c/e7/04/0d/front-of-the-local-easily.jpg</v>
      </c>
    </row>
    <row r="892" spans="1:13" x14ac:dyDescent="0.3">
      <c r="A892" t="s">
        <v>922</v>
      </c>
      <c r="B892" s="1">
        <v>45477</v>
      </c>
      <c r="C892" t="s">
        <v>36</v>
      </c>
      <c r="D892" t="s">
        <v>38</v>
      </c>
      <c r="E892">
        <v>19</v>
      </c>
      <c r="F892" t="s">
        <v>15</v>
      </c>
      <c r="G892">
        <v>1165.8399999999999</v>
      </c>
      <c r="H892">
        <v>32</v>
      </c>
      <c r="I892" t="s">
        <v>22</v>
      </c>
      <c r="J892">
        <v>4.9000000000000004</v>
      </c>
      <c r="K892" t="s">
        <v>29</v>
      </c>
      <c r="L892" t="s">
        <v>23</v>
      </c>
      <c r="M892" t="str">
        <f>VLOOKUP(D896,Restaurant_Master!A:B,2,FALSE)</f>
        <v>https://dynamic-media-cdn.tripadvisor.com/media/photo-o/1c/e7/04/0d/front-of-the-local-easily.jpg</v>
      </c>
    </row>
    <row r="893" spans="1:13" x14ac:dyDescent="0.3">
      <c r="A893" t="s">
        <v>923</v>
      </c>
      <c r="B893" s="1">
        <v>45367</v>
      </c>
      <c r="C893" t="s">
        <v>43</v>
      </c>
      <c r="D893" t="s">
        <v>25</v>
      </c>
      <c r="E893">
        <v>18</v>
      </c>
      <c r="F893" t="s">
        <v>15</v>
      </c>
      <c r="G893">
        <v>1061.44</v>
      </c>
      <c r="H893">
        <v>36</v>
      </c>
      <c r="I893" t="s">
        <v>22</v>
      </c>
      <c r="J893">
        <v>4.4000000000000004</v>
      </c>
      <c r="K893" t="s">
        <v>26</v>
      </c>
      <c r="L893" t="s">
        <v>18</v>
      </c>
      <c r="M893" t="str">
        <f>VLOOKUP(D897,Restaurant_Master!A:B,2,FALSE)</f>
        <v>https://dineout-media-assets.swiggy.com/swiggy/image/upload/fl_lossy,f_auto,q_auto/v1660793737/fdqxvxcxg1wtdwvyv45v.jpg</v>
      </c>
    </row>
    <row r="894" spans="1:13" x14ac:dyDescent="0.3">
      <c r="A894" t="s">
        <v>924</v>
      </c>
      <c r="B894" s="1">
        <v>45337</v>
      </c>
      <c r="C894" t="s">
        <v>20</v>
      </c>
      <c r="D894" t="s">
        <v>38</v>
      </c>
      <c r="E894">
        <v>57</v>
      </c>
      <c r="F894" t="s">
        <v>15</v>
      </c>
      <c r="G894">
        <v>888.77</v>
      </c>
      <c r="H894">
        <v>27</v>
      </c>
      <c r="I894" t="s">
        <v>22</v>
      </c>
      <c r="J894">
        <v>2.9</v>
      </c>
      <c r="K894" t="s">
        <v>26</v>
      </c>
      <c r="L894" t="s">
        <v>23</v>
      </c>
      <c r="M894" t="str">
        <f>VLOOKUP(D898,Restaurant_Master!A:B,2,FALSE)</f>
        <v>https://media-cdn.tripadvisor.com/media/photo-s/1c/c7/97/b6/photo6jpg.jpg</v>
      </c>
    </row>
    <row r="895" spans="1:13" x14ac:dyDescent="0.3">
      <c r="A895" t="s">
        <v>925</v>
      </c>
      <c r="B895" s="1">
        <v>45311</v>
      </c>
      <c r="C895" t="s">
        <v>34</v>
      </c>
      <c r="D895" t="s">
        <v>21</v>
      </c>
      <c r="E895">
        <v>39</v>
      </c>
      <c r="F895" t="s">
        <v>15</v>
      </c>
      <c r="G895">
        <v>902.05</v>
      </c>
      <c r="H895">
        <v>56</v>
      </c>
      <c r="I895" t="s">
        <v>16</v>
      </c>
      <c r="J895">
        <v>3.6</v>
      </c>
      <c r="K895" t="s">
        <v>17</v>
      </c>
      <c r="L895" t="s">
        <v>18</v>
      </c>
      <c r="M895" t="str">
        <f>VLOOKUP(D899,Restaurant_Master!A:B,2,FALSE)</f>
        <v>https://content.jdmagicbox.com/comp/deoria/g6/9999p5568.5568.200119143033.m4g6/catalogue/biryani-house-deoria-ho-deoria-mktc2xph0o.jpg</v>
      </c>
    </row>
    <row r="896" spans="1:13" x14ac:dyDescent="0.3">
      <c r="A896" t="s">
        <v>926</v>
      </c>
      <c r="B896" s="1">
        <v>45315</v>
      </c>
      <c r="C896" t="s">
        <v>34</v>
      </c>
      <c r="D896" t="s">
        <v>21</v>
      </c>
      <c r="E896">
        <v>31</v>
      </c>
      <c r="F896" t="s">
        <v>15</v>
      </c>
      <c r="G896">
        <v>1154.46</v>
      </c>
      <c r="H896">
        <v>20</v>
      </c>
      <c r="I896" t="s">
        <v>22</v>
      </c>
      <c r="J896">
        <v>4.8</v>
      </c>
      <c r="K896" t="s">
        <v>29</v>
      </c>
      <c r="L896" t="s">
        <v>18</v>
      </c>
      <c r="M896" t="str">
        <f>VLOOKUP(D900,Restaurant_Master!A:B,2,FALSE)</f>
        <v>https://www.chatswoodinterchange.com/storages/2018/08/Sushi-World_666x448.jpg</v>
      </c>
    </row>
    <row r="897" spans="1:13" x14ac:dyDescent="0.3">
      <c r="A897" t="s">
        <v>927</v>
      </c>
      <c r="B897" s="1">
        <v>45517</v>
      </c>
      <c r="C897" t="s">
        <v>20</v>
      </c>
      <c r="D897" t="s">
        <v>14</v>
      </c>
      <c r="E897">
        <v>27</v>
      </c>
      <c r="F897" t="s">
        <v>28</v>
      </c>
      <c r="G897">
        <v>257.91000000000003</v>
      </c>
      <c r="H897">
        <v>42</v>
      </c>
      <c r="I897" t="s">
        <v>16</v>
      </c>
      <c r="J897">
        <v>3.9</v>
      </c>
      <c r="K897" t="s">
        <v>26</v>
      </c>
      <c r="L897" t="s">
        <v>18</v>
      </c>
      <c r="M897" t="str">
        <f>VLOOKUP(D901,Restaurant_Master!A:B,2,FALSE)</f>
        <v>https://www.chatswoodinterchange.com/storages/2018/08/Sushi-World_666x448.jpg</v>
      </c>
    </row>
    <row r="898" spans="1:13" x14ac:dyDescent="0.3">
      <c r="A898" t="s">
        <v>928</v>
      </c>
      <c r="B898" s="1">
        <v>45307</v>
      </c>
      <c r="C898" t="s">
        <v>13</v>
      </c>
      <c r="D898" t="s">
        <v>25</v>
      </c>
      <c r="E898">
        <v>26</v>
      </c>
      <c r="F898" t="s">
        <v>15</v>
      </c>
      <c r="G898">
        <v>1138.6400000000001</v>
      </c>
      <c r="H898">
        <v>51</v>
      </c>
      <c r="I898" t="s">
        <v>16</v>
      </c>
      <c r="J898">
        <v>4.0999999999999996</v>
      </c>
      <c r="K898" t="s">
        <v>29</v>
      </c>
      <c r="L898" t="s">
        <v>18</v>
      </c>
      <c r="M898" t="str">
        <f>VLOOKUP(D902,Restaurant_Master!A:B,2,FALSE)</f>
        <v>https://dineout-media-assets.swiggy.com/swiggy/image/upload/fl_lossy,f_auto,q_auto/v1660793737/fdqxvxcxg1wtdwvyv45v.jpg</v>
      </c>
    </row>
    <row r="899" spans="1:13" x14ac:dyDescent="0.3">
      <c r="A899" t="s">
        <v>929</v>
      </c>
      <c r="B899" s="1">
        <v>45462</v>
      </c>
      <c r="C899" t="s">
        <v>36</v>
      </c>
      <c r="D899" t="s">
        <v>32</v>
      </c>
      <c r="E899">
        <v>45</v>
      </c>
      <c r="F899" t="s">
        <v>15</v>
      </c>
      <c r="G899">
        <v>625.94000000000005</v>
      </c>
      <c r="H899">
        <v>26</v>
      </c>
      <c r="I899" t="s">
        <v>22</v>
      </c>
      <c r="J899">
        <v>3.7</v>
      </c>
      <c r="K899" t="s">
        <v>17</v>
      </c>
      <c r="L899" t="s">
        <v>18</v>
      </c>
      <c r="M899" t="str">
        <f>VLOOKUP(D903,Restaurant_Master!A:B,2,FALSE)</f>
        <v>https://dineout-media-assets.swiggy.com/swiggy/image/upload/fl_lossy,f_auto,q_auto/v1660793737/fdqxvxcxg1wtdwvyv45v.jpg</v>
      </c>
    </row>
    <row r="900" spans="1:13" x14ac:dyDescent="0.3">
      <c r="A900" t="s">
        <v>930</v>
      </c>
      <c r="B900" s="1">
        <v>45419</v>
      </c>
      <c r="C900" t="s">
        <v>36</v>
      </c>
      <c r="D900" t="s">
        <v>38</v>
      </c>
      <c r="E900">
        <v>59</v>
      </c>
      <c r="F900" t="s">
        <v>28</v>
      </c>
      <c r="G900">
        <v>653.66</v>
      </c>
      <c r="H900">
        <v>26</v>
      </c>
      <c r="I900" t="s">
        <v>22</v>
      </c>
      <c r="J900">
        <v>3.6</v>
      </c>
      <c r="K900" t="s">
        <v>29</v>
      </c>
      <c r="L900" t="s">
        <v>23</v>
      </c>
      <c r="M900" t="str">
        <f>VLOOKUP(D904,Restaurant_Master!A:B,2,FALSE)</f>
        <v>https://www.chatswoodinterchange.com/storages/2018/08/Sushi-World_666x448.jpg</v>
      </c>
    </row>
    <row r="901" spans="1:13" x14ac:dyDescent="0.3">
      <c r="A901" t="s">
        <v>931</v>
      </c>
      <c r="B901" s="1">
        <v>45469</v>
      </c>
      <c r="C901" t="s">
        <v>13</v>
      </c>
      <c r="D901" t="s">
        <v>38</v>
      </c>
      <c r="E901">
        <v>20</v>
      </c>
      <c r="F901" t="s">
        <v>15</v>
      </c>
      <c r="G901">
        <v>1164.32</v>
      </c>
      <c r="H901">
        <v>40</v>
      </c>
      <c r="I901" t="s">
        <v>22</v>
      </c>
      <c r="J901">
        <v>4</v>
      </c>
      <c r="K901" t="s">
        <v>29</v>
      </c>
      <c r="L901" t="s">
        <v>23</v>
      </c>
      <c r="M901" t="str">
        <f>VLOOKUP(D905,Restaurant_Master!A:B,2,FALSE)</f>
        <v>https://www.chatswoodinterchange.com/storages/2018/08/Sushi-World_666x448.jpg</v>
      </c>
    </row>
    <row r="902" spans="1:13" x14ac:dyDescent="0.3">
      <c r="A902" t="s">
        <v>932</v>
      </c>
      <c r="B902" s="1">
        <v>45348</v>
      </c>
      <c r="C902" t="s">
        <v>36</v>
      </c>
      <c r="D902" t="s">
        <v>14</v>
      </c>
      <c r="E902">
        <v>38</v>
      </c>
      <c r="F902" t="s">
        <v>15</v>
      </c>
      <c r="G902">
        <v>712.27</v>
      </c>
      <c r="H902">
        <v>28</v>
      </c>
      <c r="I902" t="s">
        <v>22</v>
      </c>
      <c r="J902">
        <v>3.2</v>
      </c>
      <c r="K902" t="s">
        <v>17</v>
      </c>
      <c r="L902" t="s">
        <v>23</v>
      </c>
      <c r="M902" t="str">
        <f>VLOOKUP(D906,Restaurant_Master!A:B,2,FALSE)</f>
        <v>https://content.jdmagicbox.com/comp/deoria/g6/9999p5568.5568.200119143033.m4g6/catalogue/biryani-house-deoria-ho-deoria-mktc2xph0o.jpg</v>
      </c>
    </row>
    <row r="903" spans="1:13" x14ac:dyDescent="0.3">
      <c r="A903" t="s">
        <v>933</v>
      </c>
      <c r="B903" s="1">
        <v>45378</v>
      </c>
      <c r="C903" t="s">
        <v>13</v>
      </c>
      <c r="D903" t="s">
        <v>14</v>
      </c>
      <c r="E903">
        <v>50</v>
      </c>
      <c r="F903" t="s">
        <v>28</v>
      </c>
      <c r="G903">
        <v>314.60000000000002</v>
      </c>
      <c r="H903">
        <v>27</v>
      </c>
      <c r="I903" t="s">
        <v>22</v>
      </c>
      <c r="J903">
        <v>4.4000000000000004</v>
      </c>
      <c r="K903" t="s">
        <v>17</v>
      </c>
      <c r="L903" t="s">
        <v>18</v>
      </c>
      <c r="M903" t="str">
        <f>VLOOKUP(D907,Restaurant_Master!A:B,2,FALSE)</f>
        <v>https://dynamic-media-cdn.tripadvisor.com/media/photo-o/1c/e7/04/0d/front-of-the-local-easily.jpg</v>
      </c>
    </row>
    <row r="904" spans="1:13" x14ac:dyDescent="0.3">
      <c r="A904" t="s">
        <v>934</v>
      </c>
      <c r="B904" s="1">
        <v>45604</v>
      </c>
      <c r="C904" t="s">
        <v>20</v>
      </c>
      <c r="D904" t="s">
        <v>38</v>
      </c>
      <c r="E904">
        <v>41</v>
      </c>
      <c r="F904" t="s">
        <v>15</v>
      </c>
      <c r="G904">
        <v>483.8</v>
      </c>
      <c r="H904">
        <v>30</v>
      </c>
      <c r="I904" t="s">
        <v>22</v>
      </c>
      <c r="J904">
        <v>2.6</v>
      </c>
      <c r="K904" t="s">
        <v>26</v>
      </c>
      <c r="L904" t="s">
        <v>18</v>
      </c>
      <c r="M904" t="str">
        <f>VLOOKUP(D908,Restaurant_Master!A:B,2,FALSE)</f>
        <v>https://content.jdmagicbox.com/comp/deoria/g6/9999p5568.5568.200119143033.m4g6/catalogue/biryani-house-deoria-ho-deoria-mktc2xph0o.jpg</v>
      </c>
    </row>
    <row r="905" spans="1:13" x14ac:dyDescent="0.3">
      <c r="A905" t="s">
        <v>935</v>
      </c>
      <c r="B905" s="1">
        <v>45536</v>
      </c>
      <c r="C905" t="s">
        <v>34</v>
      </c>
      <c r="D905" t="s">
        <v>38</v>
      </c>
      <c r="E905">
        <v>36</v>
      </c>
      <c r="F905" t="s">
        <v>15</v>
      </c>
      <c r="G905">
        <v>675.46</v>
      </c>
      <c r="H905">
        <v>53</v>
      </c>
      <c r="I905" t="s">
        <v>16</v>
      </c>
      <c r="J905">
        <v>4</v>
      </c>
      <c r="K905" t="s">
        <v>17</v>
      </c>
      <c r="L905" t="s">
        <v>18</v>
      </c>
      <c r="M905" t="str">
        <f>VLOOKUP(D909,Restaurant_Master!A:B,2,FALSE)</f>
        <v>https://media-cdn.tripadvisor.com/media/photo-s/1c/c7/97/b6/photo6jpg.jpg</v>
      </c>
    </row>
    <row r="906" spans="1:13" x14ac:dyDescent="0.3">
      <c r="A906" t="s">
        <v>936</v>
      </c>
      <c r="B906" s="1">
        <v>45461</v>
      </c>
      <c r="C906" t="s">
        <v>13</v>
      </c>
      <c r="D906" t="s">
        <v>32</v>
      </c>
      <c r="E906">
        <v>26</v>
      </c>
      <c r="F906" t="s">
        <v>15</v>
      </c>
      <c r="G906">
        <v>314.47000000000003</v>
      </c>
      <c r="H906">
        <v>31</v>
      </c>
      <c r="I906" t="s">
        <v>22</v>
      </c>
      <c r="J906">
        <v>3.6</v>
      </c>
      <c r="K906" t="s">
        <v>41</v>
      </c>
      <c r="L906" t="s">
        <v>18</v>
      </c>
      <c r="M906" t="str">
        <f>VLOOKUP(D910,Restaurant_Master!A:B,2,FALSE)</f>
        <v>https://www.chatswoodinterchange.com/storages/2018/08/Sushi-World_666x448.jpg</v>
      </c>
    </row>
    <row r="907" spans="1:13" x14ac:dyDescent="0.3">
      <c r="A907" t="s">
        <v>937</v>
      </c>
      <c r="B907" s="1">
        <v>45493</v>
      </c>
      <c r="C907" t="s">
        <v>34</v>
      </c>
      <c r="D907" t="s">
        <v>21</v>
      </c>
      <c r="E907">
        <v>30</v>
      </c>
      <c r="F907" t="s">
        <v>15</v>
      </c>
      <c r="G907">
        <v>552.57000000000005</v>
      </c>
      <c r="H907">
        <v>60</v>
      </c>
      <c r="I907" t="s">
        <v>16</v>
      </c>
      <c r="J907">
        <v>4</v>
      </c>
      <c r="K907" t="s">
        <v>41</v>
      </c>
      <c r="L907" t="s">
        <v>23</v>
      </c>
      <c r="M907" t="str">
        <f>VLOOKUP(D911,Restaurant_Master!A:B,2,FALSE)</f>
        <v>https://media-cdn.tripadvisor.com/media/photo-s/1c/c7/97/b6/photo6jpg.jpg</v>
      </c>
    </row>
    <row r="908" spans="1:13" x14ac:dyDescent="0.3">
      <c r="A908" t="s">
        <v>938</v>
      </c>
      <c r="B908" s="1">
        <v>45605</v>
      </c>
      <c r="C908" t="s">
        <v>34</v>
      </c>
      <c r="D908" t="s">
        <v>32</v>
      </c>
      <c r="E908">
        <v>55</v>
      </c>
      <c r="F908" t="s">
        <v>15</v>
      </c>
      <c r="G908">
        <v>562.4</v>
      </c>
      <c r="H908">
        <v>47</v>
      </c>
      <c r="I908" t="s">
        <v>16</v>
      </c>
      <c r="J908">
        <v>3.6</v>
      </c>
      <c r="K908" t="s">
        <v>41</v>
      </c>
      <c r="L908" t="s">
        <v>18</v>
      </c>
      <c r="M908" t="str">
        <f>VLOOKUP(D912,Restaurant_Master!A:B,2,FALSE)</f>
        <v>https://dineout-media-assets.swiggy.com/swiggy/image/upload/fl_lossy,f_auto,q_auto/v1660793737/fdqxvxcxg1wtdwvyv45v.jpg</v>
      </c>
    </row>
    <row r="909" spans="1:13" x14ac:dyDescent="0.3">
      <c r="A909" t="s">
        <v>939</v>
      </c>
      <c r="B909" s="1">
        <v>45476</v>
      </c>
      <c r="C909" t="s">
        <v>20</v>
      </c>
      <c r="D909" t="s">
        <v>25</v>
      </c>
      <c r="E909">
        <v>52</v>
      </c>
      <c r="F909" t="s">
        <v>15</v>
      </c>
      <c r="G909">
        <v>309.33999999999997</v>
      </c>
      <c r="H909">
        <v>52</v>
      </c>
      <c r="I909" t="s">
        <v>16</v>
      </c>
      <c r="J909">
        <v>2.8</v>
      </c>
      <c r="K909" t="s">
        <v>17</v>
      </c>
      <c r="L909" t="s">
        <v>23</v>
      </c>
      <c r="M909" t="str">
        <f>VLOOKUP(D913,Restaurant_Master!A:B,2,FALSE)</f>
        <v>https://media-cdn.tripadvisor.com/media/photo-s/1c/c7/97/b6/photo6jpg.jpg</v>
      </c>
    </row>
    <row r="910" spans="1:13" x14ac:dyDescent="0.3">
      <c r="A910" t="s">
        <v>940</v>
      </c>
      <c r="B910" s="1">
        <v>45417</v>
      </c>
      <c r="C910" t="s">
        <v>43</v>
      </c>
      <c r="D910" t="s">
        <v>38</v>
      </c>
      <c r="E910">
        <v>47</v>
      </c>
      <c r="F910" t="s">
        <v>28</v>
      </c>
      <c r="G910">
        <v>648.84</v>
      </c>
      <c r="H910">
        <v>53</v>
      </c>
      <c r="I910" t="s">
        <v>16</v>
      </c>
      <c r="J910">
        <v>4.5999999999999996</v>
      </c>
      <c r="K910" t="s">
        <v>41</v>
      </c>
      <c r="L910" t="s">
        <v>18</v>
      </c>
      <c r="M910" t="str">
        <f>VLOOKUP(D914,Restaurant_Master!A:B,2,FALSE)</f>
        <v>https://dineout-media-assets.swiggy.com/swiggy/image/upload/fl_lossy,f_auto,q_auto/v1660793737/fdqxvxcxg1wtdwvyv45v.jpg</v>
      </c>
    </row>
    <row r="911" spans="1:13" x14ac:dyDescent="0.3">
      <c r="A911" t="s">
        <v>941</v>
      </c>
      <c r="B911" s="1">
        <v>45412</v>
      </c>
      <c r="C911" t="s">
        <v>36</v>
      </c>
      <c r="D911" t="s">
        <v>25</v>
      </c>
      <c r="E911">
        <v>33</v>
      </c>
      <c r="F911" t="s">
        <v>28</v>
      </c>
      <c r="G911">
        <v>553.20000000000005</v>
      </c>
      <c r="H911">
        <v>46</v>
      </c>
      <c r="I911" t="s">
        <v>16</v>
      </c>
      <c r="J911">
        <v>4.5999999999999996</v>
      </c>
      <c r="K911" t="s">
        <v>17</v>
      </c>
      <c r="L911" t="s">
        <v>23</v>
      </c>
      <c r="M911" t="str">
        <f>VLOOKUP(D915,Restaurant_Master!A:B,2,FALSE)</f>
        <v>https://www.chatswoodinterchange.com/storages/2018/08/Sushi-World_666x448.jpg</v>
      </c>
    </row>
    <row r="912" spans="1:13" x14ac:dyDescent="0.3">
      <c r="A912" t="s">
        <v>942</v>
      </c>
      <c r="B912" s="1">
        <v>45622</v>
      </c>
      <c r="C912" t="s">
        <v>34</v>
      </c>
      <c r="D912" t="s">
        <v>14</v>
      </c>
      <c r="E912">
        <v>24</v>
      </c>
      <c r="F912" t="s">
        <v>15</v>
      </c>
      <c r="G912">
        <v>283.01</v>
      </c>
      <c r="H912">
        <v>53</v>
      </c>
      <c r="I912" t="s">
        <v>16</v>
      </c>
      <c r="J912">
        <v>3.2</v>
      </c>
      <c r="K912" t="s">
        <v>41</v>
      </c>
      <c r="L912" t="s">
        <v>18</v>
      </c>
      <c r="M912" t="str">
        <f>VLOOKUP(D916,Restaurant_Master!A:B,2,FALSE)</f>
        <v>https://content.jdmagicbox.com/comp/deoria/g6/9999p5568.5568.200119143033.m4g6/catalogue/biryani-house-deoria-ho-deoria-mktc2xph0o.jpg</v>
      </c>
    </row>
    <row r="913" spans="1:13" x14ac:dyDescent="0.3">
      <c r="A913" t="s">
        <v>943</v>
      </c>
      <c r="B913" s="1">
        <v>45606</v>
      </c>
      <c r="C913" t="s">
        <v>34</v>
      </c>
      <c r="D913" t="s">
        <v>25</v>
      </c>
      <c r="E913">
        <v>45</v>
      </c>
      <c r="F913" t="s">
        <v>28</v>
      </c>
      <c r="G913">
        <v>945.91</v>
      </c>
      <c r="H913">
        <v>56</v>
      </c>
      <c r="I913" t="s">
        <v>16</v>
      </c>
      <c r="J913">
        <v>4.4000000000000004</v>
      </c>
      <c r="K913" t="s">
        <v>29</v>
      </c>
      <c r="L913" t="s">
        <v>23</v>
      </c>
      <c r="M913" t="str">
        <f>VLOOKUP(D917,Restaurant_Master!A:B,2,FALSE)</f>
        <v>https://dineout-media-assets.swiggy.com/swiggy/image/upload/fl_lossy,f_auto,q_auto/v1660793737/fdqxvxcxg1wtdwvyv45v.jpg</v>
      </c>
    </row>
    <row r="914" spans="1:13" x14ac:dyDescent="0.3">
      <c r="A914" t="s">
        <v>944</v>
      </c>
      <c r="B914" s="1">
        <v>45509</v>
      </c>
      <c r="C914" t="s">
        <v>13</v>
      </c>
      <c r="D914" t="s">
        <v>14</v>
      </c>
      <c r="E914">
        <v>41</v>
      </c>
      <c r="F914" t="s">
        <v>28</v>
      </c>
      <c r="G914">
        <v>1013.85</v>
      </c>
      <c r="H914">
        <v>24</v>
      </c>
      <c r="I914" t="s">
        <v>22</v>
      </c>
      <c r="J914">
        <v>4.8</v>
      </c>
      <c r="K914" t="s">
        <v>17</v>
      </c>
      <c r="L914" t="s">
        <v>18</v>
      </c>
      <c r="M914" t="str">
        <f>VLOOKUP(D918,Restaurant_Master!A:B,2,FALSE)</f>
        <v>https://dineout-media-assets.swiggy.com/swiggy/image/upload/fl_lossy,f_auto,q_auto/v1660793737/fdqxvxcxg1wtdwvyv45v.jpg</v>
      </c>
    </row>
    <row r="915" spans="1:13" x14ac:dyDescent="0.3">
      <c r="A915" t="s">
        <v>945</v>
      </c>
      <c r="B915" s="1">
        <v>45444</v>
      </c>
      <c r="C915" t="s">
        <v>36</v>
      </c>
      <c r="D915" t="s">
        <v>38</v>
      </c>
      <c r="E915">
        <v>22</v>
      </c>
      <c r="F915" t="s">
        <v>15</v>
      </c>
      <c r="G915">
        <v>377.52</v>
      </c>
      <c r="H915">
        <v>27</v>
      </c>
      <c r="I915" t="s">
        <v>22</v>
      </c>
      <c r="J915">
        <v>3.9</v>
      </c>
      <c r="K915" t="s">
        <v>41</v>
      </c>
      <c r="L915" t="s">
        <v>23</v>
      </c>
      <c r="M915" t="str">
        <f>VLOOKUP(D919,Restaurant_Master!A:B,2,FALSE)</f>
        <v>https://content.jdmagicbox.com/comp/deoria/g6/9999p5568.5568.200119143033.m4g6/catalogue/biryani-house-deoria-ho-deoria-mktc2xph0o.jpg</v>
      </c>
    </row>
    <row r="916" spans="1:13" x14ac:dyDescent="0.3">
      <c r="A916" t="s">
        <v>946</v>
      </c>
      <c r="B916" s="1">
        <v>45499</v>
      </c>
      <c r="C916" t="s">
        <v>43</v>
      </c>
      <c r="D916" t="s">
        <v>32</v>
      </c>
      <c r="E916">
        <v>49</v>
      </c>
      <c r="F916" t="s">
        <v>28</v>
      </c>
      <c r="G916">
        <v>455.4</v>
      </c>
      <c r="H916">
        <v>40</v>
      </c>
      <c r="I916" t="s">
        <v>22</v>
      </c>
      <c r="J916">
        <v>4.9000000000000004</v>
      </c>
      <c r="K916" t="s">
        <v>17</v>
      </c>
      <c r="L916" t="s">
        <v>18</v>
      </c>
      <c r="M916" t="str">
        <f>VLOOKUP(D920,Restaurant_Master!A:B,2,FALSE)</f>
        <v>https://media-cdn.tripadvisor.com/media/photo-s/1c/c7/97/b6/photo6jpg.jpg</v>
      </c>
    </row>
    <row r="917" spans="1:13" x14ac:dyDescent="0.3">
      <c r="A917" t="s">
        <v>947</v>
      </c>
      <c r="B917" s="1">
        <v>45608</v>
      </c>
      <c r="C917" t="s">
        <v>34</v>
      </c>
      <c r="D917" t="s">
        <v>14</v>
      </c>
      <c r="E917">
        <v>42</v>
      </c>
      <c r="F917" t="s">
        <v>28</v>
      </c>
      <c r="G917">
        <v>1094.1600000000001</v>
      </c>
      <c r="H917">
        <v>31</v>
      </c>
      <c r="I917" t="s">
        <v>22</v>
      </c>
      <c r="J917">
        <v>2.8</v>
      </c>
      <c r="K917" t="s">
        <v>17</v>
      </c>
      <c r="L917" t="s">
        <v>23</v>
      </c>
      <c r="M917" t="str">
        <f>VLOOKUP(D921,Restaurant_Master!A:B,2,FALSE)</f>
        <v>https://dineout-media-assets.swiggy.com/swiggy/image/upload/fl_lossy,f_auto,q_auto/v1660793737/fdqxvxcxg1wtdwvyv45v.jpg</v>
      </c>
    </row>
    <row r="918" spans="1:13" x14ac:dyDescent="0.3">
      <c r="A918" t="s">
        <v>948</v>
      </c>
      <c r="B918" s="1">
        <v>45314</v>
      </c>
      <c r="C918" t="s">
        <v>43</v>
      </c>
      <c r="D918" t="s">
        <v>14</v>
      </c>
      <c r="E918">
        <v>54</v>
      </c>
      <c r="F918" t="s">
        <v>28</v>
      </c>
      <c r="G918">
        <v>914.91</v>
      </c>
      <c r="H918">
        <v>35</v>
      </c>
      <c r="I918" t="s">
        <v>22</v>
      </c>
      <c r="J918">
        <v>4.2</v>
      </c>
      <c r="K918" t="s">
        <v>29</v>
      </c>
      <c r="L918" t="s">
        <v>18</v>
      </c>
      <c r="M918" t="str">
        <f>VLOOKUP(D922,Restaurant_Master!A:B,2,FALSE)</f>
        <v>https://dineout-media-assets.swiggy.com/swiggy/image/upload/fl_lossy,f_auto,q_auto/v1660793737/fdqxvxcxg1wtdwvyv45v.jpg</v>
      </c>
    </row>
    <row r="919" spans="1:13" x14ac:dyDescent="0.3">
      <c r="A919" t="s">
        <v>949</v>
      </c>
      <c r="B919" s="1">
        <v>45429</v>
      </c>
      <c r="C919" t="s">
        <v>13</v>
      </c>
      <c r="D919" t="s">
        <v>32</v>
      </c>
      <c r="E919">
        <v>44</v>
      </c>
      <c r="F919" t="s">
        <v>28</v>
      </c>
      <c r="G919">
        <v>920.37</v>
      </c>
      <c r="H919">
        <v>43</v>
      </c>
      <c r="I919" t="s">
        <v>16</v>
      </c>
      <c r="J919">
        <v>4.0999999999999996</v>
      </c>
      <c r="K919" t="s">
        <v>29</v>
      </c>
      <c r="L919" t="s">
        <v>18</v>
      </c>
      <c r="M919" t="str">
        <f>VLOOKUP(D923,Restaurant_Master!A:B,2,FALSE)</f>
        <v>https://content.jdmagicbox.com/comp/deoria/g6/9999p5568.5568.200119143033.m4g6/catalogue/biryani-house-deoria-ho-deoria-mktc2xph0o.jpg</v>
      </c>
    </row>
    <row r="920" spans="1:13" x14ac:dyDescent="0.3">
      <c r="A920" t="s">
        <v>950</v>
      </c>
      <c r="B920" s="1">
        <v>45581</v>
      </c>
      <c r="C920" t="s">
        <v>13</v>
      </c>
      <c r="D920" t="s">
        <v>25</v>
      </c>
      <c r="E920">
        <v>52</v>
      </c>
      <c r="F920" t="s">
        <v>15</v>
      </c>
      <c r="G920">
        <v>747.81</v>
      </c>
      <c r="H920">
        <v>28</v>
      </c>
      <c r="I920" t="s">
        <v>22</v>
      </c>
      <c r="J920">
        <v>4.7</v>
      </c>
      <c r="K920" t="s">
        <v>26</v>
      </c>
      <c r="L920" t="s">
        <v>23</v>
      </c>
      <c r="M920" t="str">
        <f>VLOOKUP(D924,Restaurant_Master!A:B,2,FALSE)</f>
        <v>https://dynamic-media-cdn.tripadvisor.com/media/photo-o/1c/e7/04/0d/front-of-the-local-easily.jpg</v>
      </c>
    </row>
    <row r="921" spans="1:13" x14ac:dyDescent="0.3">
      <c r="A921" t="s">
        <v>951</v>
      </c>
      <c r="B921" s="1">
        <v>45325</v>
      </c>
      <c r="C921" t="s">
        <v>13</v>
      </c>
      <c r="D921" t="s">
        <v>14</v>
      </c>
      <c r="E921">
        <v>51</v>
      </c>
      <c r="F921" t="s">
        <v>15</v>
      </c>
      <c r="G921">
        <v>1093.23</v>
      </c>
      <c r="H921">
        <v>39</v>
      </c>
      <c r="I921" t="s">
        <v>22</v>
      </c>
      <c r="J921">
        <v>2.6</v>
      </c>
      <c r="K921" t="s">
        <v>17</v>
      </c>
      <c r="L921" t="s">
        <v>23</v>
      </c>
      <c r="M921" t="str">
        <f>VLOOKUP(D925,Restaurant_Master!A:B,2,FALSE)</f>
        <v>https://dynamic-media-cdn.tripadvisor.com/media/photo-o/1c/e7/04/0d/front-of-the-local-easily.jpg</v>
      </c>
    </row>
    <row r="922" spans="1:13" x14ac:dyDescent="0.3">
      <c r="A922" t="s">
        <v>952</v>
      </c>
      <c r="B922" s="1">
        <v>45588</v>
      </c>
      <c r="C922" t="s">
        <v>13</v>
      </c>
      <c r="D922" t="s">
        <v>14</v>
      </c>
      <c r="E922">
        <v>44</v>
      </c>
      <c r="F922" t="s">
        <v>15</v>
      </c>
      <c r="G922">
        <v>232.26</v>
      </c>
      <c r="H922">
        <v>34</v>
      </c>
      <c r="I922" t="s">
        <v>22</v>
      </c>
      <c r="J922">
        <v>2.7</v>
      </c>
      <c r="K922" t="s">
        <v>17</v>
      </c>
      <c r="L922" t="s">
        <v>18</v>
      </c>
      <c r="M922" t="str">
        <f>VLOOKUP(D926,Restaurant_Master!A:B,2,FALSE)</f>
        <v>https://www.chatswoodinterchange.com/storages/2018/08/Sushi-World_666x448.jpg</v>
      </c>
    </row>
    <row r="923" spans="1:13" x14ac:dyDescent="0.3">
      <c r="A923" t="s">
        <v>953</v>
      </c>
      <c r="B923" s="1">
        <v>45302</v>
      </c>
      <c r="C923" t="s">
        <v>36</v>
      </c>
      <c r="D923" t="s">
        <v>32</v>
      </c>
      <c r="E923">
        <v>21</v>
      </c>
      <c r="F923" t="s">
        <v>15</v>
      </c>
      <c r="G923">
        <v>1165.6300000000001</v>
      </c>
      <c r="H923">
        <v>30</v>
      </c>
      <c r="I923" t="s">
        <v>22</v>
      </c>
      <c r="J923">
        <v>3.8</v>
      </c>
      <c r="K923" t="s">
        <v>17</v>
      </c>
      <c r="L923" t="s">
        <v>23</v>
      </c>
      <c r="M923" t="str">
        <f>VLOOKUP(D927,Restaurant_Master!A:B,2,FALSE)</f>
        <v>https://dynamic-media-cdn.tripadvisor.com/media/photo-o/1c/e7/04/0d/front-of-the-local-easily.jpg</v>
      </c>
    </row>
    <row r="924" spans="1:13" x14ac:dyDescent="0.3">
      <c r="A924" t="s">
        <v>954</v>
      </c>
      <c r="B924" s="1">
        <v>45434</v>
      </c>
      <c r="C924" t="s">
        <v>13</v>
      </c>
      <c r="D924" t="s">
        <v>21</v>
      </c>
      <c r="E924">
        <v>36</v>
      </c>
      <c r="F924" t="s">
        <v>15</v>
      </c>
      <c r="G924">
        <v>496.52</v>
      </c>
      <c r="H924">
        <v>42</v>
      </c>
      <c r="I924" t="s">
        <v>16</v>
      </c>
      <c r="J924">
        <v>2.5</v>
      </c>
      <c r="K924" t="s">
        <v>41</v>
      </c>
      <c r="L924" t="s">
        <v>18</v>
      </c>
      <c r="M924" t="str">
        <f>VLOOKUP(D928,Restaurant_Master!A:B,2,FALSE)</f>
        <v>https://content.jdmagicbox.com/comp/deoria/g6/9999p5568.5568.200119143033.m4g6/catalogue/biryani-house-deoria-ho-deoria-mktc2xph0o.jpg</v>
      </c>
    </row>
    <row r="925" spans="1:13" x14ac:dyDescent="0.3">
      <c r="A925" t="s">
        <v>955</v>
      </c>
      <c r="B925" s="1">
        <v>45542</v>
      </c>
      <c r="C925" t="s">
        <v>43</v>
      </c>
      <c r="D925" t="s">
        <v>21</v>
      </c>
      <c r="E925">
        <v>59</v>
      </c>
      <c r="F925" t="s">
        <v>28</v>
      </c>
      <c r="G925">
        <v>274.64</v>
      </c>
      <c r="H925">
        <v>26</v>
      </c>
      <c r="I925" t="s">
        <v>22</v>
      </c>
      <c r="J925">
        <v>4</v>
      </c>
      <c r="K925" t="s">
        <v>41</v>
      </c>
      <c r="L925" t="s">
        <v>23</v>
      </c>
      <c r="M925" t="str">
        <f>VLOOKUP(D929,Restaurant_Master!A:B,2,FALSE)</f>
        <v>https://content.jdmagicbox.com/comp/deoria/g6/9999p5568.5568.200119143033.m4g6/catalogue/biryani-house-deoria-ho-deoria-mktc2xph0o.jpg</v>
      </c>
    </row>
    <row r="926" spans="1:13" x14ac:dyDescent="0.3">
      <c r="A926" t="s">
        <v>956</v>
      </c>
      <c r="B926" s="1">
        <v>45355</v>
      </c>
      <c r="C926" t="s">
        <v>13</v>
      </c>
      <c r="D926" t="s">
        <v>38</v>
      </c>
      <c r="E926">
        <v>58</v>
      </c>
      <c r="F926" t="s">
        <v>15</v>
      </c>
      <c r="G926">
        <v>867.75</v>
      </c>
      <c r="H926">
        <v>59</v>
      </c>
      <c r="I926" t="s">
        <v>16</v>
      </c>
      <c r="J926">
        <v>4.5999999999999996</v>
      </c>
      <c r="K926" t="s">
        <v>29</v>
      </c>
      <c r="L926" t="s">
        <v>23</v>
      </c>
      <c r="M926" t="str">
        <f>VLOOKUP(D930,Restaurant_Master!A:B,2,FALSE)</f>
        <v>https://media-cdn.tripadvisor.com/media/photo-s/1c/c7/97/b6/photo6jpg.jpg</v>
      </c>
    </row>
    <row r="927" spans="1:13" x14ac:dyDescent="0.3">
      <c r="A927" t="s">
        <v>957</v>
      </c>
      <c r="B927" s="1">
        <v>45500</v>
      </c>
      <c r="C927" t="s">
        <v>20</v>
      </c>
      <c r="D927" t="s">
        <v>21</v>
      </c>
      <c r="E927">
        <v>19</v>
      </c>
      <c r="F927" t="s">
        <v>28</v>
      </c>
      <c r="G927">
        <v>264.27</v>
      </c>
      <c r="H927">
        <v>32</v>
      </c>
      <c r="I927" t="s">
        <v>22</v>
      </c>
      <c r="J927">
        <v>4.5999999999999996</v>
      </c>
      <c r="K927" t="s">
        <v>41</v>
      </c>
      <c r="L927" t="s">
        <v>18</v>
      </c>
      <c r="M927" t="str">
        <f>VLOOKUP(D931,Restaurant_Master!A:B,2,FALSE)</f>
        <v>https://dynamic-media-cdn.tripadvisor.com/media/photo-o/1c/e7/04/0d/front-of-the-local-easily.jpg</v>
      </c>
    </row>
    <row r="928" spans="1:13" x14ac:dyDescent="0.3">
      <c r="A928" t="s">
        <v>958</v>
      </c>
      <c r="B928" s="1">
        <v>45625</v>
      </c>
      <c r="C928" t="s">
        <v>13</v>
      </c>
      <c r="D928" t="s">
        <v>32</v>
      </c>
      <c r="E928">
        <v>35</v>
      </c>
      <c r="F928" t="s">
        <v>28</v>
      </c>
      <c r="G928">
        <v>975.23</v>
      </c>
      <c r="H928">
        <v>30</v>
      </c>
      <c r="I928" t="s">
        <v>22</v>
      </c>
      <c r="J928">
        <v>3</v>
      </c>
      <c r="K928" t="s">
        <v>26</v>
      </c>
      <c r="L928" t="s">
        <v>23</v>
      </c>
      <c r="M928" t="str">
        <f>VLOOKUP(D932,Restaurant_Master!A:B,2,FALSE)</f>
        <v>https://content.jdmagicbox.com/comp/deoria/g6/9999p5568.5568.200119143033.m4g6/catalogue/biryani-house-deoria-ho-deoria-mktc2xph0o.jpg</v>
      </c>
    </row>
    <row r="929" spans="1:13" x14ac:dyDescent="0.3">
      <c r="A929" t="s">
        <v>959</v>
      </c>
      <c r="B929" s="1">
        <v>45568</v>
      </c>
      <c r="C929" t="s">
        <v>20</v>
      </c>
      <c r="D929" t="s">
        <v>32</v>
      </c>
      <c r="E929">
        <v>56</v>
      </c>
      <c r="F929" t="s">
        <v>15</v>
      </c>
      <c r="G929">
        <v>207.92</v>
      </c>
      <c r="H929">
        <v>22</v>
      </c>
      <c r="I929" t="s">
        <v>22</v>
      </c>
      <c r="J929">
        <v>2.8</v>
      </c>
      <c r="K929" t="s">
        <v>26</v>
      </c>
      <c r="L929" t="s">
        <v>23</v>
      </c>
      <c r="M929" t="str">
        <f>VLOOKUP(D933,Restaurant_Master!A:B,2,FALSE)</f>
        <v>https://media-cdn.tripadvisor.com/media/photo-s/1c/c7/97/b6/photo6jpg.jpg</v>
      </c>
    </row>
    <row r="930" spans="1:13" x14ac:dyDescent="0.3">
      <c r="A930" t="s">
        <v>960</v>
      </c>
      <c r="B930" s="1">
        <v>45552</v>
      </c>
      <c r="C930" t="s">
        <v>43</v>
      </c>
      <c r="D930" t="s">
        <v>25</v>
      </c>
      <c r="E930">
        <v>54</v>
      </c>
      <c r="F930" t="s">
        <v>28</v>
      </c>
      <c r="G930">
        <v>643.02</v>
      </c>
      <c r="H930">
        <v>31</v>
      </c>
      <c r="I930" t="s">
        <v>22</v>
      </c>
      <c r="J930">
        <v>4.8</v>
      </c>
      <c r="K930" t="s">
        <v>29</v>
      </c>
      <c r="L930" t="s">
        <v>23</v>
      </c>
      <c r="M930" t="str">
        <f>VLOOKUP(D934,Restaurant_Master!A:B,2,FALSE)</f>
        <v>https://dineout-media-assets.swiggy.com/swiggy/image/upload/fl_lossy,f_auto,q_auto/v1660793737/fdqxvxcxg1wtdwvyv45v.jpg</v>
      </c>
    </row>
    <row r="931" spans="1:13" x14ac:dyDescent="0.3">
      <c r="A931" t="s">
        <v>961</v>
      </c>
      <c r="B931" s="1">
        <v>45395</v>
      </c>
      <c r="C931" t="s">
        <v>13</v>
      </c>
      <c r="D931" t="s">
        <v>21</v>
      </c>
      <c r="E931">
        <v>52</v>
      </c>
      <c r="F931" t="s">
        <v>15</v>
      </c>
      <c r="G931">
        <v>498.33</v>
      </c>
      <c r="H931">
        <v>37</v>
      </c>
      <c r="I931" t="s">
        <v>22</v>
      </c>
      <c r="J931">
        <v>4.7</v>
      </c>
      <c r="K931" t="s">
        <v>29</v>
      </c>
      <c r="L931" t="s">
        <v>23</v>
      </c>
      <c r="M931" t="str">
        <f>VLOOKUP(D935,Restaurant_Master!A:B,2,FALSE)</f>
        <v>https://content.jdmagicbox.com/comp/deoria/g6/9999p5568.5568.200119143033.m4g6/catalogue/biryani-house-deoria-ho-deoria-mktc2xph0o.jpg</v>
      </c>
    </row>
    <row r="932" spans="1:13" x14ac:dyDescent="0.3">
      <c r="A932" t="s">
        <v>962</v>
      </c>
      <c r="B932" s="1">
        <v>45473</v>
      </c>
      <c r="C932" t="s">
        <v>20</v>
      </c>
      <c r="D932" t="s">
        <v>32</v>
      </c>
      <c r="E932">
        <v>38</v>
      </c>
      <c r="F932" t="s">
        <v>15</v>
      </c>
      <c r="G932">
        <v>724.72</v>
      </c>
      <c r="H932">
        <v>57</v>
      </c>
      <c r="I932" t="s">
        <v>16</v>
      </c>
      <c r="J932">
        <v>2.5</v>
      </c>
      <c r="K932" t="s">
        <v>26</v>
      </c>
      <c r="L932" t="s">
        <v>23</v>
      </c>
      <c r="M932" t="str">
        <f>VLOOKUP(D936,Restaurant_Master!A:B,2,FALSE)</f>
        <v>https://media-cdn.tripadvisor.com/media/photo-s/1c/c7/97/b6/photo6jpg.jpg</v>
      </c>
    </row>
    <row r="933" spans="1:13" x14ac:dyDescent="0.3">
      <c r="A933" t="s">
        <v>963</v>
      </c>
      <c r="B933" s="1">
        <v>45364</v>
      </c>
      <c r="C933" t="s">
        <v>13</v>
      </c>
      <c r="D933" t="s">
        <v>25</v>
      </c>
      <c r="E933">
        <v>25</v>
      </c>
      <c r="F933" t="s">
        <v>28</v>
      </c>
      <c r="G933">
        <v>705.11</v>
      </c>
      <c r="H933">
        <v>35</v>
      </c>
      <c r="I933" t="s">
        <v>22</v>
      </c>
      <c r="J933">
        <v>4.5</v>
      </c>
      <c r="K933" t="s">
        <v>41</v>
      </c>
      <c r="L933" t="s">
        <v>18</v>
      </c>
      <c r="M933" t="str">
        <f>VLOOKUP(D937,Restaurant_Master!A:B,2,FALSE)</f>
        <v>https://www.chatswoodinterchange.com/storages/2018/08/Sushi-World_666x448.jpg</v>
      </c>
    </row>
    <row r="934" spans="1:13" x14ac:dyDescent="0.3">
      <c r="A934" t="s">
        <v>964</v>
      </c>
      <c r="B934" s="1">
        <v>45591</v>
      </c>
      <c r="C934" t="s">
        <v>13</v>
      </c>
      <c r="D934" t="s">
        <v>14</v>
      </c>
      <c r="E934">
        <v>30</v>
      </c>
      <c r="F934" t="s">
        <v>15</v>
      </c>
      <c r="G934">
        <v>1022.55</v>
      </c>
      <c r="H934">
        <v>48</v>
      </c>
      <c r="I934" t="s">
        <v>16</v>
      </c>
      <c r="J934">
        <v>4.8</v>
      </c>
      <c r="K934" t="s">
        <v>26</v>
      </c>
      <c r="L934" t="s">
        <v>18</v>
      </c>
      <c r="M934" t="str">
        <f>VLOOKUP(D938,Restaurant_Master!A:B,2,FALSE)</f>
        <v>https://dineout-media-assets.swiggy.com/swiggy/image/upload/fl_lossy,f_auto,q_auto/v1660793737/fdqxvxcxg1wtdwvyv45v.jpg</v>
      </c>
    </row>
    <row r="935" spans="1:13" x14ac:dyDescent="0.3">
      <c r="A935" t="s">
        <v>965</v>
      </c>
      <c r="B935" s="1">
        <v>45520</v>
      </c>
      <c r="C935" t="s">
        <v>13</v>
      </c>
      <c r="D935" t="s">
        <v>32</v>
      </c>
      <c r="E935">
        <v>35</v>
      </c>
      <c r="F935" t="s">
        <v>28</v>
      </c>
      <c r="G935">
        <v>229.47</v>
      </c>
      <c r="H935">
        <v>28</v>
      </c>
      <c r="I935" t="s">
        <v>22</v>
      </c>
      <c r="J935">
        <v>4.9000000000000004</v>
      </c>
      <c r="K935" t="s">
        <v>17</v>
      </c>
      <c r="L935" t="s">
        <v>23</v>
      </c>
      <c r="M935" t="str">
        <f>VLOOKUP(D939,Restaurant_Master!A:B,2,FALSE)</f>
        <v>https://content.jdmagicbox.com/comp/deoria/g6/9999p5568.5568.200119143033.m4g6/catalogue/biryani-house-deoria-ho-deoria-mktc2xph0o.jpg</v>
      </c>
    </row>
    <row r="936" spans="1:13" x14ac:dyDescent="0.3">
      <c r="A936" t="s">
        <v>966</v>
      </c>
      <c r="B936" s="1">
        <v>45583</v>
      </c>
      <c r="C936" t="s">
        <v>34</v>
      </c>
      <c r="D936" t="s">
        <v>25</v>
      </c>
      <c r="E936">
        <v>36</v>
      </c>
      <c r="F936" t="s">
        <v>28</v>
      </c>
      <c r="G936">
        <v>298.44</v>
      </c>
      <c r="H936">
        <v>33</v>
      </c>
      <c r="I936" t="s">
        <v>22</v>
      </c>
      <c r="J936">
        <v>4.2</v>
      </c>
      <c r="K936" t="s">
        <v>17</v>
      </c>
      <c r="L936" t="s">
        <v>18</v>
      </c>
      <c r="M936" t="str">
        <f>VLOOKUP(D940,Restaurant_Master!A:B,2,FALSE)</f>
        <v>https://dynamic-media-cdn.tripadvisor.com/media/photo-o/1c/e7/04/0d/front-of-the-local-easily.jpg</v>
      </c>
    </row>
    <row r="937" spans="1:13" x14ac:dyDescent="0.3">
      <c r="A937" t="s">
        <v>967</v>
      </c>
      <c r="B937" s="1">
        <v>45625</v>
      </c>
      <c r="C937" t="s">
        <v>13</v>
      </c>
      <c r="D937" t="s">
        <v>38</v>
      </c>
      <c r="E937">
        <v>50</v>
      </c>
      <c r="F937" t="s">
        <v>15</v>
      </c>
      <c r="G937">
        <v>524.77</v>
      </c>
      <c r="H937">
        <v>44</v>
      </c>
      <c r="I937" t="s">
        <v>16</v>
      </c>
      <c r="J937">
        <v>4.5</v>
      </c>
      <c r="K937" t="s">
        <v>26</v>
      </c>
      <c r="L937" t="s">
        <v>18</v>
      </c>
      <c r="M937" t="str">
        <f>VLOOKUP(D941,Restaurant_Master!A:B,2,FALSE)</f>
        <v>https://media-cdn.tripadvisor.com/media/photo-s/1c/c7/97/b6/photo6jpg.jpg</v>
      </c>
    </row>
    <row r="938" spans="1:13" x14ac:dyDescent="0.3">
      <c r="A938" t="s">
        <v>968</v>
      </c>
      <c r="B938" s="1">
        <v>45458</v>
      </c>
      <c r="C938" t="s">
        <v>20</v>
      </c>
      <c r="D938" t="s">
        <v>14</v>
      </c>
      <c r="E938">
        <v>19</v>
      </c>
      <c r="F938" t="s">
        <v>15</v>
      </c>
      <c r="G938">
        <v>1082.42</v>
      </c>
      <c r="H938">
        <v>51</v>
      </c>
      <c r="I938" t="s">
        <v>16</v>
      </c>
      <c r="J938">
        <v>4.4000000000000004</v>
      </c>
      <c r="K938" t="s">
        <v>29</v>
      </c>
      <c r="L938" t="s">
        <v>18</v>
      </c>
      <c r="M938" t="str">
        <f>VLOOKUP(D942,Restaurant_Master!A:B,2,FALSE)</f>
        <v>https://dineout-media-assets.swiggy.com/swiggy/image/upload/fl_lossy,f_auto,q_auto/v1660793737/fdqxvxcxg1wtdwvyv45v.jpg</v>
      </c>
    </row>
    <row r="939" spans="1:13" x14ac:dyDescent="0.3">
      <c r="A939" t="s">
        <v>969</v>
      </c>
      <c r="B939" s="1">
        <v>45352</v>
      </c>
      <c r="C939" t="s">
        <v>13</v>
      </c>
      <c r="D939" t="s">
        <v>32</v>
      </c>
      <c r="E939">
        <v>22</v>
      </c>
      <c r="F939" t="s">
        <v>15</v>
      </c>
      <c r="G939">
        <v>215.21</v>
      </c>
      <c r="H939">
        <v>32</v>
      </c>
      <c r="I939" t="s">
        <v>22</v>
      </c>
      <c r="J939">
        <v>3.1</v>
      </c>
      <c r="K939" t="s">
        <v>41</v>
      </c>
      <c r="L939" t="s">
        <v>23</v>
      </c>
      <c r="M939" t="str">
        <f>VLOOKUP(D943,Restaurant_Master!A:B,2,FALSE)</f>
        <v>https://www.chatswoodinterchange.com/storages/2018/08/Sushi-World_666x448.jpg</v>
      </c>
    </row>
    <row r="940" spans="1:13" x14ac:dyDescent="0.3">
      <c r="A940" t="s">
        <v>970</v>
      </c>
      <c r="B940" s="1">
        <v>45428</v>
      </c>
      <c r="C940" t="s">
        <v>36</v>
      </c>
      <c r="D940" t="s">
        <v>21</v>
      </c>
      <c r="E940">
        <v>58</v>
      </c>
      <c r="F940" t="s">
        <v>28</v>
      </c>
      <c r="G940">
        <v>264.95999999999998</v>
      </c>
      <c r="H940">
        <v>27</v>
      </c>
      <c r="I940" t="s">
        <v>22</v>
      </c>
      <c r="J940">
        <v>3.9</v>
      </c>
      <c r="K940" t="s">
        <v>26</v>
      </c>
      <c r="L940" t="s">
        <v>23</v>
      </c>
      <c r="M940" t="str">
        <f>VLOOKUP(D944,Restaurant_Master!A:B,2,FALSE)</f>
        <v>https://media-cdn.tripadvisor.com/media/photo-s/1c/c7/97/b6/photo6jpg.jpg</v>
      </c>
    </row>
    <row r="941" spans="1:13" x14ac:dyDescent="0.3">
      <c r="A941" t="s">
        <v>971</v>
      </c>
      <c r="B941" s="1">
        <v>45600</v>
      </c>
      <c r="C941" t="s">
        <v>36</v>
      </c>
      <c r="D941" t="s">
        <v>25</v>
      </c>
      <c r="E941">
        <v>55</v>
      </c>
      <c r="F941" t="s">
        <v>15</v>
      </c>
      <c r="G941">
        <v>613.99</v>
      </c>
      <c r="H941">
        <v>57</v>
      </c>
      <c r="I941" t="s">
        <v>16</v>
      </c>
      <c r="J941">
        <v>4.7</v>
      </c>
      <c r="K941" t="s">
        <v>41</v>
      </c>
      <c r="L941" t="s">
        <v>23</v>
      </c>
      <c r="M941" t="str">
        <f>VLOOKUP(D945,Restaurant_Master!A:B,2,FALSE)</f>
        <v>https://media-cdn.tripadvisor.com/media/photo-s/1c/c7/97/b6/photo6jpg.jpg</v>
      </c>
    </row>
    <row r="942" spans="1:13" x14ac:dyDescent="0.3">
      <c r="A942" t="s">
        <v>972</v>
      </c>
      <c r="B942" s="1">
        <v>45538</v>
      </c>
      <c r="C942" t="s">
        <v>43</v>
      </c>
      <c r="D942" t="s">
        <v>14</v>
      </c>
      <c r="E942">
        <v>36</v>
      </c>
      <c r="F942" t="s">
        <v>15</v>
      </c>
      <c r="G942">
        <v>538.58000000000004</v>
      </c>
      <c r="H942">
        <v>55</v>
      </c>
      <c r="I942" t="s">
        <v>16</v>
      </c>
      <c r="J942">
        <v>4.7</v>
      </c>
      <c r="K942" t="s">
        <v>17</v>
      </c>
      <c r="L942" t="s">
        <v>23</v>
      </c>
      <c r="M942" t="str">
        <f>VLOOKUP(D946,Restaurant_Master!A:B,2,FALSE)</f>
        <v>https://content.jdmagicbox.com/comp/deoria/g6/9999p5568.5568.200119143033.m4g6/catalogue/biryani-house-deoria-ho-deoria-mktc2xph0o.jpg</v>
      </c>
    </row>
    <row r="943" spans="1:13" x14ac:dyDescent="0.3">
      <c r="A943" t="s">
        <v>973</v>
      </c>
      <c r="B943" s="1">
        <v>45575</v>
      </c>
      <c r="C943" t="s">
        <v>13</v>
      </c>
      <c r="D943" t="s">
        <v>38</v>
      </c>
      <c r="E943">
        <v>32</v>
      </c>
      <c r="F943" t="s">
        <v>15</v>
      </c>
      <c r="G943">
        <v>833.05</v>
      </c>
      <c r="H943">
        <v>60</v>
      </c>
      <c r="I943" t="s">
        <v>16</v>
      </c>
      <c r="J943">
        <v>3.8</v>
      </c>
      <c r="K943" t="s">
        <v>26</v>
      </c>
      <c r="L943" t="s">
        <v>18</v>
      </c>
      <c r="M943" t="str">
        <f>VLOOKUP(D947,Restaurant_Master!A:B,2,FALSE)</f>
        <v>https://content.jdmagicbox.com/comp/deoria/g6/9999p5568.5568.200119143033.m4g6/catalogue/biryani-house-deoria-ho-deoria-mktc2xph0o.jpg</v>
      </c>
    </row>
    <row r="944" spans="1:13" x14ac:dyDescent="0.3">
      <c r="A944" t="s">
        <v>974</v>
      </c>
      <c r="B944" s="1">
        <v>45519</v>
      </c>
      <c r="C944" t="s">
        <v>43</v>
      </c>
      <c r="D944" t="s">
        <v>25</v>
      </c>
      <c r="E944">
        <v>52</v>
      </c>
      <c r="F944" t="s">
        <v>15</v>
      </c>
      <c r="G944">
        <v>1117.28</v>
      </c>
      <c r="H944">
        <v>28</v>
      </c>
      <c r="I944" t="s">
        <v>22</v>
      </c>
      <c r="J944">
        <v>3.8</v>
      </c>
      <c r="K944" t="s">
        <v>41</v>
      </c>
      <c r="L944" t="s">
        <v>23</v>
      </c>
      <c r="M944" t="str">
        <f>VLOOKUP(D948,Restaurant_Master!A:B,2,FALSE)</f>
        <v>https://content.jdmagicbox.com/comp/deoria/g6/9999p5568.5568.200119143033.m4g6/catalogue/biryani-house-deoria-ho-deoria-mktc2xph0o.jpg</v>
      </c>
    </row>
    <row r="945" spans="1:13" x14ac:dyDescent="0.3">
      <c r="A945" t="s">
        <v>975</v>
      </c>
      <c r="B945" s="1">
        <v>45559</v>
      </c>
      <c r="C945" t="s">
        <v>34</v>
      </c>
      <c r="D945" t="s">
        <v>25</v>
      </c>
      <c r="E945">
        <v>51</v>
      </c>
      <c r="F945" t="s">
        <v>15</v>
      </c>
      <c r="G945">
        <v>254.4</v>
      </c>
      <c r="H945">
        <v>51</v>
      </c>
      <c r="I945" t="s">
        <v>16</v>
      </c>
      <c r="J945">
        <v>4.3</v>
      </c>
      <c r="K945" t="s">
        <v>26</v>
      </c>
      <c r="L945" t="s">
        <v>18</v>
      </c>
      <c r="M945" t="str">
        <f>VLOOKUP(D949,Restaurant_Master!A:B,2,FALSE)</f>
        <v>https://media-cdn.tripadvisor.com/media/photo-s/1c/c7/97/b6/photo6jpg.jpg</v>
      </c>
    </row>
    <row r="946" spans="1:13" x14ac:dyDescent="0.3">
      <c r="A946" t="s">
        <v>976</v>
      </c>
      <c r="B946" s="1">
        <v>45503</v>
      </c>
      <c r="C946" t="s">
        <v>36</v>
      </c>
      <c r="D946" t="s">
        <v>32</v>
      </c>
      <c r="E946">
        <v>27</v>
      </c>
      <c r="F946" t="s">
        <v>28</v>
      </c>
      <c r="G946">
        <v>928.88</v>
      </c>
      <c r="H946">
        <v>25</v>
      </c>
      <c r="I946" t="s">
        <v>22</v>
      </c>
      <c r="J946">
        <v>4.2</v>
      </c>
      <c r="K946" t="s">
        <v>26</v>
      </c>
      <c r="L946" t="s">
        <v>23</v>
      </c>
      <c r="M946" t="str">
        <f>VLOOKUP(D950,Restaurant_Master!A:B,2,FALSE)</f>
        <v>https://content.jdmagicbox.com/comp/deoria/g6/9999p5568.5568.200119143033.m4g6/catalogue/biryani-house-deoria-ho-deoria-mktc2xph0o.jpg</v>
      </c>
    </row>
    <row r="947" spans="1:13" x14ac:dyDescent="0.3">
      <c r="A947" t="s">
        <v>977</v>
      </c>
      <c r="B947" s="1">
        <v>45630</v>
      </c>
      <c r="C947" t="s">
        <v>34</v>
      </c>
      <c r="D947" t="s">
        <v>32</v>
      </c>
      <c r="E947">
        <v>59</v>
      </c>
      <c r="F947" t="s">
        <v>28</v>
      </c>
      <c r="G947">
        <v>193.17</v>
      </c>
      <c r="H947">
        <v>23</v>
      </c>
      <c r="I947" t="s">
        <v>22</v>
      </c>
      <c r="J947">
        <v>3.3</v>
      </c>
      <c r="K947" t="s">
        <v>26</v>
      </c>
      <c r="L947" t="s">
        <v>18</v>
      </c>
      <c r="M947" t="str">
        <f>VLOOKUP(D951,Restaurant_Master!A:B,2,FALSE)</f>
        <v>https://dineout-media-assets.swiggy.com/swiggy/image/upload/fl_lossy,f_auto,q_auto/v1660793737/fdqxvxcxg1wtdwvyv45v.jpg</v>
      </c>
    </row>
    <row r="948" spans="1:13" x14ac:dyDescent="0.3">
      <c r="A948" t="s">
        <v>978</v>
      </c>
      <c r="B948" s="1">
        <v>45481</v>
      </c>
      <c r="C948" t="s">
        <v>43</v>
      </c>
      <c r="D948" t="s">
        <v>32</v>
      </c>
      <c r="E948">
        <v>57</v>
      </c>
      <c r="F948" t="s">
        <v>15</v>
      </c>
      <c r="G948">
        <v>828.4</v>
      </c>
      <c r="H948">
        <v>55</v>
      </c>
      <c r="I948" t="s">
        <v>16</v>
      </c>
      <c r="J948">
        <v>4.7</v>
      </c>
      <c r="K948" t="s">
        <v>17</v>
      </c>
      <c r="L948" t="s">
        <v>18</v>
      </c>
      <c r="M948" t="str">
        <f>VLOOKUP(D952,Restaurant_Master!A:B,2,FALSE)</f>
        <v>https://dineout-media-assets.swiggy.com/swiggy/image/upload/fl_lossy,f_auto,q_auto/v1660793737/fdqxvxcxg1wtdwvyv45v.jpg</v>
      </c>
    </row>
    <row r="949" spans="1:13" x14ac:dyDescent="0.3">
      <c r="A949" t="s">
        <v>979</v>
      </c>
      <c r="B949" s="1">
        <v>45316</v>
      </c>
      <c r="C949" t="s">
        <v>34</v>
      </c>
      <c r="D949" t="s">
        <v>25</v>
      </c>
      <c r="E949">
        <v>39</v>
      </c>
      <c r="F949" t="s">
        <v>28</v>
      </c>
      <c r="G949">
        <v>1014.96</v>
      </c>
      <c r="H949">
        <v>58</v>
      </c>
      <c r="I949" t="s">
        <v>16</v>
      </c>
      <c r="J949">
        <v>3.6</v>
      </c>
      <c r="K949" t="s">
        <v>26</v>
      </c>
      <c r="L949" t="s">
        <v>23</v>
      </c>
      <c r="M949" t="str">
        <f>VLOOKUP(D953,Restaurant_Master!A:B,2,FALSE)</f>
        <v>https://content.jdmagicbox.com/comp/deoria/g6/9999p5568.5568.200119143033.m4g6/catalogue/biryani-house-deoria-ho-deoria-mktc2xph0o.jpg</v>
      </c>
    </row>
    <row r="950" spans="1:13" x14ac:dyDescent="0.3">
      <c r="A950" t="s">
        <v>980</v>
      </c>
      <c r="B950" s="1">
        <v>45636</v>
      </c>
      <c r="C950" t="s">
        <v>13</v>
      </c>
      <c r="D950" t="s">
        <v>32</v>
      </c>
      <c r="E950">
        <v>32</v>
      </c>
      <c r="F950" t="s">
        <v>28</v>
      </c>
      <c r="G950">
        <v>355.04</v>
      </c>
      <c r="H950">
        <v>38</v>
      </c>
      <c r="I950" t="s">
        <v>22</v>
      </c>
      <c r="J950">
        <v>3.1</v>
      </c>
      <c r="K950" t="s">
        <v>17</v>
      </c>
      <c r="L950" t="s">
        <v>18</v>
      </c>
      <c r="M950" t="str">
        <f>VLOOKUP(D954,Restaurant_Master!A:B,2,FALSE)</f>
        <v>https://media-cdn.tripadvisor.com/media/photo-s/1c/c7/97/b6/photo6jpg.jpg</v>
      </c>
    </row>
    <row r="951" spans="1:13" x14ac:dyDescent="0.3">
      <c r="A951" t="s">
        <v>981</v>
      </c>
      <c r="B951" s="1">
        <v>45475</v>
      </c>
      <c r="C951" t="s">
        <v>20</v>
      </c>
      <c r="D951" t="s">
        <v>14</v>
      </c>
      <c r="E951">
        <v>48</v>
      </c>
      <c r="F951" t="s">
        <v>28</v>
      </c>
      <c r="G951">
        <v>1174.33</v>
      </c>
      <c r="H951">
        <v>41</v>
      </c>
      <c r="I951" t="s">
        <v>16</v>
      </c>
      <c r="J951">
        <v>3.4</v>
      </c>
      <c r="K951" t="s">
        <v>41</v>
      </c>
      <c r="L951" t="s">
        <v>23</v>
      </c>
      <c r="M951" t="str">
        <f>VLOOKUP(D955,Restaurant_Master!A:B,2,FALSE)</f>
        <v>https://content.jdmagicbox.com/comp/deoria/g6/9999p5568.5568.200119143033.m4g6/catalogue/biryani-house-deoria-ho-deoria-mktc2xph0o.jpg</v>
      </c>
    </row>
    <row r="952" spans="1:13" x14ac:dyDescent="0.3">
      <c r="A952" t="s">
        <v>982</v>
      </c>
      <c r="B952" s="1">
        <v>45645</v>
      </c>
      <c r="C952" t="s">
        <v>20</v>
      </c>
      <c r="D952" t="s">
        <v>14</v>
      </c>
      <c r="E952">
        <v>47</v>
      </c>
      <c r="F952" t="s">
        <v>28</v>
      </c>
      <c r="G952">
        <v>525.20000000000005</v>
      </c>
      <c r="H952">
        <v>41</v>
      </c>
      <c r="I952" t="s">
        <v>16</v>
      </c>
      <c r="J952">
        <v>2.5</v>
      </c>
      <c r="K952" t="s">
        <v>29</v>
      </c>
      <c r="L952" t="s">
        <v>18</v>
      </c>
      <c r="M952" t="str">
        <f>VLOOKUP(D956,Restaurant_Master!A:B,2,FALSE)</f>
        <v>https://dynamic-media-cdn.tripadvisor.com/media/photo-o/1c/e7/04/0d/front-of-the-local-easily.jpg</v>
      </c>
    </row>
    <row r="953" spans="1:13" x14ac:dyDescent="0.3">
      <c r="A953" t="s">
        <v>983</v>
      </c>
      <c r="B953" s="1">
        <v>45620</v>
      </c>
      <c r="C953" t="s">
        <v>43</v>
      </c>
      <c r="D953" t="s">
        <v>32</v>
      </c>
      <c r="E953">
        <v>47</v>
      </c>
      <c r="F953" t="s">
        <v>15</v>
      </c>
      <c r="G953">
        <v>760.29</v>
      </c>
      <c r="H953">
        <v>48</v>
      </c>
      <c r="I953" t="s">
        <v>16</v>
      </c>
      <c r="J953">
        <v>4.5</v>
      </c>
      <c r="K953" t="s">
        <v>17</v>
      </c>
      <c r="L953" t="s">
        <v>23</v>
      </c>
      <c r="M953" t="str">
        <f>VLOOKUP(D957,Restaurant_Master!A:B,2,FALSE)</f>
        <v>https://media-cdn.tripadvisor.com/media/photo-s/1c/c7/97/b6/photo6jpg.jpg</v>
      </c>
    </row>
    <row r="954" spans="1:13" x14ac:dyDescent="0.3">
      <c r="A954" t="s">
        <v>984</v>
      </c>
      <c r="B954" s="1">
        <v>45641</v>
      </c>
      <c r="C954" t="s">
        <v>13</v>
      </c>
      <c r="D954" t="s">
        <v>25</v>
      </c>
      <c r="E954">
        <v>54</v>
      </c>
      <c r="F954" t="s">
        <v>15</v>
      </c>
      <c r="G954">
        <v>1008.27</v>
      </c>
      <c r="H954">
        <v>30</v>
      </c>
      <c r="I954" t="s">
        <v>22</v>
      </c>
      <c r="J954">
        <v>4.9000000000000004</v>
      </c>
      <c r="K954" t="s">
        <v>29</v>
      </c>
      <c r="L954" t="s">
        <v>18</v>
      </c>
      <c r="M954" t="str">
        <f>VLOOKUP(D958,Restaurant_Master!A:B,2,FALSE)</f>
        <v>https://www.chatswoodinterchange.com/storages/2018/08/Sushi-World_666x448.jpg</v>
      </c>
    </row>
    <row r="955" spans="1:13" x14ac:dyDescent="0.3">
      <c r="A955" t="s">
        <v>985</v>
      </c>
      <c r="B955" s="1">
        <v>45470</v>
      </c>
      <c r="C955" t="s">
        <v>34</v>
      </c>
      <c r="D955" t="s">
        <v>32</v>
      </c>
      <c r="E955">
        <v>57</v>
      </c>
      <c r="F955" t="s">
        <v>28</v>
      </c>
      <c r="G955">
        <v>797.82</v>
      </c>
      <c r="H955">
        <v>57</v>
      </c>
      <c r="I955" t="s">
        <v>16</v>
      </c>
      <c r="J955">
        <v>4.4000000000000004</v>
      </c>
      <c r="K955" t="s">
        <v>26</v>
      </c>
      <c r="L955" t="s">
        <v>23</v>
      </c>
      <c r="M955" t="str">
        <f>VLOOKUP(D959,Restaurant_Master!A:B,2,FALSE)</f>
        <v>https://content.jdmagicbox.com/comp/deoria/g6/9999p5568.5568.200119143033.m4g6/catalogue/biryani-house-deoria-ho-deoria-mktc2xph0o.jpg</v>
      </c>
    </row>
    <row r="956" spans="1:13" x14ac:dyDescent="0.3">
      <c r="A956" t="s">
        <v>986</v>
      </c>
      <c r="B956" s="1">
        <v>45462</v>
      </c>
      <c r="C956" t="s">
        <v>36</v>
      </c>
      <c r="D956" t="s">
        <v>21</v>
      </c>
      <c r="E956">
        <v>49</v>
      </c>
      <c r="F956" t="s">
        <v>28</v>
      </c>
      <c r="G956">
        <v>808.94</v>
      </c>
      <c r="H956">
        <v>57</v>
      </c>
      <c r="I956" t="s">
        <v>16</v>
      </c>
      <c r="J956">
        <v>4.2</v>
      </c>
      <c r="K956" t="s">
        <v>29</v>
      </c>
      <c r="L956" t="s">
        <v>23</v>
      </c>
      <c r="M956" t="str">
        <f>VLOOKUP(D960,Restaurant_Master!A:B,2,FALSE)</f>
        <v>https://dineout-media-assets.swiggy.com/swiggy/image/upload/fl_lossy,f_auto,q_auto/v1660793737/fdqxvxcxg1wtdwvyv45v.jpg</v>
      </c>
    </row>
    <row r="957" spans="1:13" x14ac:dyDescent="0.3">
      <c r="A957" t="s">
        <v>987</v>
      </c>
      <c r="B957" s="1">
        <v>45654</v>
      </c>
      <c r="C957" t="s">
        <v>36</v>
      </c>
      <c r="D957" t="s">
        <v>25</v>
      </c>
      <c r="E957">
        <v>33</v>
      </c>
      <c r="F957" t="s">
        <v>28</v>
      </c>
      <c r="G957">
        <v>325.77</v>
      </c>
      <c r="H957">
        <v>38</v>
      </c>
      <c r="I957" t="s">
        <v>22</v>
      </c>
      <c r="J957">
        <v>3.1</v>
      </c>
      <c r="K957" t="s">
        <v>26</v>
      </c>
      <c r="L957" t="s">
        <v>23</v>
      </c>
      <c r="M957" t="str">
        <f>VLOOKUP(D961,Restaurant_Master!A:B,2,FALSE)</f>
        <v>https://dynamic-media-cdn.tripadvisor.com/media/photo-o/1c/e7/04/0d/front-of-the-local-easily.jpg</v>
      </c>
    </row>
    <row r="958" spans="1:13" x14ac:dyDescent="0.3">
      <c r="A958" t="s">
        <v>988</v>
      </c>
      <c r="B958" s="1">
        <v>45298</v>
      </c>
      <c r="C958" t="s">
        <v>34</v>
      </c>
      <c r="D958" t="s">
        <v>38</v>
      </c>
      <c r="E958">
        <v>44</v>
      </c>
      <c r="F958" t="s">
        <v>15</v>
      </c>
      <c r="G958">
        <v>422.44</v>
      </c>
      <c r="H958">
        <v>46</v>
      </c>
      <c r="I958" t="s">
        <v>16</v>
      </c>
      <c r="J958">
        <v>4.9000000000000004</v>
      </c>
      <c r="K958" t="s">
        <v>41</v>
      </c>
      <c r="L958" t="s">
        <v>18</v>
      </c>
      <c r="M958" t="str">
        <f>VLOOKUP(D962,Restaurant_Master!A:B,2,FALSE)</f>
        <v>https://content.jdmagicbox.com/comp/deoria/g6/9999p5568.5568.200119143033.m4g6/catalogue/biryani-house-deoria-ho-deoria-mktc2xph0o.jpg</v>
      </c>
    </row>
    <row r="959" spans="1:13" x14ac:dyDescent="0.3">
      <c r="A959" t="s">
        <v>989</v>
      </c>
      <c r="B959" s="1">
        <v>45293</v>
      </c>
      <c r="C959" t="s">
        <v>13</v>
      </c>
      <c r="D959" t="s">
        <v>32</v>
      </c>
      <c r="E959">
        <v>25</v>
      </c>
      <c r="F959" t="s">
        <v>28</v>
      </c>
      <c r="G959">
        <v>459.94</v>
      </c>
      <c r="H959">
        <v>54</v>
      </c>
      <c r="I959" t="s">
        <v>16</v>
      </c>
      <c r="J959">
        <v>4.7</v>
      </c>
      <c r="K959" t="s">
        <v>17</v>
      </c>
      <c r="L959" t="s">
        <v>18</v>
      </c>
      <c r="M959" t="str">
        <f>VLOOKUP(D963,Restaurant_Master!A:B,2,FALSE)</f>
        <v>https://dynamic-media-cdn.tripadvisor.com/media/photo-o/1c/e7/04/0d/front-of-the-local-easily.jpg</v>
      </c>
    </row>
    <row r="960" spans="1:13" x14ac:dyDescent="0.3">
      <c r="A960" t="s">
        <v>990</v>
      </c>
      <c r="B960" s="1">
        <v>45555</v>
      </c>
      <c r="C960" t="s">
        <v>13</v>
      </c>
      <c r="D960" t="s">
        <v>14</v>
      </c>
      <c r="E960">
        <v>36</v>
      </c>
      <c r="F960" t="s">
        <v>15</v>
      </c>
      <c r="G960">
        <v>274.47000000000003</v>
      </c>
      <c r="H960">
        <v>45</v>
      </c>
      <c r="I960" t="s">
        <v>16</v>
      </c>
      <c r="J960">
        <v>2.8</v>
      </c>
      <c r="K960" t="s">
        <v>17</v>
      </c>
      <c r="L960" t="s">
        <v>18</v>
      </c>
      <c r="M960" t="str">
        <f>VLOOKUP(D964,Restaurant_Master!A:B,2,FALSE)</f>
        <v>https://content.jdmagicbox.com/comp/deoria/g6/9999p5568.5568.200119143033.m4g6/catalogue/biryani-house-deoria-ho-deoria-mktc2xph0o.jpg</v>
      </c>
    </row>
    <row r="961" spans="1:13" x14ac:dyDescent="0.3">
      <c r="A961" t="s">
        <v>991</v>
      </c>
      <c r="B961" s="1">
        <v>45603</v>
      </c>
      <c r="C961" t="s">
        <v>34</v>
      </c>
      <c r="D961" t="s">
        <v>21</v>
      </c>
      <c r="E961">
        <v>57</v>
      </c>
      <c r="F961" t="s">
        <v>15</v>
      </c>
      <c r="G961">
        <v>677.03</v>
      </c>
      <c r="H961">
        <v>47</v>
      </c>
      <c r="I961" t="s">
        <v>16</v>
      </c>
      <c r="J961">
        <v>4.7</v>
      </c>
      <c r="K961" t="s">
        <v>26</v>
      </c>
      <c r="L961" t="s">
        <v>23</v>
      </c>
      <c r="M961" t="str">
        <f>VLOOKUP(D965,Restaurant_Master!A:B,2,FALSE)</f>
        <v>https://dynamic-media-cdn.tripadvisor.com/media/photo-o/1c/e7/04/0d/front-of-the-local-easily.jpg</v>
      </c>
    </row>
    <row r="962" spans="1:13" x14ac:dyDescent="0.3">
      <c r="A962" t="s">
        <v>992</v>
      </c>
      <c r="B962" s="1">
        <v>45304</v>
      </c>
      <c r="C962" t="s">
        <v>34</v>
      </c>
      <c r="D962" t="s">
        <v>32</v>
      </c>
      <c r="E962">
        <v>27</v>
      </c>
      <c r="F962" t="s">
        <v>28</v>
      </c>
      <c r="G962">
        <v>818.48</v>
      </c>
      <c r="H962">
        <v>21</v>
      </c>
      <c r="I962" t="s">
        <v>22</v>
      </c>
      <c r="J962">
        <v>4.2</v>
      </c>
      <c r="K962" t="s">
        <v>41</v>
      </c>
      <c r="L962" t="s">
        <v>18</v>
      </c>
      <c r="M962" t="str">
        <f>VLOOKUP(D966,Restaurant_Master!A:B,2,FALSE)</f>
        <v>https://www.chatswoodinterchange.com/storages/2018/08/Sushi-World_666x448.jpg</v>
      </c>
    </row>
    <row r="963" spans="1:13" x14ac:dyDescent="0.3">
      <c r="A963" t="s">
        <v>993</v>
      </c>
      <c r="B963" s="1">
        <v>45325</v>
      </c>
      <c r="C963" t="s">
        <v>36</v>
      </c>
      <c r="D963" t="s">
        <v>21</v>
      </c>
      <c r="E963">
        <v>25</v>
      </c>
      <c r="F963" t="s">
        <v>15</v>
      </c>
      <c r="G963">
        <v>208.96</v>
      </c>
      <c r="H963">
        <v>22</v>
      </c>
      <c r="I963" t="s">
        <v>22</v>
      </c>
      <c r="J963">
        <v>3.7</v>
      </c>
      <c r="K963" t="s">
        <v>26</v>
      </c>
      <c r="L963" t="s">
        <v>18</v>
      </c>
      <c r="M963" t="str">
        <f>VLOOKUP(D967,Restaurant_Master!A:B,2,FALSE)</f>
        <v>https://www.chatswoodinterchange.com/storages/2018/08/Sushi-World_666x448.jpg</v>
      </c>
    </row>
    <row r="964" spans="1:13" x14ac:dyDescent="0.3">
      <c r="A964" t="s">
        <v>994</v>
      </c>
      <c r="B964" s="1">
        <v>45461</v>
      </c>
      <c r="C964" t="s">
        <v>13</v>
      </c>
      <c r="D964" t="s">
        <v>32</v>
      </c>
      <c r="E964">
        <v>35</v>
      </c>
      <c r="F964" t="s">
        <v>15</v>
      </c>
      <c r="G964">
        <v>1118.79</v>
      </c>
      <c r="H964">
        <v>48</v>
      </c>
      <c r="I964" t="s">
        <v>16</v>
      </c>
      <c r="J964">
        <v>3.5</v>
      </c>
      <c r="K964" t="s">
        <v>41</v>
      </c>
      <c r="L964" t="s">
        <v>23</v>
      </c>
      <c r="M964" t="str">
        <f>VLOOKUP(D968,Restaurant_Master!A:B,2,FALSE)</f>
        <v>https://dynamic-media-cdn.tripadvisor.com/media/photo-o/1c/e7/04/0d/front-of-the-local-easily.jpg</v>
      </c>
    </row>
    <row r="965" spans="1:13" x14ac:dyDescent="0.3">
      <c r="A965" t="s">
        <v>995</v>
      </c>
      <c r="B965" s="1">
        <v>45533</v>
      </c>
      <c r="C965" t="s">
        <v>20</v>
      </c>
      <c r="D965" t="s">
        <v>21</v>
      </c>
      <c r="E965">
        <v>27</v>
      </c>
      <c r="F965" t="s">
        <v>15</v>
      </c>
      <c r="G965">
        <v>1112.27</v>
      </c>
      <c r="H965">
        <v>32</v>
      </c>
      <c r="I965" t="s">
        <v>22</v>
      </c>
      <c r="J965">
        <v>3.6</v>
      </c>
      <c r="K965" t="s">
        <v>17</v>
      </c>
      <c r="L965" t="s">
        <v>18</v>
      </c>
      <c r="M965" t="str">
        <f>VLOOKUP(D969,Restaurant_Master!A:B,2,FALSE)</f>
        <v>https://media-cdn.tripadvisor.com/media/photo-s/1c/c7/97/b6/photo6jpg.jpg</v>
      </c>
    </row>
    <row r="966" spans="1:13" x14ac:dyDescent="0.3">
      <c r="A966" t="s">
        <v>996</v>
      </c>
      <c r="B966" s="1">
        <v>45466</v>
      </c>
      <c r="C966" t="s">
        <v>34</v>
      </c>
      <c r="D966" t="s">
        <v>38</v>
      </c>
      <c r="E966">
        <v>41</v>
      </c>
      <c r="F966" t="s">
        <v>28</v>
      </c>
      <c r="G966">
        <v>169.44</v>
      </c>
      <c r="H966">
        <v>46</v>
      </c>
      <c r="I966" t="s">
        <v>16</v>
      </c>
      <c r="J966">
        <v>4.5</v>
      </c>
      <c r="K966" t="s">
        <v>26</v>
      </c>
      <c r="L966" t="s">
        <v>23</v>
      </c>
      <c r="M966" t="str">
        <f>VLOOKUP(D970,Restaurant_Master!A:B,2,FALSE)</f>
        <v>https://dineout-media-assets.swiggy.com/swiggy/image/upload/fl_lossy,f_auto,q_auto/v1660793737/fdqxvxcxg1wtdwvyv45v.jpg</v>
      </c>
    </row>
    <row r="967" spans="1:13" x14ac:dyDescent="0.3">
      <c r="A967" t="s">
        <v>997</v>
      </c>
      <c r="B967" s="1">
        <v>45563</v>
      </c>
      <c r="C967" t="s">
        <v>13</v>
      </c>
      <c r="D967" t="s">
        <v>38</v>
      </c>
      <c r="E967">
        <v>40</v>
      </c>
      <c r="F967" t="s">
        <v>28</v>
      </c>
      <c r="G967">
        <v>530.77</v>
      </c>
      <c r="H967">
        <v>33</v>
      </c>
      <c r="I967" t="s">
        <v>22</v>
      </c>
      <c r="J967">
        <v>2.5</v>
      </c>
      <c r="K967" t="s">
        <v>29</v>
      </c>
      <c r="L967" t="s">
        <v>18</v>
      </c>
      <c r="M967" t="str">
        <f>VLOOKUP(D971,Restaurant_Master!A:B,2,FALSE)</f>
        <v>https://dynamic-media-cdn.tripadvisor.com/media/photo-o/1c/e7/04/0d/front-of-the-local-easily.jpg</v>
      </c>
    </row>
    <row r="968" spans="1:13" x14ac:dyDescent="0.3">
      <c r="A968" t="s">
        <v>998</v>
      </c>
      <c r="B968" s="1">
        <v>45356</v>
      </c>
      <c r="C968" t="s">
        <v>34</v>
      </c>
      <c r="D968" t="s">
        <v>21</v>
      </c>
      <c r="E968">
        <v>58</v>
      </c>
      <c r="F968" t="s">
        <v>28</v>
      </c>
      <c r="G968">
        <v>1149.4000000000001</v>
      </c>
      <c r="H968">
        <v>21</v>
      </c>
      <c r="I968" t="s">
        <v>22</v>
      </c>
      <c r="J968">
        <v>4.5</v>
      </c>
      <c r="K968" t="s">
        <v>17</v>
      </c>
      <c r="L968" t="s">
        <v>18</v>
      </c>
      <c r="M968" t="str">
        <f>VLOOKUP(D972,Restaurant_Master!A:B,2,FALSE)</f>
        <v>https://dineout-media-assets.swiggy.com/swiggy/image/upload/fl_lossy,f_auto,q_auto/v1660793737/fdqxvxcxg1wtdwvyv45v.jpg</v>
      </c>
    </row>
    <row r="969" spans="1:13" x14ac:dyDescent="0.3">
      <c r="A969" t="s">
        <v>999</v>
      </c>
      <c r="B969" s="1">
        <v>45300</v>
      </c>
      <c r="C969" t="s">
        <v>36</v>
      </c>
      <c r="D969" t="s">
        <v>25</v>
      </c>
      <c r="E969">
        <v>24</v>
      </c>
      <c r="F969" t="s">
        <v>15</v>
      </c>
      <c r="G969">
        <v>756.12</v>
      </c>
      <c r="H969">
        <v>55</v>
      </c>
      <c r="I969" t="s">
        <v>16</v>
      </c>
      <c r="J969">
        <v>4.5</v>
      </c>
      <c r="K969" t="s">
        <v>26</v>
      </c>
      <c r="L969" t="s">
        <v>23</v>
      </c>
      <c r="M969" t="str">
        <f>VLOOKUP(D973,Restaurant_Master!A:B,2,FALSE)</f>
        <v>https://dynamic-media-cdn.tripadvisor.com/media/photo-o/1c/e7/04/0d/front-of-the-local-easily.jpg</v>
      </c>
    </row>
    <row r="970" spans="1:13" x14ac:dyDescent="0.3">
      <c r="A970" t="s">
        <v>1000</v>
      </c>
      <c r="B970" s="1">
        <v>45297</v>
      </c>
      <c r="C970" t="s">
        <v>20</v>
      </c>
      <c r="D970" t="s">
        <v>14</v>
      </c>
      <c r="E970">
        <v>27</v>
      </c>
      <c r="F970" t="s">
        <v>28</v>
      </c>
      <c r="G970">
        <v>1165.79</v>
      </c>
      <c r="H970">
        <v>38</v>
      </c>
      <c r="I970" t="s">
        <v>22</v>
      </c>
      <c r="J970">
        <v>3.6</v>
      </c>
      <c r="K970" t="s">
        <v>26</v>
      </c>
      <c r="L970" t="s">
        <v>23</v>
      </c>
      <c r="M970" t="str">
        <f>VLOOKUP(D974,Restaurant_Master!A:B,2,FALSE)</f>
        <v>https://media-cdn.tripadvisor.com/media/photo-s/1c/c7/97/b6/photo6jpg.jpg</v>
      </c>
    </row>
    <row r="971" spans="1:13" x14ac:dyDescent="0.3">
      <c r="A971" t="s">
        <v>1001</v>
      </c>
      <c r="B971" s="1">
        <v>45364</v>
      </c>
      <c r="C971" t="s">
        <v>43</v>
      </c>
      <c r="D971" t="s">
        <v>21</v>
      </c>
      <c r="E971">
        <v>42</v>
      </c>
      <c r="F971" t="s">
        <v>15</v>
      </c>
      <c r="G971">
        <v>1071.45</v>
      </c>
      <c r="H971">
        <v>56</v>
      </c>
      <c r="I971" t="s">
        <v>16</v>
      </c>
      <c r="J971">
        <v>4.0999999999999996</v>
      </c>
      <c r="K971" t="s">
        <v>26</v>
      </c>
      <c r="L971" t="s">
        <v>23</v>
      </c>
      <c r="M971" t="str">
        <f>VLOOKUP(D975,Restaurant_Master!A:B,2,FALSE)</f>
        <v>https://www.chatswoodinterchange.com/storages/2018/08/Sushi-World_666x448.jpg</v>
      </c>
    </row>
    <row r="972" spans="1:13" x14ac:dyDescent="0.3">
      <c r="A972" t="s">
        <v>1002</v>
      </c>
      <c r="B972" s="1">
        <v>45560</v>
      </c>
      <c r="C972" t="s">
        <v>43</v>
      </c>
      <c r="D972" t="s">
        <v>14</v>
      </c>
      <c r="E972">
        <v>44</v>
      </c>
      <c r="F972" t="s">
        <v>28</v>
      </c>
      <c r="G972">
        <v>899.32</v>
      </c>
      <c r="H972">
        <v>23</v>
      </c>
      <c r="I972" t="s">
        <v>22</v>
      </c>
      <c r="J972">
        <v>3.4</v>
      </c>
      <c r="K972" t="s">
        <v>29</v>
      </c>
      <c r="L972" t="s">
        <v>18</v>
      </c>
      <c r="M972" t="str">
        <f>VLOOKUP(D976,Restaurant_Master!A:B,2,FALSE)</f>
        <v>https://dynamic-media-cdn.tripadvisor.com/media/photo-o/1c/e7/04/0d/front-of-the-local-easily.jpg</v>
      </c>
    </row>
    <row r="973" spans="1:13" x14ac:dyDescent="0.3">
      <c r="A973" t="s">
        <v>1003</v>
      </c>
      <c r="B973" s="1">
        <v>45379</v>
      </c>
      <c r="C973" t="s">
        <v>36</v>
      </c>
      <c r="D973" t="s">
        <v>21</v>
      </c>
      <c r="E973">
        <v>55</v>
      </c>
      <c r="F973" t="s">
        <v>28</v>
      </c>
      <c r="G973">
        <v>308.16000000000003</v>
      </c>
      <c r="H973">
        <v>26</v>
      </c>
      <c r="I973" t="s">
        <v>22</v>
      </c>
      <c r="J973">
        <v>4.9000000000000004</v>
      </c>
      <c r="K973" t="s">
        <v>26</v>
      </c>
      <c r="L973" t="s">
        <v>18</v>
      </c>
      <c r="M973" t="str">
        <f>VLOOKUP(D977,Restaurant_Master!A:B,2,FALSE)</f>
        <v>https://dynamic-media-cdn.tripadvisor.com/media/photo-o/1c/e7/04/0d/front-of-the-local-easily.jpg</v>
      </c>
    </row>
    <row r="974" spans="1:13" x14ac:dyDescent="0.3">
      <c r="A974" t="s">
        <v>1004</v>
      </c>
      <c r="B974" s="1">
        <v>45622</v>
      </c>
      <c r="C974" t="s">
        <v>36</v>
      </c>
      <c r="D974" t="s">
        <v>25</v>
      </c>
      <c r="E974">
        <v>25</v>
      </c>
      <c r="F974" t="s">
        <v>15</v>
      </c>
      <c r="G974">
        <v>697.86</v>
      </c>
      <c r="H974">
        <v>44</v>
      </c>
      <c r="I974" t="s">
        <v>16</v>
      </c>
      <c r="J974">
        <v>4.3</v>
      </c>
      <c r="K974" t="s">
        <v>17</v>
      </c>
      <c r="L974" t="s">
        <v>23</v>
      </c>
      <c r="M974" t="str">
        <f>VLOOKUP(D978,Restaurant_Master!A:B,2,FALSE)</f>
        <v>https://content.jdmagicbox.com/comp/deoria/g6/9999p5568.5568.200119143033.m4g6/catalogue/biryani-house-deoria-ho-deoria-mktc2xph0o.jpg</v>
      </c>
    </row>
    <row r="975" spans="1:13" x14ac:dyDescent="0.3">
      <c r="A975" t="s">
        <v>1005</v>
      </c>
      <c r="B975" s="1">
        <v>45452</v>
      </c>
      <c r="C975" t="s">
        <v>36</v>
      </c>
      <c r="D975" t="s">
        <v>38</v>
      </c>
      <c r="E975">
        <v>50</v>
      </c>
      <c r="F975" t="s">
        <v>28</v>
      </c>
      <c r="G975">
        <v>385.7</v>
      </c>
      <c r="H975">
        <v>60</v>
      </c>
      <c r="I975" t="s">
        <v>16</v>
      </c>
      <c r="J975">
        <v>4.4000000000000004</v>
      </c>
      <c r="K975" t="s">
        <v>29</v>
      </c>
      <c r="L975" t="s">
        <v>23</v>
      </c>
      <c r="M975" t="str">
        <f>VLOOKUP(D979,Restaurant_Master!A:B,2,FALSE)</f>
        <v>https://media-cdn.tripadvisor.com/media/photo-s/1c/c7/97/b6/photo6jpg.jpg</v>
      </c>
    </row>
    <row r="976" spans="1:13" x14ac:dyDescent="0.3">
      <c r="A976" t="s">
        <v>1006</v>
      </c>
      <c r="B976" s="1">
        <v>45587</v>
      </c>
      <c r="C976" t="s">
        <v>13</v>
      </c>
      <c r="D976" t="s">
        <v>21</v>
      </c>
      <c r="E976">
        <v>46</v>
      </c>
      <c r="F976" t="s">
        <v>15</v>
      </c>
      <c r="G976">
        <v>220.47</v>
      </c>
      <c r="H976">
        <v>54</v>
      </c>
      <c r="I976" t="s">
        <v>16</v>
      </c>
      <c r="J976">
        <v>2.8</v>
      </c>
      <c r="K976" t="s">
        <v>17</v>
      </c>
      <c r="L976" t="s">
        <v>23</v>
      </c>
      <c r="M976" t="str">
        <f>VLOOKUP(D980,Restaurant_Master!A:B,2,FALSE)</f>
        <v>https://content.jdmagicbox.com/comp/deoria/g6/9999p5568.5568.200119143033.m4g6/catalogue/biryani-house-deoria-ho-deoria-mktc2xph0o.jpg</v>
      </c>
    </row>
    <row r="977" spans="1:13" x14ac:dyDescent="0.3">
      <c r="A977" t="s">
        <v>1007</v>
      </c>
      <c r="B977" s="1">
        <v>45555</v>
      </c>
      <c r="C977" t="s">
        <v>43</v>
      </c>
      <c r="D977" t="s">
        <v>21</v>
      </c>
      <c r="E977">
        <v>51</v>
      </c>
      <c r="F977" t="s">
        <v>28</v>
      </c>
      <c r="G977">
        <v>1016.87</v>
      </c>
      <c r="H977">
        <v>27</v>
      </c>
      <c r="I977" t="s">
        <v>22</v>
      </c>
      <c r="J977">
        <v>4.3</v>
      </c>
      <c r="K977" t="s">
        <v>17</v>
      </c>
      <c r="L977" t="s">
        <v>23</v>
      </c>
      <c r="M977" t="str">
        <f>VLOOKUP(D981,Restaurant_Master!A:B,2,FALSE)</f>
        <v>https://media-cdn.tripadvisor.com/media/photo-s/1c/c7/97/b6/photo6jpg.jpg</v>
      </c>
    </row>
    <row r="978" spans="1:13" x14ac:dyDescent="0.3">
      <c r="A978" t="s">
        <v>1008</v>
      </c>
      <c r="B978" s="1">
        <v>45302</v>
      </c>
      <c r="C978" t="s">
        <v>43</v>
      </c>
      <c r="D978" t="s">
        <v>32</v>
      </c>
      <c r="E978">
        <v>21</v>
      </c>
      <c r="F978" t="s">
        <v>15</v>
      </c>
      <c r="G978">
        <v>286.11</v>
      </c>
      <c r="H978">
        <v>50</v>
      </c>
      <c r="I978" t="s">
        <v>16</v>
      </c>
      <c r="J978">
        <v>3.4</v>
      </c>
      <c r="K978" t="s">
        <v>26</v>
      </c>
      <c r="L978" t="s">
        <v>23</v>
      </c>
      <c r="M978" t="str">
        <f>VLOOKUP(D982,Restaurant_Master!A:B,2,FALSE)</f>
        <v>https://content.jdmagicbox.com/comp/deoria/g6/9999p5568.5568.200119143033.m4g6/catalogue/biryani-house-deoria-ho-deoria-mktc2xph0o.jpg</v>
      </c>
    </row>
    <row r="979" spans="1:13" x14ac:dyDescent="0.3">
      <c r="A979" t="s">
        <v>1009</v>
      </c>
      <c r="B979" s="1">
        <v>45412</v>
      </c>
      <c r="C979" t="s">
        <v>36</v>
      </c>
      <c r="D979" t="s">
        <v>25</v>
      </c>
      <c r="E979">
        <v>22</v>
      </c>
      <c r="F979" t="s">
        <v>15</v>
      </c>
      <c r="G979">
        <v>202.15</v>
      </c>
      <c r="H979">
        <v>36</v>
      </c>
      <c r="I979" t="s">
        <v>22</v>
      </c>
      <c r="J979">
        <v>3.7</v>
      </c>
      <c r="K979" t="s">
        <v>26</v>
      </c>
      <c r="L979" t="s">
        <v>23</v>
      </c>
      <c r="M979" t="str">
        <f>VLOOKUP(D983,Restaurant_Master!A:B,2,FALSE)</f>
        <v>https://media-cdn.tripadvisor.com/media/photo-s/1c/c7/97/b6/photo6jpg.jpg</v>
      </c>
    </row>
    <row r="980" spans="1:13" x14ac:dyDescent="0.3">
      <c r="A980" t="s">
        <v>1010</v>
      </c>
      <c r="B980" s="1">
        <v>45559</v>
      </c>
      <c r="C980" t="s">
        <v>13</v>
      </c>
      <c r="D980" t="s">
        <v>32</v>
      </c>
      <c r="E980">
        <v>35</v>
      </c>
      <c r="F980" t="s">
        <v>15</v>
      </c>
      <c r="G980">
        <v>921.26</v>
      </c>
      <c r="H980">
        <v>27</v>
      </c>
      <c r="I980" t="s">
        <v>22</v>
      </c>
      <c r="J980">
        <v>4.5</v>
      </c>
      <c r="K980" t="s">
        <v>41</v>
      </c>
      <c r="L980" t="s">
        <v>23</v>
      </c>
      <c r="M980" t="str">
        <f>VLOOKUP(D984,Restaurant_Master!A:B,2,FALSE)</f>
        <v>https://dineout-media-assets.swiggy.com/swiggy/image/upload/fl_lossy,f_auto,q_auto/v1660793737/fdqxvxcxg1wtdwvyv45v.jpg</v>
      </c>
    </row>
    <row r="981" spans="1:13" x14ac:dyDescent="0.3">
      <c r="A981" t="s">
        <v>1011</v>
      </c>
      <c r="B981" s="1">
        <v>45600</v>
      </c>
      <c r="C981" t="s">
        <v>20</v>
      </c>
      <c r="D981" t="s">
        <v>25</v>
      </c>
      <c r="E981">
        <v>51</v>
      </c>
      <c r="F981" t="s">
        <v>28</v>
      </c>
      <c r="G981">
        <v>986.87</v>
      </c>
      <c r="H981">
        <v>36</v>
      </c>
      <c r="I981" t="s">
        <v>22</v>
      </c>
      <c r="J981">
        <v>3.4</v>
      </c>
      <c r="K981" t="s">
        <v>29</v>
      </c>
      <c r="L981" t="s">
        <v>23</v>
      </c>
      <c r="M981" t="str">
        <f>VLOOKUP(D985,Restaurant_Master!A:B,2,FALSE)</f>
        <v>https://dynamic-media-cdn.tripadvisor.com/media/photo-o/1c/e7/04/0d/front-of-the-local-easily.jpg</v>
      </c>
    </row>
    <row r="982" spans="1:13" x14ac:dyDescent="0.3">
      <c r="A982" t="s">
        <v>1012</v>
      </c>
      <c r="B982" s="1">
        <v>45651</v>
      </c>
      <c r="C982" t="s">
        <v>36</v>
      </c>
      <c r="D982" t="s">
        <v>32</v>
      </c>
      <c r="E982">
        <v>39</v>
      </c>
      <c r="F982" t="s">
        <v>15</v>
      </c>
      <c r="G982">
        <v>693.98</v>
      </c>
      <c r="H982">
        <v>58</v>
      </c>
      <c r="I982" t="s">
        <v>16</v>
      </c>
      <c r="J982">
        <v>2.6</v>
      </c>
      <c r="K982" t="s">
        <v>29</v>
      </c>
      <c r="L982" t="s">
        <v>23</v>
      </c>
      <c r="M982" t="str">
        <f>VLOOKUP(D986,Restaurant_Master!A:B,2,FALSE)</f>
        <v>https://www.chatswoodinterchange.com/storages/2018/08/Sushi-World_666x448.jpg</v>
      </c>
    </row>
    <row r="983" spans="1:13" x14ac:dyDescent="0.3">
      <c r="A983" t="s">
        <v>1013</v>
      </c>
      <c r="B983" s="1">
        <v>45581</v>
      </c>
      <c r="C983" t="s">
        <v>36</v>
      </c>
      <c r="D983" t="s">
        <v>25</v>
      </c>
      <c r="E983">
        <v>54</v>
      </c>
      <c r="F983" t="s">
        <v>28</v>
      </c>
      <c r="G983">
        <v>215.43</v>
      </c>
      <c r="H983">
        <v>36</v>
      </c>
      <c r="I983" t="s">
        <v>22</v>
      </c>
      <c r="J983">
        <v>3.9</v>
      </c>
      <c r="K983" t="s">
        <v>29</v>
      </c>
      <c r="L983" t="s">
        <v>23</v>
      </c>
      <c r="M983" t="str">
        <f>VLOOKUP(D987,Restaurant_Master!A:B,2,FALSE)</f>
        <v>https://www.chatswoodinterchange.com/storages/2018/08/Sushi-World_666x448.jpg</v>
      </c>
    </row>
    <row r="984" spans="1:13" x14ac:dyDescent="0.3">
      <c r="A984" t="s">
        <v>1014</v>
      </c>
      <c r="B984" s="1">
        <v>45589</v>
      </c>
      <c r="C984" t="s">
        <v>13</v>
      </c>
      <c r="D984" t="s">
        <v>14</v>
      </c>
      <c r="E984">
        <v>59</v>
      </c>
      <c r="F984" t="s">
        <v>28</v>
      </c>
      <c r="G984">
        <v>441.09</v>
      </c>
      <c r="H984">
        <v>32</v>
      </c>
      <c r="I984" t="s">
        <v>22</v>
      </c>
      <c r="J984">
        <v>4.5</v>
      </c>
      <c r="K984" t="s">
        <v>17</v>
      </c>
      <c r="L984" t="s">
        <v>18</v>
      </c>
      <c r="M984" t="str">
        <f>VLOOKUP(D988,Restaurant_Master!A:B,2,FALSE)</f>
        <v>https://dynamic-media-cdn.tripadvisor.com/media/photo-o/1c/e7/04/0d/front-of-the-local-easily.jpg</v>
      </c>
    </row>
    <row r="985" spans="1:13" x14ac:dyDescent="0.3">
      <c r="A985" t="s">
        <v>1015</v>
      </c>
      <c r="B985" s="1">
        <v>45561</v>
      </c>
      <c r="C985" t="s">
        <v>43</v>
      </c>
      <c r="D985" t="s">
        <v>21</v>
      </c>
      <c r="E985">
        <v>37</v>
      </c>
      <c r="F985" t="s">
        <v>15</v>
      </c>
      <c r="G985">
        <v>883.49</v>
      </c>
      <c r="H985">
        <v>42</v>
      </c>
      <c r="I985" t="s">
        <v>16</v>
      </c>
      <c r="J985">
        <v>3.1</v>
      </c>
      <c r="K985" t="s">
        <v>26</v>
      </c>
      <c r="L985" t="s">
        <v>18</v>
      </c>
      <c r="M985" t="str">
        <f>VLOOKUP(D989,Restaurant_Master!A:B,2,FALSE)</f>
        <v>https://media-cdn.tripadvisor.com/media/photo-s/1c/c7/97/b6/photo6jpg.jpg</v>
      </c>
    </row>
    <row r="986" spans="1:13" x14ac:dyDescent="0.3">
      <c r="A986" t="s">
        <v>1016</v>
      </c>
      <c r="B986" s="1">
        <v>45549</v>
      </c>
      <c r="C986" t="s">
        <v>43</v>
      </c>
      <c r="D986" t="s">
        <v>38</v>
      </c>
      <c r="E986">
        <v>39</v>
      </c>
      <c r="F986" t="s">
        <v>28</v>
      </c>
      <c r="G986">
        <v>882.85</v>
      </c>
      <c r="H986">
        <v>37</v>
      </c>
      <c r="I986" t="s">
        <v>22</v>
      </c>
      <c r="J986">
        <v>4.8</v>
      </c>
      <c r="K986" t="s">
        <v>29</v>
      </c>
      <c r="L986" t="s">
        <v>18</v>
      </c>
      <c r="M986" t="str">
        <f>VLOOKUP(D990,Restaurant_Master!A:B,2,FALSE)</f>
        <v>https://dineout-media-assets.swiggy.com/swiggy/image/upload/fl_lossy,f_auto,q_auto/v1660793737/fdqxvxcxg1wtdwvyv45v.jpg</v>
      </c>
    </row>
    <row r="987" spans="1:13" x14ac:dyDescent="0.3">
      <c r="A987" t="s">
        <v>1017</v>
      </c>
      <c r="B987" s="1">
        <v>45407</v>
      </c>
      <c r="C987" t="s">
        <v>13</v>
      </c>
      <c r="D987" t="s">
        <v>38</v>
      </c>
      <c r="E987">
        <v>29</v>
      </c>
      <c r="F987" t="s">
        <v>28</v>
      </c>
      <c r="G987">
        <v>405.55</v>
      </c>
      <c r="H987">
        <v>49</v>
      </c>
      <c r="I987" t="s">
        <v>16</v>
      </c>
      <c r="J987">
        <v>3.1</v>
      </c>
      <c r="K987" t="s">
        <v>29</v>
      </c>
      <c r="L987" t="s">
        <v>23</v>
      </c>
      <c r="M987" t="str">
        <f>VLOOKUP(D991,Restaurant_Master!A:B,2,FALSE)</f>
        <v>https://content.jdmagicbox.com/comp/deoria/g6/9999p5568.5568.200119143033.m4g6/catalogue/biryani-house-deoria-ho-deoria-mktc2xph0o.jpg</v>
      </c>
    </row>
    <row r="988" spans="1:13" x14ac:dyDescent="0.3">
      <c r="A988" t="s">
        <v>1018</v>
      </c>
      <c r="B988" s="1">
        <v>45516</v>
      </c>
      <c r="C988" t="s">
        <v>36</v>
      </c>
      <c r="D988" t="s">
        <v>21</v>
      </c>
      <c r="E988">
        <v>43</v>
      </c>
      <c r="F988" t="s">
        <v>28</v>
      </c>
      <c r="G988">
        <v>335.03</v>
      </c>
      <c r="H988">
        <v>54</v>
      </c>
      <c r="I988" t="s">
        <v>16</v>
      </c>
      <c r="J988">
        <v>4.0999999999999996</v>
      </c>
      <c r="K988" t="s">
        <v>29</v>
      </c>
      <c r="L988" t="s">
        <v>18</v>
      </c>
      <c r="M988" t="str">
        <f>VLOOKUP(D992,Restaurant_Master!A:B,2,FALSE)</f>
        <v>https://content.jdmagicbox.com/comp/deoria/g6/9999p5568.5568.200119143033.m4g6/catalogue/biryani-house-deoria-ho-deoria-mktc2xph0o.jpg</v>
      </c>
    </row>
    <row r="989" spans="1:13" x14ac:dyDescent="0.3">
      <c r="A989" t="s">
        <v>1019</v>
      </c>
      <c r="B989" s="1">
        <v>45367</v>
      </c>
      <c r="C989" t="s">
        <v>13</v>
      </c>
      <c r="D989" t="s">
        <v>25</v>
      </c>
      <c r="E989">
        <v>54</v>
      </c>
      <c r="F989" t="s">
        <v>28</v>
      </c>
      <c r="G989">
        <v>648.1</v>
      </c>
      <c r="H989">
        <v>24</v>
      </c>
      <c r="I989" t="s">
        <v>22</v>
      </c>
      <c r="J989">
        <v>2.5</v>
      </c>
      <c r="K989" t="s">
        <v>26</v>
      </c>
      <c r="L989" t="s">
        <v>23</v>
      </c>
      <c r="M989" t="str">
        <f>VLOOKUP(D993,Restaurant_Master!A:B,2,FALSE)</f>
        <v>https://dynamic-media-cdn.tripadvisor.com/media/photo-o/1c/e7/04/0d/front-of-the-local-easily.jpg</v>
      </c>
    </row>
    <row r="990" spans="1:13" x14ac:dyDescent="0.3">
      <c r="A990" t="s">
        <v>1020</v>
      </c>
      <c r="B990" s="1">
        <v>45464</v>
      </c>
      <c r="C990" t="s">
        <v>13</v>
      </c>
      <c r="D990" t="s">
        <v>14</v>
      </c>
      <c r="E990">
        <v>24</v>
      </c>
      <c r="F990" t="s">
        <v>15</v>
      </c>
      <c r="G990">
        <v>699.7</v>
      </c>
      <c r="H990">
        <v>58</v>
      </c>
      <c r="I990" t="s">
        <v>16</v>
      </c>
      <c r="J990">
        <v>3</v>
      </c>
      <c r="K990" t="s">
        <v>26</v>
      </c>
      <c r="L990" t="s">
        <v>18</v>
      </c>
      <c r="M990" t="str">
        <f>VLOOKUP(D994,Restaurant_Master!A:B,2,FALSE)</f>
        <v>https://www.chatswoodinterchange.com/storages/2018/08/Sushi-World_666x448.jpg</v>
      </c>
    </row>
    <row r="991" spans="1:13" x14ac:dyDescent="0.3">
      <c r="A991" t="s">
        <v>1021</v>
      </c>
      <c r="B991" s="1">
        <v>45560</v>
      </c>
      <c r="C991" t="s">
        <v>43</v>
      </c>
      <c r="D991" t="s">
        <v>32</v>
      </c>
      <c r="E991">
        <v>32</v>
      </c>
      <c r="F991" t="s">
        <v>28</v>
      </c>
      <c r="G991">
        <v>944.8</v>
      </c>
      <c r="H991">
        <v>36</v>
      </c>
      <c r="I991" t="s">
        <v>22</v>
      </c>
      <c r="J991">
        <v>4.5999999999999996</v>
      </c>
      <c r="K991" t="s">
        <v>41</v>
      </c>
      <c r="L991" t="s">
        <v>18</v>
      </c>
      <c r="M991" t="str">
        <f>VLOOKUP(D995,Restaurant_Master!A:B,2,FALSE)</f>
        <v>https://content.jdmagicbox.com/comp/deoria/g6/9999p5568.5568.200119143033.m4g6/catalogue/biryani-house-deoria-ho-deoria-mktc2xph0o.jpg</v>
      </c>
    </row>
    <row r="992" spans="1:13" x14ac:dyDescent="0.3">
      <c r="A992" t="s">
        <v>1022</v>
      </c>
      <c r="B992" s="1">
        <v>45325</v>
      </c>
      <c r="C992" t="s">
        <v>13</v>
      </c>
      <c r="D992" t="s">
        <v>32</v>
      </c>
      <c r="E992">
        <v>28</v>
      </c>
      <c r="F992" t="s">
        <v>15</v>
      </c>
      <c r="G992">
        <v>1148.48</v>
      </c>
      <c r="H992">
        <v>54</v>
      </c>
      <c r="I992" t="s">
        <v>16</v>
      </c>
      <c r="J992">
        <v>3.6</v>
      </c>
      <c r="K992" t="s">
        <v>26</v>
      </c>
      <c r="L992" t="s">
        <v>18</v>
      </c>
      <c r="M992" t="str">
        <f>VLOOKUP(D996,Restaurant_Master!A:B,2,FALSE)</f>
        <v>https://media-cdn.tripadvisor.com/media/photo-s/1c/c7/97/b6/photo6jpg.jpg</v>
      </c>
    </row>
    <row r="993" spans="1:13" x14ac:dyDescent="0.3">
      <c r="A993" t="s">
        <v>1023</v>
      </c>
      <c r="B993" s="1">
        <v>45360</v>
      </c>
      <c r="C993" t="s">
        <v>43</v>
      </c>
      <c r="D993" t="s">
        <v>21</v>
      </c>
      <c r="E993">
        <v>33</v>
      </c>
      <c r="F993" t="s">
        <v>28</v>
      </c>
      <c r="G993">
        <v>1153.27</v>
      </c>
      <c r="H993">
        <v>43</v>
      </c>
      <c r="I993" t="s">
        <v>16</v>
      </c>
      <c r="J993">
        <v>5</v>
      </c>
      <c r="K993" t="s">
        <v>41</v>
      </c>
      <c r="L993" t="s">
        <v>23</v>
      </c>
      <c r="M993" t="str">
        <f>VLOOKUP(D997,Restaurant_Master!A:B,2,FALSE)</f>
        <v>https://content.jdmagicbox.com/comp/deoria/g6/9999p5568.5568.200119143033.m4g6/catalogue/biryani-house-deoria-ho-deoria-mktc2xph0o.jpg</v>
      </c>
    </row>
    <row r="994" spans="1:13" x14ac:dyDescent="0.3">
      <c r="A994" t="s">
        <v>1024</v>
      </c>
      <c r="B994" s="1">
        <v>45630</v>
      </c>
      <c r="C994" t="s">
        <v>13</v>
      </c>
      <c r="D994" t="s">
        <v>38</v>
      </c>
      <c r="E994">
        <v>58</v>
      </c>
      <c r="F994" t="s">
        <v>15</v>
      </c>
      <c r="G994">
        <v>506.14</v>
      </c>
      <c r="H994">
        <v>33</v>
      </c>
      <c r="I994" t="s">
        <v>22</v>
      </c>
      <c r="J994">
        <v>2.7</v>
      </c>
      <c r="K994" t="s">
        <v>41</v>
      </c>
      <c r="L994" t="s">
        <v>23</v>
      </c>
      <c r="M994" t="str">
        <f>VLOOKUP(D998,Restaurant_Master!A:B,2,FALSE)</f>
        <v>https://content.jdmagicbox.com/comp/deoria/g6/9999p5568.5568.200119143033.m4g6/catalogue/biryani-house-deoria-ho-deoria-mktc2xph0o.jpg</v>
      </c>
    </row>
    <row r="995" spans="1:13" x14ac:dyDescent="0.3">
      <c r="A995" t="s">
        <v>1025</v>
      </c>
      <c r="B995" s="1">
        <v>45357</v>
      </c>
      <c r="C995" t="s">
        <v>34</v>
      </c>
      <c r="D995" t="s">
        <v>32</v>
      </c>
      <c r="E995">
        <v>23</v>
      </c>
      <c r="F995" t="s">
        <v>15</v>
      </c>
      <c r="G995">
        <v>1127.6300000000001</v>
      </c>
      <c r="H995">
        <v>42</v>
      </c>
      <c r="I995" t="s">
        <v>16</v>
      </c>
      <c r="J995">
        <v>4</v>
      </c>
      <c r="K995" t="s">
        <v>29</v>
      </c>
      <c r="L995" t="s">
        <v>23</v>
      </c>
      <c r="M995" t="str">
        <f>VLOOKUP(D999,Restaurant_Master!A:B,2,FALSE)</f>
        <v>https://dineout-media-assets.swiggy.com/swiggy/image/upload/fl_lossy,f_auto,q_auto/v1660793737/fdqxvxcxg1wtdwvyv45v.jpg</v>
      </c>
    </row>
    <row r="996" spans="1:13" x14ac:dyDescent="0.3">
      <c r="A996" t="s">
        <v>1026</v>
      </c>
      <c r="B996" s="1">
        <v>45583</v>
      </c>
      <c r="C996" t="s">
        <v>34</v>
      </c>
      <c r="D996" t="s">
        <v>25</v>
      </c>
      <c r="E996">
        <v>58</v>
      </c>
      <c r="F996" t="s">
        <v>28</v>
      </c>
      <c r="G996">
        <v>838.16</v>
      </c>
      <c r="H996">
        <v>39</v>
      </c>
      <c r="I996" t="s">
        <v>22</v>
      </c>
      <c r="J996">
        <v>2.6</v>
      </c>
      <c r="K996" t="s">
        <v>41</v>
      </c>
      <c r="L996" t="s">
        <v>18</v>
      </c>
      <c r="M996" t="str">
        <f>VLOOKUP(D1000,Restaurant_Master!A:B,2,FALSE)</f>
        <v>https://content.jdmagicbox.com/comp/deoria/g6/9999p5568.5568.200119143033.m4g6/catalogue/biryani-house-deoria-ho-deoria-mktc2xph0o.jpg</v>
      </c>
    </row>
    <row r="997" spans="1:13" x14ac:dyDescent="0.3">
      <c r="A997" t="s">
        <v>1027</v>
      </c>
      <c r="B997" s="1">
        <v>45434</v>
      </c>
      <c r="C997" t="s">
        <v>36</v>
      </c>
      <c r="D997" t="s">
        <v>32</v>
      </c>
      <c r="E997">
        <v>19</v>
      </c>
      <c r="F997" t="s">
        <v>15</v>
      </c>
      <c r="G997">
        <v>1184.1099999999999</v>
      </c>
      <c r="H997">
        <v>24</v>
      </c>
      <c r="I997" t="s">
        <v>22</v>
      </c>
      <c r="J997">
        <v>4.5999999999999996</v>
      </c>
      <c r="K997" t="s">
        <v>26</v>
      </c>
      <c r="L997" t="s">
        <v>18</v>
      </c>
      <c r="M997" t="str">
        <f>VLOOKUP(D1001,Restaurant_Master!A:B,2,FALSE)</f>
        <v>https://media-cdn.tripadvisor.com/media/photo-s/1c/c7/97/b6/photo6jpg.jpg</v>
      </c>
    </row>
    <row r="998" spans="1:13" x14ac:dyDescent="0.3">
      <c r="A998" t="s">
        <v>1028</v>
      </c>
      <c r="B998" s="1">
        <v>45292</v>
      </c>
      <c r="C998" t="s">
        <v>36</v>
      </c>
      <c r="D998" t="s">
        <v>32</v>
      </c>
      <c r="E998">
        <v>49</v>
      </c>
      <c r="F998" t="s">
        <v>28</v>
      </c>
      <c r="G998">
        <v>369.79</v>
      </c>
      <c r="H998">
        <v>40</v>
      </c>
      <c r="I998" t="s">
        <v>22</v>
      </c>
      <c r="J998">
        <v>4</v>
      </c>
      <c r="K998" t="s">
        <v>41</v>
      </c>
      <c r="L998" t="s">
        <v>23</v>
      </c>
      <c r="M998" t="str">
        <f>VLOOKUP(D1002,Restaurant_Master!A:B,2,FALSE)</f>
        <v>https://dynamic-media-cdn.tripadvisor.com/media/photo-o/1c/e7/04/0d/front-of-the-local-easily.jpg</v>
      </c>
    </row>
    <row r="999" spans="1:13" x14ac:dyDescent="0.3">
      <c r="A999" t="s">
        <v>1029</v>
      </c>
      <c r="B999" s="1">
        <v>45298</v>
      </c>
      <c r="C999" t="s">
        <v>36</v>
      </c>
      <c r="D999" t="s">
        <v>14</v>
      </c>
      <c r="E999">
        <v>25</v>
      </c>
      <c r="F999" t="s">
        <v>28</v>
      </c>
      <c r="G999">
        <v>816.69</v>
      </c>
      <c r="H999">
        <v>47</v>
      </c>
      <c r="I999" t="s">
        <v>16</v>
      </c>
      <c r="J999">
        <v>4.3</v>
      </c>
      <c r="K999" t="s">
        <v>29</v>
      </c>
      <c r="L999" t="s">
        <v>18</v>
      </c>
      <c r="M999" t="str">
        <f>VLOOKUP(D1003,Restaurant_Master!A:B,2,FALSE)</f>
        <v>https://dineout-media-assets.swiggy.com/swiggy/image/upload/fl_lossy,f_auto,q_auto/v1660793737/fdqxvxcxg1wtdwvyv45v.jpg</v>
      </c>
    </row>
    <row r="1000" spans="1:13" x14ac:dyDescent="0.3">
      <c r="A1000" t="s">
        <v>1030</v>
      </c>
      <c r="B1000" s="1">
        <v>45349</v>
      </c>
      <c r="C1000" t="s">
        <v>36</v>
      </c>
      <c r="D1000" t="s">
        <v>32</v>
      </c>
      <c r="E1000">
        <v>21</v>
      </c>
      <c r="F1000" t="s">
        <v>28</v>
      </c>
      <c r="G1000">
        <v>1078.32</v>
      </c>
      <c r="H1000">
        <v>28</v>
      </c>
      <c r="I1000" t="s">
        <v>22</v>
      </c>
      <c r="J1000">
        <v>4.9000000000000004</v>
      </c>
      <c r="K1000" t="s">
        <v>17</v>
      </c>
      <c r="L1000" t="s">
        <v>18</v>
      </c>
      <c r="M1000" t="str">
        <f>VLOOKUP(D1004,Restaurant_Master!A:B,2,FALSE)</f>
        <v>https://media-cdn.tripadvisor.com/media/photo-s/1c/c7/97/b6/photo6jpg.jpg</v>
      </c>
    </row>
    <row r="1001" spans="1:13" x14ac:dyDescent="0.3">
      <c r="A1001" t="s">
        <v>1031</v>
      </c>
      <c r="B1001" s="1">
        <v>45470</v>
      </c>
      <c r="C1001" t="s">
        <v>13</v>
      </c>
      <c r="D1001" t="s">
        <v>25</v>
      </c>
      <c r="E1001">
        <v>58</v>
      </c>
      <c r="F1001" t="s">
        <v>28</v>
      </c>
      <c r="G1001">
        <v>568.6</v>
      </c>
      <c r="H1001">
        <v>42</v>
      </c>
      <c r="I1001" t="s">
        <v>16</v>
      </c>
      <c r="J1001">
        <v>2.6</v>
      </c>
      <c r="K1001" t="s">
        <v>26</v>
      </c>
      <c r="L1001" t="s">
        <v>23</v>
      </c>
      <c r="M1001" t="str">
        <f>VLOOKUP(D1005,Restaurant_Master!A:B,2,FALSE)</f>
        <v>https://dynamic-media-cdn.tripadvisor.com/media/photo-o/1c/e7/04/0d/front-of-the-local-easily.jpg</v>
      </c>
    </row>
    <row r="1002" spans="1:13" x14ac:dyDescent="0.3">
      <c r="A1002" t="s">
        <v>1032</v>
      </c>
      <c r="B1002" s="1">
        <v>45650</v>
      </c>
      <c r="C1002" t="s">
        <v>34</v>
      </c>
      <c r="D1002" t="s">
        <v>21</v>
      </c>
      <c r="E1002">
        <v>19</v>
      </c>
      <c r="F1002" t="s">
        <v>15</v>
      </c>
      <c r="G1002">
        <v>827.54</v>
      </c>
      <c r="H1002">
        <v>48</v>
      </c>
      <c r="I1002" t="s">
        <v>16</v>
      </c>
      <c r="J1002">
        <v>3.2</v>
      </c>
      <c r="K1002" t="s">
        <v>29</v>
      </c>
      <c r="L1002" t="s">
        <v>18</v>
      </c>
      <c r="M1002" t="str">
        <f>VLOOKUP(D1006,Restaurant_Master!A:B,2,FALSE)</f>
        <v>https://content.jdmagicbox.com/comp/deoria/g6/9999p5568.5568.200119143033.m4g6/catalogue/biryani-house-deoria-ho-deoria-mktc2xph0o.jpg</v>
      </c>
    </row>
    <row r="1003" spans="1:13" x14ac:dyDescent="0.3">
      <c r="A1003" t="s">
        <v>1033</v>
      </c>
      <c r="B1003" s="1">
        <v>45528</v>
      </c>
      <c r="C1003" t="s">
        <v>34</v>
      </c>
      <c r="D1003" t="s">
        <v>14</v>
      </c>
      <c r="E1003">
        <v>34</v>
      </c>
      <c r="F1003" t="s">
        <v>28</v>
      </c>
      <c r="G1003">
        <v>899.2</v>
      </c>
      <c r="H1003">
        <v>47</v>
      </c>
      <c r="I1003" t="s">
        <v>16</v>
      </c>
      <c r="J1003">
        <v>3.6</v>
      </c>
      <c r="K1003" t="s">
        <v>26</v>
      </c>
      <c r="L1003" t="s">
        <v>23</v>
      </c>
      <c r="M1003" t="str">
        <f>VLOOKUP(D1007,Restaurant_Master!A:B,2,FALSE)</f>
        <v>https://dynamic-media-cdn.tripadvisor.com/media/photo-o/1c/e7/04/0d/front-of-the-local-easily.jpg</v>
      </c>
    </row>
    <row r="1004" spans="1:13" x14ac:dyDescent="0.3">
      <c r="A1004" t="s">
        <v>1034</v>
      </c>
      <c r="B1004" s="1">
        <v>45500</v>
      </c>
      <c r="C1004" t="s">
        <v>20</v>
      </c>
      <c r="D1004" t="s">
        <v>25</v>
      </c>
      <c r="E1004">
        <v>26</v>
      </c>
      <c r="F1004" t="s">
        <v>28</v>
      </c>
      <c r="G1004">
        <v>180.02</v>
      </c>
      <c r="H1004">
        <v>34</v>
      </c>
      <c r="I1004" t="s">
        <v>22</v>
      </c>
      <c r="J1004">
        <v>2.6</v>
      </c>
      <c r="K1004" t="s">
        <v>29</v>
      </c>
      <c r="L1004" t="s">
        <v>23</v>
      </c>
      <c r="M1004" t="str">
        <f>VLOOKUP(D1008,Restaurant_Master!A:B,2,FALSE)</f>
        <v>https://www.chatswoodinterchange.com/storages/2018/08/Sushi-World_666x448.jpg</v>
      </c>
    </row>
    <row r="1005" spans="1:13" x14ac:dyDescent="0.3">
      <c r="A1005" t="s">
        <v>1035</v>
      </c>
      <c r="B1005" s="1">
        <v>45339</v>
      </c>
      <c r="C1005" t="s">
        <v>43</v>
      </c>
      <c r="D1005" t="s">
        <v>21</v>
      </c>
      <c r="E1005">
        <v>60</v>
      </c>
      <c r="F1005" t="s">
        <v>15</v>
      </c>
      <c r="G1005">
        <v>547.26</v>
      </c>
      <c r="H1005">
        <v>55</v>
      </c>
      <c r="I1005" t="s">
        <v>16</v>
      </c>
      <c r="J1005">
        <v>2.7</v>
      </c>
      <c r="K1005" t="s">
        <v>41</v>
      </c>
      <c r="L1005" t="s">
        <v>18</v>
      </c>
      <c r="M1005" t="str">
        <f>VLOOKUP(D1009,Restaurant_Master!A:B,2,FALSE)</f>
        <v>https://dynamic-media-cdn.tripadvisor.com/media/photo-o/1c/e7/04/0d/front-of-the-local-easily.jpg</v>
      </c>
    </row>
    <row r="1006" spans="1:13" x14ac:dyDescent="0.3">
      <c r="A1006" t="s">
        <v>1036</v>
      </c>
      <c r="B1006" s="1">
        <v>45410</v>
      </c>
      <c r="C1006" t="s">
        <v>43</v>
      </c>
      <c r="D1006" t="s">
        <v>32</v>
      </c>
      <c r="E1006">
        <v>34</v>
      </c>
      <c r="F1006" t="s">
        <v>15</v>
      </c>
      <c r="G1006">
        <v>994.87</v>
      </c>
      <c r="H1006">
        <v>38</v>
      </c>
      <c r="I1006" t="s">
        <v>22</v>
      </c>
      <c r="J1006">
        <v>3.4</v>
      </c>
      <c r="K1006" t="s">
        <v>26</v>
      </c>
      <c r="L1006" t="s">
        <v>23</v>
      </c>
      <c r="M1006" t="str">
        <f>VLOOKUP(D1010,Restaurant_Master!A:B,2,FALSE)</f>
        <v>https://www.chatswoodinterchange.com/storages/2018/08/Sushi-World_666x448.jpg</v>
      </c>
    </row>
    <row r="1007" spans="1:13" x14ac:dyDescent="0.3">
      <c r="A1007" t="s">
        <v>1037</v>
      </c>
      <c r="B1007" s="1">
        <v>45381</v>
      </c>
      <c r="C1007" t="s">
        <v>34</v>
      </c>
      <c r="D1007" t="s">
        <v>21</v>
      </c>
      <c r="E1007">
        <v>35</v>
      </c>
      <c r="F1007" t="s">
        <v>28</v>
      </c>
      <c r="G1007">
        <v>268.64</v>
      </c>
      <c r="H1007">
        <v>31</v>
      </c>
      <c r="I1007" t="s">
        <v>22</v>
      </c>
      <c r="J1007">
        <v>4.7</v>
      </c>
      <c r="K1007" t="s">
        <v>26</v>
      </c>
      <c r="L1007" t="s">
        <v>23</v>
      </c>
      <c r="M1007" t="str">
        <f>VLOOKUP(D1011,Restaurant_Master!A:B,2,FALSE)</f>
        <v>https://media-cdn.tripadvisor.com/media/photo-s/1c/c7/97/b6/photo6jpg.jpg</v>
      </c>
    </row>
    <row r="1008" spans="1:13" x14ac:dyDescent="0.3">
      <c r="A1008" t="s">
        <v>1038</v>
      </c>
      <c r="B1008" s="1">
        <v>45433</v>
      </c>
      <c r="C1008" t="s">
        <v>36</v>
      </c>
      <c r="D1008" t="s">
        <v>38</v>
      </c>
      <c r="E1008">
        <v>55</v>
      </c>
      <c r="F1008" t="s">
        <v>28</v>
      </c>
      <c r="G1008">
        <v>803.89</v>
      </c>
      <c r="H1008">
        <v>25</v>
      </c>
      <c r="I1008" t="s">
        <v>22</v>
      </c>
      <c r="J1008">
        <v>4.4000000000000004</v>
      </c>
      <c r="K1008" t="s">
        <v>29</v>
      </c>
      <c r="L1008" t="s">
        <v>18</v>
      </c>
      <c r="M1008" t="str">
        <f>VLOOKUP(D1012,Restaurant_Master!A:B,2,FALSE)</f>
        <v>https://dineout-media-assets.swiggy.com/swiggy/image/upload/fl_lossy,f_auto,q_auto/v1660793737/fdqxvxcxg1wtdwvyv45v.jpg</v>
      </c>
    </row>
    <row r="1009" spans="1:13" x14ac:dyDescent="0.3">
      <c r="A1009" t="s">
        <v>1039</v>
      </c>
      <c r="B1009" s="1">
        <v>45452</v>
      </c>
      <c r="C1009" t="s">
        <v>20</v>
      </c>
      <c r="D1009" t="s">
        <v>21</v>
      </c>
      <c r="E1009">
        <v>37</v>
      </c>
      <c r="F1009" t="s">
        <v>15</v>
      </c>
      <c r="G1009">
        <v>1090.53</v>
      </c>
      <c r="H1009">
        <v>43</v>
      </c>
      <c r="I1009" t="s">
        <v>16</v>
      </c>
      <c r="J1009">
        <v>4.9000000000000004</v>
      </c>
      <c r="K1009" t="s">
        <v>41</v>
      </c>
      <c r="L1009" t="s">
        <v>18</v>
      </c>
      <c r="M1009" t="str">
        <f>VLOOKUP(D1013,Restaurant_Master!A:B,2,FALSE)</f>
        <v>https://content.jdmagicbox.com/comp/deoria/g6/9999p5568.5568.200119143033.m4g6/catalogue/biryani-house-deoria-ho-deoria-mktc2xph0o.jpg</v>
      </c>
    </row>
    <row r="1010" spans="1:13" x14ac:dyDescent="0.3">
      <c r="A1010" t="s">
        <v>1040</v>
      </c>
      <c r="B1010" s="1">
        <v>45313</v>
      </c>
      <c r="C1010" t="s">
        <v>13</v>
      </c>
      <c r="D1010" t="s">
        <v>38</v>
      </c>
      <c r="E1010">
        <v>35</v>
      </c>
      <c r="F1010" t="s">
        <v>15</v>
      </c>
      <c r="G1010">
        <v>599.19000000000005</v>
      </c>
      <c r="H1010">
        <v>33</v>
      </c>
      <c r="I1010" t="s">
        <v>22</v>
      </c>
      <c r="J1010">
        <v>4.8</v>
      </c>
      <c r="K1010" t="s">
        <v>26</v>
      </c>
      <c r="L1010" t="s">
        <v>23</v>
      </c>
      <c r="M1010" t="str">
        <f>VLOOKUP(D1014,Restaurant_Master!A:B,2,FALSE)</f>
        <v>https://www.chatswoodinterchange.com/storages/2018/08/Sushi-World_666x448.jpg</v>
      </c>
    </row>
    <row r="1011" spans="1:13" x14ac:dyDescent="0.3">
      <c r="A1011" t="s">
        <v>1041</v>
      </c>
      <c r="B1011" s="1">
        <v>45486</v>
      </c>
      <c r="C1011" t="s">
        <v>43</v>
      </c>
      <c r="D1011" t="s">
        <v>25</v>
      </c>
      <c r="E1011">
        <v>40</v>
      </c>
      <c r="F1011" t="s">
        <v>28</v>
      </c>
      <c r="G1011">
        <v>769.78</v>
      </c>
      <c r="H1011">
        <v>54</v>
      </c>
      <c r="I1011" t="s">
        <v>16</v>
      </c>
      <c r="J1011">
        <v>4</v>
      </c>
      <c r="K1011" t="s">
        <v>17</v>
      </c>
      <c r="L1011" t="s">
        <v>23</v>
      </c>
      <c r="M1011" t="str">
        <f>VLOOKUP(D1015,Restaurant_Master!A:B,2,FALSE)</f>
        <v>https://dynamic-media-cdn.tripadvisor.com/media/photo-o/1c/e7/04/0d/front-of-the-local-easily.jpg</v>
      </c>
    </row>
    <row r="1012" spans="1:13" x14ac:dyDescent="0.3">
      <c r="A1012" t="s">
        <v>1042</v>
      </c>
      <c r="B1012" s="1">
        <v>45342</v>
      </c>
      <c r="C1012" t="s">
        <v>43</v>
      </c>
      <c r="D1012" t="s">
        <v>14</v>
      </c>
      <c r="E1012">
        <v>47</v>
      </c>
      <c r="F1012" t="s">
        <v>15</v>
      </c>
      <c r="G1012">
        <v>1065.46</v>
      </c>
      <c r="H1012">
        <v>59</v>
      </c>
      <c r="I1012" t="s">
        <v>16</v>
      </c>
      <c r="J1012">
        <v>4.4000000000000004</v>
      </c>
      <c r="K1012" t="s">
        <v>41</v>
      </c>
      <c r="L1012" t="s">
        <v>18</v>
      </c>
      <c r="M1012" t="str">
        <f>VLOOKUP(D1016,Restaurant_Master!A:B,2,FALSE)</f>
        <v>https://content.jdmagicbox.com/comp/deoria/g6/9999p5568.5568.200119143033.m4g6/catalogue/biryani-house-deoria-ho-deoria-mktc2xph0o.jpg</v>
      </c>
    </row>
    <row r="1013" spans="1:13" x14ac:dyDescent="0.3">
      <c r="A1013" t="s">
        <v>1043</v>
      </c>
      <c r="B1013" s="1">
        <v>45582</v>
      </c>
      <c r="C1013" t="s">
        <v>20</v>
      </c>
      <c r="D1013" t="s">
        <v>32</v>
      </c>
      <c r="E1013">
        <v>52</v>
      </c>
      <c r="F1013" t="s">
        <v>15</v>
      </c>
      <c r="G1013">
        <v>330.41</v>
      </c>
      <c r="H1013">
        <v>38</v>
      </c>
      <c r="I1013" t="s">
        <v>22</v>
      </c>
      <c r="J1013">
        <v>4.9000000000000004</v>
      </c>
      <c r="K1013" t="s">
        <v>41</v>
      </c>
      <c r="L1013" t="s">
        <v>18</v>
      </c>
      <c r="M1013" t="str">
        <f>VLOOKUP(D1017,Restaurant_Master!A:B,2,FALSE)</f>
        <v>https://media-cdn.tripadvisor.com/media/photo-s/1c/c7/97/b6/photo6jpg.jpg</v>
      </c>
    </row>
    <row r="1014" spans="1:13" x14ac:dyDescent="0.3">
      <c r="A1014" t="s">
        <v>1044</v>
      </c>
      <c r="B1014" s="1">
        <v>45503</v>
      </c>
      <c r="C1014" t="s">
        <v>36</v>
      </c>
      <c r="D1014" t="s">
        <v>38</v>
      </c>
      <c r="E1014">
        <v>24</v>
      </c>
      <c r="F1014" t="s">
        <v>28</v>
      </c>
      <c r="G1014">
        <v>1166.56</v>
      </c>
      <c r="H1014">
        <v>41</v>
      </c>
      <c r="I1014" t="s">
        <v>16</v>
      </c>
      <c r="J1014">
        <v>3.3</v>
      </c>
      <c r="K1014" t="s">
        <v>17</v>
      </c>
      <c r="L1014" t="s">
        <v>18</v>
      </c>
      <c r="M1014" t="str">
        <f>VLOOKUP(D1018,Restaurant_Master!A:B,2,FALSE)</f>
        <v>https://media-cdn.tripadvisor.com/media/photo-s/1c/c7/97/b6/photo6jpg.jpg</v>
      </c>
    </row>
    <row r="1015" spans="1:13" x14ac:dyDescent="0.3">
      <c r="A1015" t="s">
        <v>1045</v>
      </c>
      <c r="B1015" s="1">
        <v>45397</v>
      </c>
      <c r="C1015" t="s">
        <v>20</v>
      </c>
      <c r="D1015" t="s">
        <v>21</v>
      </c>
      <c r="E1015">
        <v>50</v>
      </c>
      <c r="F1015" t="s">
        <v>15</v>
      </c>
      <c r="G1015">
        <v>988.85</v>
      </c>
      <c r="H1015">
        <v>26</v>
      </c>
      <c r="I1015" t="s">
        <v>22</v>
      </c>
      <c r="J1015">
        <v>4.5</v>
      </c>
      <c r="K1015" t="s">
        <v>17</v>
      </c>
      <c r="L1015" t="s">
        <v>18</v>
      </c>
      <c r="M1015" t="str">
        <f>VLOOKUP(D1019,Restaurant_Master!A:B,2,FALSE)</f>
        <v>https://www.chatswoodinterchange.com/storages/2018/08/Sushi-World_666x448.jpg</v>
      </c>
    </row>
    <row r="1016" spans="1:13" x14ac:dyDescent="0.3">
      <c r="A1016" t="s">
        <v>1046</v>
      </c>
      <c r="B1016" s="1">
        <v>45496</v>
      </c>
      <c r="C1016" t="s">
        <v>20</v>
      </c>
      <c r="D1016" t="s">
        <v>32</v>
      </c>
      <c r="E1016">
        <v>45</v>
      </c>
      <c r="F1016" t="s">
        <v>28</v>
      </c>
      <c r="G1016">
        <v>566.28</v>
      </c>
      <c r="H1016">
        <v>20</v>
      </c>
      <c r="I1016" t="s">
        <v>22</v>
      </c>
      <c r="J1016">
        <v>4.0999999999999996</v>
      </c>
      <c r="K1016" t="s">
        <v>26</v>
      </c>
      <c r="L1016" t="s">
        <v>18</v>
      </c>
      <c r="M1016" t="str">
        <f>VLOOKUP(D1020,Restaurant_Master!A:B,2,FALSE)</f>
        <v>https://dynamic-media-cdn.tripadvisor.com/media/photo-o/1c/e7/04/0d/front-of-the-local-easily.jpg</v>
      </c>
    </row>
    <row r="1017" spans="1:13" x14ac:dyDescent="0.3">
      <c r="A1017" t="s">
        <v>1047</v>
      </c>
      <c r="B1017" s="1">
        <v>45328</v>
      </c>
      <c r="C1017" t="s">
        <v>36</v>
      </c>
      <c r="D1017" t="s">
        <v>25</v>
      </c>
      <c r="E1017">
        <v>51</v>
      </c>
      <c r="F1017" t="s">
        <v>28</v>
      </c>
      <c r="G1017">
        <v>1009.29</v>
      </c>
      <c r="H1017">
        <v>39</v>
      </c>
      <c r="I1017" t="s">
        <v>22</v>
      </c>
      <c r="J1017">
        <v>3.4</v>
      </c>
      <c r="K1017" t="s">
        <v>26</v>
      </c>
      <c r="L1017" t="s">
        <v>18</v>
      </c>
      <c r="M1017" t="str">
        <f>VLOOKUP(D1021,Restaurant_Master!A:B,2,FALSE)</f>
        <v>https://www.chatswoodinterchange.com/storages/2018/08/Sushi-World_666x448.jpg</v>
      </c>
    </row>
    <row r="1018" spans="1:13" x14ac:dyDescent="0.3">
      <c r="A1018" t="s">
        <v>1048</v>
      </c>
      <c r="B1018" s="1">
        <v>45387</v>
      </c>
      <c r="C1018" t="s">
        <v>36</v>
      </c>
      <c r="D1018" t="s">
        <v>25</v>
      </c>
      <c r="E1018">
        <v>60</v>
      </c>
      <c r="F1018" t="s">
        <v>28</v>
      </c>
      <c r="G1018">
        <v>485.75</v>
      </c>
      <c r="H1018">
        <v>30</v>
      </c>
      <c r="I1018" t="s">
        <v>22</v>
      </c>
      <c r="J1018">
        <v>3.7</v>
      </c>
      <c r="K1018" t="s">
        <v>17</v>
      </c>
      <c r="L1018" t="s">
        <v>18</v>
      </c>
      <c r="M1018" t="str">
        <f>VLOOKUP(D1022,Restaurant_Master!A:B,2,FALSE)</f>
        <v>https://www.chatswoodinterchange.com/storages/2018/08/Sushi-World_666x448.jpg</v>
      </c>
    </row>
    <row r="1019" spans="1:13" x14ac:dyDescent="0.3">
      <c r="A1019" t="s">
        <v>1049</v>
      </c>
      <c r="B1019" s="1">
        <v>45459</v>
      </c>
      <c r="C1019" t="s">
        <v>43</v>
      </c>
      <c r="D1019" t="s">
        <v>38</v>
      </c>
      <c r="E1019">
        <v>42</v>
      </c>
      <c r="F1019" t="s">
        <v>28</v>
      </c>
      <c r="G1019">
        <v>593.11</v>
      </c>
      <c r="H1019">
        <v>41</v>
      </c>
      <c r="I1019" t="s">
        <v>16</v>
      </c>
      <c r="J1019">
        <v>3.1</v>
      </c>
      <c r="K1019" t="s">
        <v>17</v>
      </c>
      <c r="L1019" t="s">
        <v>23</v>
      </c>
      <c r="M1019" t="str">
        <f>VLOOKUP(D1023,Restaurant_Master!A:B,2,FALSE)</f>
        <v>https://www.chatswoodinterchange.com/storages/2018/08/Sushi-World_666x448.jpg</v>
      </c>
    </row>
    <row r="1020" spans="1:13" x14ac:dyDescent="0.3">
      <c r="A1020" t="s">
        <v>1050</v>
      </c>
      <c r="B1020" s="1">
        <v>45529</v>
      </c>
      <c r="C1020" t="s">
        <v>34</v>
      </c>
      <c r="D1020" t="s">
        <v>21</v>
      </c>
      <c r="E1020">
        <v>22</v>
      </c>
      <c r="F1020" t="s">
        <v>15</v>
      </c>
      <c r="G1020">
        <v>320.24</v>
      </c>
      <c r="H1020">
        <v>57</v>
      </c>
      <c r="I1020" t="s">
        <v>16</v>
      </c>
      <c r="J1020">
        <v>4.2</v>
      </c>
      <c r="K1020" t="s">
        <v>29</v>
      </c>
      <c r="L1020" t="s">
        <v>23</v>
      </c>
      <c r="M1020" t="str">
        <f>VLOOKUP(D1024,Restaurant_Master!A:B,2,FALSE)</f>
        <v>https://media-cdn.tripadvisor.com/media/photo-s/1c/c7/97/b6/photo6jpg.jpg</v>
      </c>
    </row>
    <row r="1021" spans="1:13" x14ac:dyDescent="0.3">
      <c r="A1021" t="s">
        <v>1051</v>
      </c>
      <c r="B1021" s="1">
        <v>45619</v>
      </c>
      <c r="C1021" t="s">
        <v>43</v>
      </c>
      <c r="D1021" t="s">
        <v>38</v>
      </c>
      <c r="E1021">
        <v>49</v>
      </c>
      <c r="F1021" t="s">
        <v>15</v>
      </c>
      <c r="G1021">
        <v>1185.51</v>
      </c>
      <c r="H1021">
        <v>39</v>
      </c>
      <c r="I1021" t="s">
        <v>22</v>
      </c>
      <c r="J1021">
        <v>3.6</v>
      </c>
      <c r="K1021" t="s">
        <v>26</v>
      </c>
      <c r="L1021" t="s">
        <v>18</v>
      </c>
      <c r="M1021" t="str">
        <f>VLOOKUP(D1025,Restaurant_Master!A:B,2,FALSE)</f>
        <v>https://media-cdn.tripadvisor.com/media/photo-s/1c/c7/97/b6/photo6jpg.jpg</v>
      </c>
    </row>
    <row r="1022" spans="1:13" x14ac:dyDescent="0.3">
      <c r="A1022" t="s">
        <v>1052</v>
      </c>
      <c r="B1022" s="1">
        <v>45532</v>
      </c>
      <c r="C1022" t="s">
        <v>34</v>
      </c>
      <c r="D1022" t="s">
        <v>38</v>
      </c>
      <c r="E1022">
        <v>52</v>
      </c>
      <c r="F1022" t="s">
        <v>15</v>
      </c>
      <c r="G1022">
        <v>521.38</v>
      </c>
      <c r="H1022">
        <v>25</v>
      </c>
      <c r="I1022" t="s">
        <v>22</v>
      </c>
      <c r="J1022">
        <v>2.9</v>
      </c>
      <c r="K1022" t="s">
        <v>26</v>
      </c>
      <c r="L1022" t="s">
        <v>23</v>
      </c>
      <c r="M1022" t="str">
        <f>VLOOKUP(D1026,Restaurant_Master!A:B,2,FALSE)</f>
        <v>https://content.jdmagicbox.com/comp/deoria/g6/9999p5568.5568.200119143033.m4g6/catalogue/biryani-house-deoria-ho-deoria-mktc2xph0o.jpg</v>
      </c>
    </row>
    <row r="1023" spans="1:13" x14ac:dyDescent="0.3">
      <c r="A1023" t="s">
        <v>1053</v>
      </c>
      <c r="B1023" s="1">
        <v>45620</v>
      </c>
      <c r="C1023" t="s">
        <v>20</v>
      </c>
      <c r="D1023" t="s">
        <v>38</v>
      </c>
      <c r="E1023">
        <v>54</v>
      </c>
      <c r="F1023" t="s">
        <v>28</v>
      </c>
      <c r="G1023">
        <v>178.71</v>
      </c>
      <c r="H1023">
        <v>35</v>
      </c>
      <c r="I1023" t="s">
        <v>22</v>
      </c>
      <c r="J1023">
        <v>3.2</v>
      </c>
      <c r="K1023" t="s">
        <v>29</v>
      </c>
      <c r="L1023" t="s">
        <v>18</v>
      </c>
      <c r="M1023" t="str">
        <f>VLOOKUP(D1027,Restaurant_Master!A:B,2,FALSE)</f>
        <v>https://www.chatswoodinterchange.com/storages/2018/08/Sushi-World_666x448.jpg</v>
      </c>
    </row>
    <row r="1024" spans="1:13" x14ac:dyDescent="0.3">
      <c r="A1024" t="s">
        <v>1054</v>
      </c>
      <c r="B1024" s="1">
        <v>45484</v>
      </c>
      <c r="C1024" t="s">
        <v>43</v>
      </c>
      <c r="D1024" t="s">
        <v>25</v>
      </c>
      <c r="E1024">
        <v>46</v>
      </c>
      <c r="F1024" t="s">
        <v>15</v>
      </c>
      <c r="G1024">
        <v>597.36</v>
      </c>
      <c r="H1024">
        <v>51</v>
      </c>
      <c r="I1024" t="s">
        <v>16</v>
      </c>
      <c r="J1024">
        <v>3.8</v>
      </c>
      <c r="K1024" t="s">
        <v>41</v>
      </c>
      <c r="L1024" t="s">
        <v>18</v>
      </c>
      <c r="M1024" t="str">
        <f>VLOOKUP(D1028,Restaurant_Master!A:B,2,FALSE)</f>
        <v>https://dynamic-media-cdn.tripadvisor.com/media/photo-o/1c/e7/04/0d/front-of-the-local-easily.jpg</v>
      </c>
    </row>
    <row r="1025" spans="1:13" x14ac:dyDescent="0.3">
      <c r="A1025" t="s">
        <v>1055</v>
      </c>
      <c r="B1025" s="1">
        <v>45505</v>
      </c>
      <c r="C1025" t="s">
        <v>34</v>
      </c>
      <c r="D1025" t="s">
        <v>25</v>
      </c>
      <c r="E1025">
        <v>36</v>
      </c>
      <c r="F1025" t="s">
        <v>15</v>
      </c>
      <c r="G1025">
        <v>412.04</v>
      </c>
      <c r="H1025">
        <v>43</v>
      </c>
      <c r="I1025" t="s">
        <v>16</v>
      </c>
      <c r="J1025">
        <v>4</v>
      </c>
      <c r="K1025" t="s">
        <v>17</v>
      </c>
      <c r="L1025" t="s">
        <v>18</v>
      </c>
      <c r="M1025" t="str">
        <f>VLOOKUP(D1029,Restaurant_Master!A:B,2,FALSE)</f>
        <v>https://dynamic-media-cdn.tripadvisor.com/media/photo-o/1c/e7/04/0d/front-of-the-local-easily.jpg</v>
      </c>
    </row>
    <row r="1026" spans="1:13" x14ac:dyDescent="0.3">
      <c r="A1026" t="s">
        <v>1056</v>
      </c>
      <c r="B1026" s="1">
        <v>45296</v>
      </c>
      <c r="C1026" t="s">
        <v>36</v>
      </c>
      <c r="D1026" t="s">
        <v>32</v>
      </c>
      <c r="E1026">
        <v>36</v>
      </c>
      <c r="F1026" t="s">
        <v>15</v>
      </c>
      <c r="G1026">
        <v>402.48</v>
      </c>
      <c r="H1026">
        <v>58</v>
      </c>
      <c r="I1026" t="s">
        <v>16</v>
      </c>
      <c r="J1026">
        <v>3.9</v>
      </c>
      <c r="K1026" t="s">
        <v>17</v>
      </c>
      <c r="L1026" t="s">
        <v>23</v>
      </c>
      <c r="M1026" t="str">
        <f>VLOOKUP(D1030,Restaurant_Master!A:B,2,FALSE)</f>
        <v>https://media-cdn.tripadvisor.com/media/photo-s/1c/c7/97/b6/photo6jpg.jpg</v>
      </c>
    </row>
    <row r="1027" spans="1:13" x14ac:dyDescent="0.3">
      <c r="A1027" t="s">
        <v>1057</v>
      </c>
      <c r="B1027" s="1">
        <v>45608</v>
      </c>
      <c r="C1027" t="s">
        <v>36</v>
      </c>
      <c r="D1027" t="s">
        <v>38</v>
      </c>
      <c r="E1027">
        <v>56</v>
      </c>
      <c r="F1027" t="s">
        <v>15</v>
      </c>
      <c r="G1027">
        <v>792.03</v>
      </c>
      <c r="H1027">
        <v>39</v>
      </c>
      <c r="I1027" t="s">
        <v>22</v>
      </c>
      <c r="J1027">
        <v>4.3</v>
      </c>
      <c r="K1027" t="s">
        <v>26</v>
      </c>
      <c r="L1027" t="s">
        <v>23</v>
      </c>
      <c r="M1027" t="str">
        <f>VLOOKUP(D1031,Restaurant_Master!A:B,2,FALSE)</f>
        <v>https://media-cdn.tripadvisor.com/media/photo-s/1c/c7/97/b6/photo6jpg.jpg</v>
      </c>
    </row>
    <row r="1028" spans="1:13" x14ac:dyDescent="0.3">
      <c r="A1028" t="s">
        <v>1058</v>
      </c>
      <c r="B1028" s="1">
        <v>45553</v>
      </c>
      <c r="C1028" t="s">
        <v>20</v>
      </c>
      <c r="D1028" t="s">
        <v>21</v>
      </c>
      <c r="E1028">
        <v>29</v>
      </c>
      <c r="F1028" t="s">
        <v>15</v>
      </c>
      <c r="G1028">
        <v>151.94</v>
      </c>
      <c r="H1028">
        <v>59</v>
      </c>
      <c r="I1028" t="s">
        <v>16</v>
      </c>
      <c r="J1028">
        <v>3</v>
      </c>
      <c r="K1028" t="s">
        <v>41</v>
      </c>
      <c r="L1028" t="s">
        <v>23</v>
      </c>
      <c r="M1028" t="str">
        <f>VLOOKUP(D1032,Restaurant_Master!A:B,2,FALSE)</f>
        <v>https://media-cdn.tripadvisor.com/media/photo-s/1c/c7/97/b6/photo6jpg.jpg</v>
      </c>
    </row>
    <row r="1029" spans="1:13" x14ac:dyDescent="0.3">
      <c r="A1029" t="s">
        <v>1059</v>
      </c>
      <c r="B1029" s="1">
        <v>45407</v>
      </c>
      <c r="C1029" t="s">
        <v>43</v>
      </c>
      <c r="D1029" t="s">
        <v>21</v>
      </c>
      <c r="E1029">
        <v>22</v>
      </c>
      <c r="F1029" t="s">
        <v>28</v>
      </c>
      <c r="G1029">
        <v>664.6</v>
      </c>
      <c r="H1029">
        <v>46</v>
      </c>
      <c r="I1029" t="s">
        <v>16</v>
      </c>
      <c r="J1029">
        <v>4.2</v>
      </c>
      <c r="K1029" t="s">
        <v>17</v>
      </c>
      <c r="L1029" t="s">
        <v>18</v>
      </c>
      <c r="M1029" t="str">
        <f>VLOOKUP(D1033,Restaurant_Master!A:B,2,FALSE)</f>
        <v>https://www.chatswoodinterchange.com/storages/2018/08/Sushi-World_666x448.jpg</v>
      </c>
    </row>
    <row r="1030" spans="1:13" x14ac:dyDescent="0.3">
      <c r="A1030" t="s">
        <v>1060</v>
      </c>
      <c r="B1030" s="1">
        <v>45644</v>
      </c>
      <c r="C1030" t="s">
        <v>20</v>
      </c>
      <c r="D1030" t="s">
        <v>25</v>
      </c>
      <c r="E1030">
        <v>25</v>
      </c>
      <c r="F1030" t="s">
        <v>28</v>
      </c>
      <c r="G1030">
        <v>212.8</v>
      </c>
      <c r="H1030">
        <v>31</v>
      </c>
      <c r="I1030" t="s">
        <v>22</v>
      </c>
      <c r="J1030">
        <v>3.1</v>
      </c>
      <c r="K1030" t="s">
        <v>41</v>
      </c>
      <c r="L1030" t="s">
        <v>18</v>
      </c>
      <c r="M1030" t="str">
        <f>VLOOKUP(D1034,Restaurant_Master!A:B,2,FALSE)</f>
        <v>https://media-cdn.tripadvisor.com/media/photo-s/1c/c7/97/b6/photo6jpg.jpg</v>
      </c>
    </row>
    <row r="1031" spans="1:13" x14ac:dyDescent="0.3">
      <c r="A1031" t="s">
        <v>1061</v>
      </c>
      <c r="B1031" s="1">
        <v>45417</v>
      </c>
      <c r="C1031" t="s">
        <v>20</v>
      </c>
      <c r="D1031" t="s">
        <v>25</v>
      </c>
      <c r="E1031">
        <v>32</v>
      </c>
      <c r="F1031" t="s">
        <v>28</v>
      </c>
      <c r="G1031">
        <v>183.97</v>
      </c>
      <c r="H1031">
        <v>33</v>
      </c>
      <c r="I1031" t="s">
        <v>22</v>
      </c>
      <c r="J1031">
        <v>4.4000000000000004</v>
      </c>
      <c r="K1031" t="s">
        <v>41</v>
      </c>
      <c r="L1031" t="s">
        <v>18</v>
      </c>
      <c r="M1031" t="str">
        <f>VLOOKUP(D1035,Restaurant_Master!A:B,2,FALSE)</f>
        <v>https://media-cdn.tripadvisor.com/media/photo-s/1c/c7/97/b6/photo6jpg.jpg</v>
      </c>
    </row>
    <row r="1032" spans="1:13" x14ac:dyDescent="0.3">
      <c r="A1032" t="s">
        <v>1062</v>
      </c>
      <c r="B1032" s="1">
        <v>45329</v>
      </c>
      <c r="C1032" t="s">
        <v>13</v>
      </c>
      <c r="D1032" t="s">
        <v>25</v>
      </c>
      <c r="E1032">
        <v>27</v>
      </c>
      <c r="F1032" t="s">
        <v>15</v>
      </c>
      <c r="G1032">
        <v>191.56</v>
      </c>
      <c r="H1032">
        <v>20</v>
      </c>
      <c r="I1032" t="s">
        <v>22</v>
      </c>
      <c r="J1032">
        <v>4.4000000000000004</v>
      </c>
      <c r="K1032" t="s">
        <v>26</v>
      </c>
      <c r="L1032" t="s">
        <v>18</v>
      </c>
      <c r="M1032" t="str">
        <f>VLOOKUP(D1036,Restaurant_Master!A:B,2,FALSE)</f>
        <v>https://dineout-media-assets.swiggy.com/swiggy/image/upload/fl_lossy,f_auto,q_auto/v1660793737/fdqxvxcxg1wtdwvyv45v.jpg</v>
      </c>
    </row>
    <row r="1033" spans="1:13" x14ac:dyDescent="0.3">
      <c r="A1033" t="s">
        <v>1063</v>
      </c>
      <c r="B1033" s="1">
        <v>45533</v>
      </c>
      <c r="C1033" t="s">
        <v>34</v>
      </c>
      <c r="D1033" t="s">
        <v>38</v>
      </c>
      <c r="E1033">
        <v>33</v>
      </c>
      <c r="F1033" t="s">
        <v>28</v>
      </c>
      <c r="G1033">
        <v>987.49</v>
      </c>
      <c r="H1033">
        <v>40</v>
      </c>
      <c r="I1033" t="s">
        <v>22</v>
      </c>
      <c r="J1033">
        <v>4.9000000000000004</v>
      </c>
      <c r="K1033" t="s">
        <v>17</v>
      </c>
      <c r="L1033" t="s">
        <v>18</v>
      </c>
      <c r="M1033" t="str">
        <f>VLOOKUP(D1037,Restaurant_Master!A:B,2,FALSE)</f>
        <v>https://media-cdn.tripadvisor.com/media/photo-s/1c/c7/97/b6/photo6jpg.jpg</v>
      </c>
    </row>
    <row r="1034" spans="1:13" x14ac:dyDescent="0.3">
      <c r="A1034" t="s">
        <v>1064</v>
      </c>
      <c r="B1034" s="1">
        <v>45512</v>
      </c>
      <c r="C1034" t="s">
        <v>20</v>
      </c>
      <c r="D1034" t="s">
        <v>25</v>
      </c>
      <c r="E1034">
        <v>42</v>
      </c>
      <c r="F1034" t="s">
        <v>15</v>
      </c>
      <c r="G1034">
        <v>664.05</v>
      </c>
      <c r="H1034">
        <v>47</v>
      </c>
      <c r="I1034" t="s">
        <v>16</v>
      </c>
      <c r="J1034">
        <v>4.9000000000000004</v>
      </c>
      <c r="K1034" t="s">
        <v>41</v>
      </c>
      <c r="L1034" t="s">
        <v>23</v>
      </c>
      <c r="M1034" t="str">
        <f>VLOOKUP(D1038,Restaurant_Master!A:B,2,FALSE)</f>
        <v>https://media-cdn.tripadvisor.com/media/photo-s/1c/c7/97/b6/photo6jpg.jpg</v>
      </c>
    </row>
    <row r="1035" spans="1:13" x14ac:dyDescent="0.3">
      <c r="A1035" t="s">
        <v>1065</v>
      </c>
      <c r="B1035" s="1">
        <v>45337</v>
      </c>
      <c r="C1035" t="s">
        <v>43</v>
      </c>
      <c r="D1035" t="s">
        <v>25</v>
      </c>
      <c r="E1035">
        <v>45</v>
      </c>
      <c r="F1035" t="s">
        <v>15</v>
      </c>
      <c r="G1035">
        <v>804.36</v>
      </c>
      <c r="H1035">
        <v>59</v>
      </c>
      <c r="I1035" t="s">
        <v>16</v>
      </c>
      <c r="J1035">
        <v>3.2</v>
      </c>
      <c r="K1035" t="s">
        <v>17</v>
      </c>
      <c r="L1035" t="s">
        <v>18</v>
      </c>
      <c r="M1035" t="str">
        <f>VLOOKUP(D1039,Restaurant_Master!A:B,2,FALSE)</f>
        <v>https://dineout-media-assets.swiggy.com/swiggy/image/upload/fl_lossy,f_auto,q_auto/v1660793737/fdqxvxcxg1wtdwvyv45v.jpg</v>
      </c>
    </row>
    <row r="1036" spans="1:13" x14ac:dyDescent="0.3">
      <c r="A1036" t="s">
        <v>1066</v>
      </c>
      <c r="B1036" s="1">
        <v>45567</v>
      </c>
      <c r="C1036" t="s">
        <v>43</v>
      </c>
      <c r="D1036" t="s">
        <v>14</v>
      </c>
      <c r="E1036">
        <v>24</v>
      </c>
      <c r="F1036" t="s">
        <v>28</v>
      </c>
      <c r="G1036">
        <v>633.27</v>
      </c>
      <c r="H1036">
        <v>60</v>
      </c>
      <c r="I1036" t="s">
        <v>16</v>
      </c>
      <c r="J1036">
        <v>3.7</v>
      </c>
      <c r="K1036" t="s">
        <v>17</v>
      </c>
      <c r="L1036" t="s">
        <v>18</v>
      </c>
      <c r="M1036" t="str">
        <f>VLOOKUP(D1040,Restaurant_Master!A:B,2,FALSE)</f>
        <v>https://dineout-media-assets.swiggy.com/swiggy/image/upload/fl_lossy,f_auto,q_auto/v1660793737/fdqxvxcxg1wtdwvyv45v.jpg</v>
      </c>
    </row>
    <row r="1037" spans="1:13" x14ac:dyDescent="0.3">
      <c r="A1037" t="s">
        <v>1067</v>
      </c>
      <c r="B1037" s="1">
        <v>45597</v>
      </c>
      <c r="C1037" t="s">
        <v>36</v>
      </c>
      <c r="D1037" t="s">
        <v>25</v>
      </c>
      <c r="E1037">
        <v>21</v>
      </c>
      <c r="F1037" t="s">
        <v>28</v>
      </c>
      <c r="G1037">
        <v>1196.7</v>
      </c>
      <c r="H1037">
        <v>55</v>
      </c>
      <c r="I1037" t="s">
        <v>16</v>
      </c>
      <c r="J1037">
        <v>2.8</v>
      </c>
      <c r="K1037" t="s">
        <v>17</v>
      </c>
      <c r="L1037" t="s">
        <v>18</v>
      </c>
      <c r="M1037" t="str">
        <f>VLOOKUP(D1041,Restaurant_Master!A:B,2,FALSE)</f>
        <v>https://content.jdmagicbox.com/comp/deoria/g6/9999p5568.5568.200119143033.m4g6/catalogue/biryani-house-deoria-ho-deoria-mktc2xph0o.jpg</v>
      </c>
    </row>
    <row r="1038" spans="1:13" x14ac:dyDescent="0.3">
      <c r="A1038" t="s">
        <v>1068</v>
      </c>
      <c r="B1038" s="1">
        <v>45373</v>
      </c>
      <c r="C1038" t="s">
        <v>36</v>
      </c>
      <c r="D1038" t="s">
        <v>25</v>
      </c>
      <c r="E1038">
        <v>49</v>
      </c>
      <c r="F1038" t="s">
        <v>15</v>
      </c>
      <c r="G1038">
        <v>279.33</v>
      </c>
      <c r="H1038">
        <v>32</v>
      </c>
      <c r="I1038" t="s">
        <v>22</v>
      </c>
      <c r="J1038">
        <v>3.4</v>
      </c>
      <c r="K1038" t="s">
        <v>29</v>
      </c>
      <c r="L1038" t="s">
        <v>23</v>
      </c>
      <c r="M1038" t="str">
        <f>VLOOKUP(D1042,Restaurant_Master!A:B,2,FALSE)</f>
        <v>https://www.chatswoodinterchange.com/storages/2018/08/Sushi-World_666x448.jpg</v>
      </c>
    </row>
    <row r="1039" spans="1:13" x14ac:dyDescent="0.3">
      <c r="A1039" t="s">
        <v>1069</v>
      </c>
      <c r="B1039" s="1">
        <v>45537</v>
      </c>
      <c r="C1039" t="s">
        <v>36</v>
      </c>
      <c r="D1039" t="s">
        <v>14</v>
      </c>
      <c r="E1039">
        <v>26</v>
      </c>
      <c r="F1039" t="s">
        <v>15</v>
      </c>
      <c r="G1039">
        <v>756.07</v>
      </c>
      <c r="H1039">
        <v>39</v>
      </c>
      <c r="I1039" t="s">
        <v>22</v>
      </c>
      <c r="J1039">
        <v>4.2</v>
      </c>
      <c r="K1039" t="s">
        <v>26</v>
      </c>
      <c r="L1039" t="s">
        <v>23</v>
      </c>
      <c r="M1039" t="str">
        <f>VLOOKUP(D1043,Restaurant_Master!A:B,2,FALSE)</f>
        <v>https://media-cdn.tripadvisor.com/media/photo-s/1c/c7/97/b6/photo6jpg.jpg</v>
      </c>
    </row>
    <row r="1040" spans="1:13" x14ac:dyDescent="0.3">
      <c r="A1040" t="s">
        <v>1070</v>
      </c>
      <c r="B1040" s="1">
        <v>45452</v>
      </c>
      <c r="C1040" t="s">
        <v>43</v>
      </c>
      <c r="D1040" t="s">
        <v>14</v>
      </c>
      <c r="E1040">
        <v>59</v>
      </c>
      <c r="F1040" t="s">
        <v>15</v>
      </c>
      <c r="G1040">
        <v>355.4</v>
      </c>
      <c r="H1040">
        <v>57</v>
      </c>
      <c r="I1040" t="s">
        <v>16</v>
      </c>
      <c r="J1040">
        <v>3.4</v>
      </c>
      <c r="K1040" t="s">
        <v>41</v>
      </c>
      <c r="L1040" t="s">
        <v>18</v>
      </c>
      <c r="M1040" t="str">
        <f>VLOOKUP(D1044,Restaurant_Master!A:B,2,FALSE)</f>
        <v>https://dineout-media-assets.swiggy.com/swiggy/image/upload/fl_lossy,f_auto,q_auto/v1660793737/fdqxvxcxg1wtdwvyv45v.jpg</v>
      </c>
    </row>
    <row r="1041" spans="1:13" x14ac:dyDescent="0.3">
      <c r="A1041" t="s">
        <v>1071</v>
      </c>
      <c r="B1041" s="1">
        <v>45474</v>
      </c>
      <c r="C1041" t="s">
        <v>36</v>
      </c>
      <c r="D1041" t="s">
        <v>32</v>
      </c>
      <c r="E1041">
        <v>50</v>
      </c>
      <c r="F1041" t="s">
        <v>15</v>
      </c>
      <c r="G1041">
        <v>350.79</v>
      </c>
      <c r="H1041">
        <v>57</v>
      </c>
      <c r="I1041" t="s">
        <v>16</v>
      </c>
      <c r="J1041">
        <v>4.2</v>
      </c>
      <c r="K1041" t="s">
        <v>29</v>
      </c>
      <c r="L1041" t="s">
        <v>23</v>
      </c>
      <c r="M1041" t="str">
        <f>VLOOKUP(D1045,Restaurant_Master!A:B,2,FALSE)</f>
        <v>https://dineout-media-assets.swiggy.com/swiggy/image/upload/fl_lossy,f_auto,q_auto/v1660793737/fdqxvxcxg1wtdwvyv45v.jpg</v>
      </c>
    </row>
    <row r="1042" spans="1:13" x14ac:dyDescent="0.3">
      <c r="A1042" t="s">
        <v>1072</v>
      </c>
      <c r="B1042" s="1">
        <v>45388</v>
      </c>
      <c r="C1042" t="s">
        <v>36</v>
      </c>
      <c r="D1042" t="s">
        <v>38</v>
      </c>
      <c r="E1042">
        <v>26</v>
      </c>
      <c r="F1042" t="s">
        <v>15</v>
      </c>
      <c r="G1042">
        <v>886.66</v>
      </c>
      <c r="H1042">
        <v>28</v>
      </c>
      <c r="I1042" t="s">
        <v>22</v>
      </c>
      <c r="J1042">
        <v>3.9</v>
      </c>
      <c r="K1042" t="s">
        <v>29</v>
      </c>
      <c r="L1042" t="s">
        <v>23</v>
      </c>
      <c r="M1042" t="str">
        <f>VLOOKUP(D1046,Restaurant_Master!A:B,2,FALSE)</f>
        <v>https://content.jdmagicbox.com/comp/deoria/g6/9999p5568.5568.200119143033.m4g6/catalogue/biryani-house-deoria-ho-deoria-mktc2xph0o.jpg</v>
      </c>
    </row>
    <row r="1043" spans="1:13" x14ac:dyDescent="0.3">
      <c r="A1043" t="s">
        <v>1073</v>
      </c>
      <c r="B1043" s="1">
        <v>45424</v>
      </c>
      <c r="C1043" t="s">
        <v>13</v>
      </c>
      <c r="D1043" t="s">
        <v>25</v>
      </c>
      <c r="E1043">
        <v>51</v>
      </c>
      <c r="F1043" t="s">
        <v>15</v>
      </c>
      <c r="G1043">
        <v>718.16</v>
      </c>
      <c r="H1043">
        <v>29</v>
      </c>
      <c r="I1043" t="s">
        <v>22</v>
      </c>
      <c r="J1043">
        <v>4.2</v>
      </c>
      <c r="K1043" t="s">
        <v>17</v>
      </c>
      <c r="L1043" t="s">
        <v>18</v>
      </c>
      <c r="M1043" t="str">
        <f>VLOOKUP(D1047,Restaurant_Master!A:B,2,FALSE)</f>
        <v>https://media-cdn.tripadvisor.com/media/photo-s/1c/c7/97/b6/photo6jpg.jpg</v>
      </c>
    </row>
    <row r="1044" spans="1:13" x14ac:dyDescent="0.3">
      <c r="A1044" t="s">
        <v>1074</v>
      </c>
      <c r="B1044" s="1">
        <v>45294</v>
      </c>
      <c r="C1044" t="s">
        <v>43</v>
      </c>
      <c r="D1044" t="s">
        <v>14</v>
      </c>
      <c r="E1044">
        <v>30</v>
      </c>
      <c r="F1044" t="s">
        <v>28</v>
      </c>
      <c r="G1044">
        <v>218.96</v>
      </c>
      <c r="H1044">
        <v>20</v>
      </c>
      <c r="I1044" t="s">
        <v>22</v>
      </c>
      <c r="J1044">
        <v>4.5999999999999996</v>
      </c>
      <c r="K1044" t="s">
        <v>29</v>
      </c>
      <c r="L1044" t="s">
        <v>18</v>
      </c>
      <c r="M1044" t="str">
        <f>VLOOKUP(D1048,Restaurant_Master!A:B,2,FALSE)</f>
        <v>https://dynamic-media-cdn.tripadvisor.com/media/photo-o/1c/e7/04/0d/front-of-the-local-easily.jpg</v>
      </c>
    </row>
    <row r="1045" spans="1:13" x14ac:dyDescent="0.3">
      <c r="A1045" t="s">
        <v>1075</v>
      </c>
      <c r="B1045" s="1">
        <v>45452</v>
      </c>
      <c r="C1045" t="s">
        <v>36</v>
      </c>
      <c r="D1045" t="s">
        <v>14</v>
      </c>
      <c r="E1045">
        <v>19</v>
      </c>
      <c r="F1045" t="s">
        <v>28</v>
      </c>
      <c r="G1045">
        <v>370.45</v>
      </c>
      <c r="H1045">
        <v>36</v>
      </c>
      <c r="I1045" t="s">
        <v>22</v>
      </c>
      <c r="J1045">
        <v>4.2</v>
      </c>
      <c r="K1045" t="s">
        <v>29</v>
      </c>
      <c r="L1045" t="s">
        <v>18</v>
      </c>
      <c r="M1045" t="str">
        <f>VLOOKUP(D1049,Restaurant_Master!A:B,2,FALSE)</f>
        <v>https://dynamic-media-cdn.tripadvisor.com/media/photo-o/1c/e7/04/0d/front-of-the-local-easily.jpg</v>
      </c>
    </row>
    <row r="1046" spans="1:13" x14ac:dyDescent="0.3">
      <c r="A1046" t="s">
        <v>1076</v>
      </c>
      <c r="B1046" s="1">
        <v>45647</v>
      </c>
      <c r="C1046" t="s">
        <v>13</v>
      </c>
      <c r="D1046" t="s">
        <v>32</v>
      </c>
      <c r="E1046">
        <v>37</v>
      </c>
      <c r="F1046" t="s">
        <v>28</v>
      </c>
      <c r="G1046">
        <v>653.72</v>
      </c>
      <c r="H1046">
        <v>23</v>
      </c>
      <c r="I1046" t="s">
        <v>22</v>
      </c>
      <c r="J1046">
        <v>3</v>
      </c>
      <c r="K1046" t="s">
        <v>41</v>
      </c>
      <c r="L1046" t="s">
        <v>23</v>
      </c>
      <c r="M1046" t="str">
        <f>VLOOKUP(D1050,Restaurant_Master!A:B,2,FALSE)</f>
        <v>https://dynamic-media-cdn.tripadvisor.com/media/photo-o/1c/e7/04/0d/front-of-the-local-easily.jpg</v>
      </c>
    </row>
    <row r="1047" spans="1:13" x14ac:dyDescent="0.3">
      <c r="A1047" t="s">
        <v>1077</v>
      </c>
      <c r="B1047" s="1">
        <v>45505</v>
      </c>
      <c r="C1047" t="s">
        <v>36</v>
      </c>
      <c r="D1047" t="s">
        <v>25</v>
      </c>
      <c r="E1047">
        <v>24</v>
      </c>
      <c r="F1047" t="s">
        <v>15</v>
      </c>
      <c r="G1047">
        <v>503.25</v>
      </c>
      <c r="H1047">
        <v>57</v>
      </c>
      <c r="I1047" t="s">
        <v>16</v>
      </c>
      <c r="J1047">
        <v>4.3</v>
      </c>
      <c r="K1047" t="s">
        <v>41</v>
      </c>
      <c r="L1047" t="s">
        <v>18</v>
      </c>
      <c r="M1047" t="str">
        <f>VLOOKUP(D1051,Restaurant_Master!A:B,2,FALSE)</f>
        <v>https://dynamic-media-cdn.tripadvisor.com/media/photo-o/1c/e7/04/0d/front-of-the-local-easily.jpg</v>
      </c>
    </row>
    <row r="1048" spans="1:13" x14ac:dyDescent="0.3">
      <c r="A1048" t="s">
        <v>1078</v>
      </c>
      <c r="B1048" s="1">
        <v>45501</v>
      </c>
      <c r="C1048" t="s">
        <v>13</v>
      </c>
      <c r="D1048" t="s">
        <v>21</v>
      </c>
      <c r="E1048">
        <v>46</v>
      </c>
      <c r="F1048" t="s">
        <v>28</v>
      </c>
      <c r="G1048">
        <v>1062.54</v>
      </c>
      <c r="H1048">
        <v>21</v>
      </c>
      <c r="I1048" t="s">
        <v>22</v>
      </c>
      <c r="J1048">
        <v>4.5999999999999996</v>
      </c>
      <c r="K1048" t="s">
        <v>26</v>
      </c>
      <c r="L1048" t="s">
        <v>18</v>
      </c>
      <c r="M1048" t="str">
        <f>VLOOKUP(D1052,Restaurant_Master!A:B,2,FALSE)</f>
        <v>https://www.chatswoodinterchange.com/storages/2018/08/Sushi-World_666x448.jpg</v>
      </c>
    </row>
    <row r="1049" spans="1:13" x14ac:dyDescent="0.3">
      <c r="A1049" t="s">
        <v>1079</v>
      </c>
      <c r="B1049" s="1">
        <v>45511</v>
      </c>
      <c r="C1049" t="s">
        <v>13</v>
      </c>
      <c r="D1049" t="s">
        <v>21</v>
      </c>
      <c r="E1049">
        <v>33</v>
      </c>
      <c r="F1049" t="s">
        <v>28</v>
      </c>
      <c r="G1049">
        <v>497.66</v>
      </c>
      <c r="H1049">
        <v>43</v>
      </c>
      <c r="I1049" t="s">
        <v>16</v>
      </c>
      <c r="J1049">
        <v>3.9</v>
      </c>
      <c r="K1049" t="s">
        <v>17</v>
      </c>
      <c r="L1049" t="s">
        <v>18</v>
      </c>
      <c r="M1049" t="str">
        <f>VLOOKUP(D1053,Restaurant_Master!A:B,2,FALSE)</f>
        <v>https://content.jdmagicbox.com/comp/deoria/g6/9999p5568.5568.200119143033.m4g6/catalogue/biryani-house-deoria-ho-deoria-mktc2xph0o.jpg</v>
      </c>
    </row>
    <row r="1050" spans="1:13" x14ac:dyDescent="0.3">
      <c r="A1050" t="s">
        <v>1080</v>
      </c>
      <c r="B1050" s="1">
        <v>45459</v>
      </c>
      <c r="C1050" t="s">
        <v>43</v>
      </c>
      <c r="D1050" t="s">
        <v>21</v>
      </c>
      <c r="E1050">
        <v>58</v>
      </c>
      <c r="F1050" t="s">
        <v>15</v>
      </c>
      <c r="G1050">
        <v>206.85</v>
      </c>
      <c r="H1050">
        <v>35</v>
      </c>
      <c r="I1050" t="s">
        <v>22</v>
      </c>
      <c r="J1050">
        <v>4.5999999999999996</v>
      </c>
      <c r="K1050" t="s">
        <v>26</v>
      </c>
      <c r="L1050" t="s">
        <v>23</v>
      </c>
      <c r="M1050" t="str">
        <f>VLOOKUP(D1054,Restaurant_Master!A:B,2,FALSE)</f>
        <v>https://dineout-media-assets.swiggy.com/swiggy/image/upload/fl_lossy,f_auto,q_auto/v1660793737/fdqxvxcxg1wtdwvyv45v.jpg</v>
      </c>
    </row>
    <row r="1051" spans="1:13" x14ac:dyDescent="0.3">
      <c r="A1051" t="s">
        <v>1081</v>
      </c>
      <c r="B1051" s="1">
        <v>45293</v>
      </c>
      <c r="C1051" t="s">
        <v>43</v>
      </c>
      <c r="D1051" t="s">
        <v>21</v>
      </c>
      <c r="E1051">
        <v>40</v>
      </c>
      <c r="F1051" t="s">
        <v>28</v>
      </c>
      <c r="G1051">
        <v>714.97</v>
      </c>
      <c r="H1051">
        <v>29</v>
      </c>
      <c r="I1051" t="s">
        <v>22</v>
      </c>
      <c r="J1051">
        <v>4.2</v>
      </c>
      <c r="K1051" t="s">
        <v>29</v>
      </c>
      <c r="L1051" t="s">
        <v>18</v>
      </c>
      <c r="M1051" t="str">
        <f>VLOOKUP(D1055,Restaurant_Master!A:B,2,FALSE)</f>
        <v>https://dynamic-media-cdn.tripadvisor.com/media/photo-o/1c/e7/04/0d/front-of-the-local-easily.jpg</v>
      </c>
    </row>
    <row r="1052" spans="1:13" x14ac:dyDescent="0.3">
      <c r="A1052" t="s">
        <v>1082</v>
      </c>
      <c r="B1052" s="1">
        <v>45440</v>
      </c>
      <c r="C1052" t="s">
        <v>34</v>
      </c>
      <c r="D1052" t="s">
        <v>38</v>
      </c>
      <c r="E1052">
        <v>40</v>
      </c>
      <c r="F1052" t="s">
        <v>28</v>
      </c>
      <c r="G1052">
        <v>612.82000000000005</v>
      </c>
      <c r="H1052">
        <v>23</v>
      </c>
      <c r="I1052" t="s">
        <v>22</v>
      </c>
      <c r="J1052">
        <v>2.6</v>
      </c>
      <c r="K1052" t="s">
        <v>26</v>
      </c>
      <c r="L1052" t="s">
        <v>18</v>
      </c>
      <c r="M1052" t="str">
        <f>VLOOKUP(D1056,Restaurant_Master!A:B,2,FALSE)</f>
        <v>https://www.chatswoodinterchange.com/storages/2018/08/Sushi-World_666x448.jpg</v>
      </c>
    </row>
    <row r="1053" spans="1:13" x14ac:dyDescent="0.3">
      <c r="A1053" t="s">
        <v>1083</v>
      </c>
      <c r="B1053" s="1">
        <v>45294</v>
      </c>
      <c r="C1053" t="s">
        <v>43</v>
      </c>
      <c r="D1053" t="s">
        <v>32</v>
      </c>
      <c r="E1053">
        <v>19</v>
      </c>
      <c r="F1053" t="s">
        <v>15</v>
      </c>
      <c r="G1053">
        <v>911.1</v>
      </c>
      <c r="H1053">
        <v>59</v>
      </c>
      <c r="I1053" t="s">
        <v>16</v>
      </c>
      <c r="J1053">
        <v>4.3</v>
      </c>
      <c r="K1053" t="s">
        <v>29</v>
      </c>
      <c r="L1053" t="s">
        <v>18</v>
      </c>
      <c r="M1053" t="str">
        <f>VLOOKUP(D1057,Restaurant_Master!A:B,2,FALSE)</f>
        <v>https://media-cdn.tripadvisor.com/media/photo-s/1c/c7/97/b6/photo6jpg.jpg</v>
      </c>
    </row>
    <row r="1054" spans="1:13" x14ac:dyDescent="0.3">
      <c r="A1054" t="s">
        <v>1084</v>
      </c>
      <c r="B1054" s="1">
        <v>45535</v>
      </c>
      <c r="C1054" t="s">
        <v>34</v>
      </c>
      <c r="D1054" t="s">
        <v>14</v>
      </c>
      <c r="E1054">
        <v>19</v>
      </c>
      <c r="F1054" t="s">
        <v>28</v>
      </c>
      <c r="G1054">
        <v>788.19</v>
      </c>
      <c r="H1054">
        <v>21</v>
      </c>
      <c r="I1054" t="s">
        <v>22</v>
      </c>
      <c r="J1054">
        <v>3.5</v>
      </c>
      <c r="K1054" t="s">
        <v>29</v>
      </c>
      <c r="L1054" t="s">
        <v>18</v>
      </c>
      <c r="M1054" t="str">
        <f>VLOOKUP(D1058,Restaurant_Master!A:B,2,FALSE)</f>
        <v>https://content.jdmagicbox.com/comp/deoria/g6/9999p5568.5568.200119143033.m4g6/catalogue/biryani-house-deoria-ho-deoria-mktc2xph0o.jpg</v>
      </c>
    </row>
    <row r="1055" spans="1:13" x14ac:dyDescent="0.3">
      <c r="A1055" t="s">
        <v>1085</v>
      </c>
      <c r="B1055" s="1">
        <v>45567</v>
      </c>
      <c r="C1055" t="s">
        <v>20</v>
      </c>
      <c r="D1055" t="s">
        <v>21</v>
      </c>
      <c r="E1055">
        <v>26</v>
      </c>
      <c r="F1055" t="s">
        <v>28</v>
      </c>
      <c r="G1055">
        <v>189.19</v>
      </c>
      <c r="H1055">
        <v>47</v>
      </c>
      <c r="I1055" t="s">
        <v>16</v>
      </c>
      <c r="J1055">
        <v>4.7</v>
      </c>
      <c r="K1055" t="s">
        <v>29</v>
      </c>
      <c r="L1055" t="s">
        <v>18</v>
      </c>
      <c r="M1055" t="str">
        <f>VLOOKUP(D1059,Restaurant_Master!A:B,2,FALSE)</f>
        <v>https://content.jdmagicbox.com/comp/deoria/g6/9999p5568.5568.200119143033.m4g6/catalogue/biryani-house-deoria-ho-deoria-mktc2xph0o.jpg</v>
      </c>
    </row>
    <row r="1056" spans="1:13" x14ac:dyDescent="0.3">
      <c r="A1056" t="s">
        <v>1086</v>
      </c>
      <c r="B1056" s="1">
        <v>45331</v>
      </c>
      <c r="C1056" t="s">
        <v>36</v>
      </c>
      <c r="D1056" t="s">
        <v>38</v>
      </c>
      <c r="E1056">
        <v>24</v>
      </c>
      <c r="F1056" t="s">
        <v>15</v>
      </c>
      <c r="G1056">
        <v>922.5</v>
      </c>
      <c r="H1056">
        <v>58</v>
      </c>
      <c r="I1056" t="s">
        <v>16</v>
      </c>
      <c r="J1056">
        <v>4.8</v>
      </c>
      <c r="K1056" t="s">
        <v>17</v>
      </c>
      <c r="L1056" t="s">
        <v>18</v>
      </c>
      <c r="M1056" t="str">
        <f>VLOOKUP(D1060,Restaurant_Master!A:B,2,FALSE)</f>
        <v>https://content.jdmagicbox.com/comp/deoria/g6/9999p5568.5568.200119143033.m4g6/catalogue/biryani-house-deoria-ho-deoria-mktc2xph0o.jpg</v>
      </c>
    </row>
    <row r="1057" spans="1:13" x14ac:dyDescent="0.3">
      <c r="A1057" t="s">
        <v>1087</v>
      </c>
      <c r="B1057" s="1">
        <v>45394</v>
      </c>
      <c r="C1057" t="s">
        <v>20</v>
      </c>
      <c r="D1057" t="s">
        <v>25</v>
      </c>
      <c r="E1057">
        <v>21</v>
      </c>
      <c r="F1057" t="s">
        <v>28</v>
      </c>
      <c r="G1057">
        <v>600.49</v>
      </c>
      <c r="H1057">
        <v>47</v>
      </c>
      <c r="I1057" t="s">
        <v>16</v>
      </c>
      <c r="J1057">
        <v>4.4000000000000004</v>
      </c>
      <c r="K1057" t="s">
        <v>29</v>
      </c>
      <c r="L1057" t="s">
        <v>23</v>
      </c>
      <c r="M1057" t="str">
        <f>VLOOKUP(D1061,Restaurant_Master!A:B,2,FALSE)</f>
        <v>https://dynamic-media-cdn.tripadvisor.com/media/photo-o/1c/e7/04/0d/front-of-the-local-easily.jpg</v>
      </c>
    </row>
    <row r="1058" spans="1:13" x14ac:dyDescent="0.3">
      <c r="A1058" t="s">
        <v>1088</v>
      </c>
      <c r="B1058" s="1">
        <v>45396</v>
      </c>
      <c r="C1058" t="s">
        <v>13</v>
      </c>
      <c r="D1058" t="s">
        <v>32</v>
      </c>
      <c r="E1058">
        <v>22</v>
      </c>
      <c r="F1058" t="s">
        <v>15</v>
      </c>
      <c r="G1058">
        <v>981.91</v>
      </c>
      <c r="H1058">
        <v>23</v>
      </c>
      <c r="I1058" t="s">
        <v>22</v>
      </c>
      <c r="J1058">
        <v>3.2</v>
      </c>
      <c r="K1058" t="s">
        <v>26</v>
      </c>
      <c r="L1058" t="s">
        <v>23</v>
      </c>
      <c r="M1058" t="str">
        <f>VLOOKUP(D1062,Restaurant_Master!A:B,2,FALSE)</f>
        <v>https://media-cdn.tripadvisor.com/media/photo-s/1c/c7/97/b6/photo6jpg.jpg</v>
      </c>
    </row>
    <row r="1059" spans="1:13" x14ac:dyDescent="0.3">
      <c r="A1059" t="s">
        <v>1089</v>
      </c>
      <c r="B1059" s="1">
        <v>45506</v>
      </c>
      <c r="C1059" t="s">
        <v>36</v>
      </c>
      <c r="D1059" t="s">
        <v>32</v>
      </c>
      <c r="E1059">
        <v>39</v>
      </c>
      <c r="F1059" t="s">
        <v>15</v>
      </c>
      <c r="G1059">
        <v>273.77</v>
      </c>
      <c r="H1059">
        <v>54</v>
      </c>
      <c r="I1059" t="s">
        <v>16</v>
      </c>
      <c r="J1059">
        <v>4.7</v>
      </c>
      <c r="K1059" t="s">
        <v>26</v>
      </c>
      <c r="L1059" t="s">
        <v>23</v>
      </c>
      <c r="M1059" t="str">
        <f>VLOOKUP(D1063,Restaurant_Master!A:B,2,FALSE)</f>
        <v>https://content.jdmagicbox.com/comp/deoria/g6/9999p5568.5568.200119143033.m4g6/catalogue/biryani-house-deoria-ho-deoria-mktc2xph0o.jpg</v>
      </c>
    </row>
    <row r="1060" spans="1:13" x14ac:dyDescent="0.3">
      <c r="A1060" t="s">
        <v>1090</v>
      </c>
      <c r="B1060" s="1">
        <v>45293</v>
      </c>
      <c r="C1060" t="s">
        <v>34</v>
      </c>
      <c r="D1060" t="s">
        <v>32</v>
      </c>
      <c r="E1060">
        <v>36</v>
      </c>
      <c r="F1060" t="s">
        <v>15</v>
      </c>
      <c r="G1060">
        <v>895.44</v>
      </c>
      <c r="H1060">
        <v>51</v>
      </c>
      <c r="I1060" t="s">
        <v>16</v>
      </c>
      <c r="J1060">
        <v>2.7</v>
      </c>
      <c r="K1060" t="s">
        <v>41</v>
      </c>
      <c r="L1060" t="s">
        <v>23</v>
      </c>
      <c r="M1060" t="str">
        <f>VLOOKUP(D1064,Restaurant_Master!A:B,2,FALSE)</f>
        <v>https://www.chatswoodinterchange.com/storages/2018/08/Sushi-World_666x448.jpg</v>
      </c>
    </row>
    <row r="1061" spans="1:13" x14ac:dyDescent="0.3">
      <c r="A1061" t="s">
        <v>1091</v>
      </c>
      <c r="B1061" s="1">
        <v>45370</v>
      </c>
      <c r="C1061" t="s">
        <v>13</v>
      </c>
      <c r="D1061" t="s">
        <v>21</v>
      </c>
      <c r="E1061">
        <v>22</v>
      </c>
      <c r="F1061" t="s">
        <v>28</v>
      </c>
      <c r="G1061">
        <v>499.39</v>
      </c>
      <c r="H1061">
        <v>38</v>
      </c>
      <c r="I1061" t="s">
        <v>22</v>
      </c>
      <c r="J1061">
        <v>5</v>
      </c>
      <c r="K1061" t="s">
        <v>41</v>
      </c>
      <c r="L1061" t="s">
        <v>23</v>
      </c>
      <c r="M1061" t="str">
        <f>VLOOKUP(D1065,Restaurant_Master!A:B,2,FALSE)</f>
        <v>https://media-cdn.tripadvisor.com/media/photo-s/1c/c7/97/b6/photo6jpg.jpg</v>
      </c>
    </row>
    <row r="1062" spans="1:13" x14ac:dyDescent="0.3">
      <c r="A1062" t="s">
        <v>1092</v>
      </c>
      <c r="B1062" s="1">
        <v>45645</v>
      </c>
      <c r="C1062" t="s">
        <v>13</v>
      </c>
      <c r="D1062" t="s">
        <v>25</v>
      </c>
      <c r="E1062">
        <v>57</v>
      </c>
      <c r="F1062" t="s">
        <v>15</v>
      </c>
      <c r="G1062">
        <v>242.24</v>
      </c>
      <c r="H1062">
        <v>46</v>
      </c>
      <c r="I1062" t="s">
        <v>16</v>
      </c>
      <c r="J1062">
        <v>3.7</v>
      </c>
      <c r="K1062" t="s">
        <v>17</v>
      </c>
      <c r="L1062" t="s">
        <v>18</v>
      </c>
      <c r="M1062" t="str">
        <f>VLOOKUP(D1066,Restaurant_Master!A:B,2,FALSE)</f>
        <v>https://dineout-media-assets.swiggy.com/swiggy/image/upload/fl_lossy,f_auto,q_auto/v1660793737/fdqxvxcxg1wtdwvyv45v.jpg</v>
      </c>
    </row>
    <row r="1063" spans="1:13" x14ac:dyDescent="0.3">
      <c r="A1063" t="s">
        <v>1093</v>
      </c>
      <c r="B1063" s="1">
        <v>45382</v>
      </c>
      <c r="C1063" t="s">
        <v>20</v>
      </c>
      <c r="D1063" t="s">
        <v>32</v>
      </c>
      <c r="E1063">
        <v>36</v>
      </c>
      <c r="F1063" t="s">
        <v>28</v>
      </c>
      <c r="G1063">
        <v>828.5</v>
      </c>
      <c r="H1063">
        <v>41</v>
      </c>
      <c r="I1063" t="s">
        <v>16</v>
      </c>
      <c r="J1063">
        <v>4.5</v>
      </c>
      <c r="K1063" t="s">
        <v>17</v>
      </c>
      <c r="L1063" t="s">
        <v>18</v>
      </c>
      <c r="M1063" t="str">
        <f>VLOOKUP(D1067,Restaurant_Master!A:B,2,FALSE)</f>
        <v>https://content.jdmagicbox.com/comp/deoria/g6/9999p5568.5568.200119143033.m4g6/catalogue/biryani-house-deoria-ho-deoria-mktc2xph0o.jpg</v>
      </c>
    </row>
    <row r="1064" spans="1:13" x14ac:dyDescent="0.3">
      <c r="A1064" t="s">
        <v>1094</v>
      </c>
      <c r="B1064" s="1">
        <v>45309</v>
      </c>
      <c r="C1064" t="s">
        <v>36</v>
      </c>
      <c r="D1064" t="s">
        <v>38</v>
      </c>
      <c r="E1064">
        <v>50</v>
      </c>
      <c r="F1064" t="s">
        <v>28</v>
      </c>
      <c r="G1064">
        <v>932.42</v>
      </c>
      <c r="H1064">
        <v>34</v>
      </c>
      <c r="I1064" t="s">
        <v>22</v>
      </c>
      <c r="J1064">
        <v>4.5999999999999996</v>
      </c>
      <c r="K1064" t="s">
        <v>29</v>
      </c>
      <c r="L1064" t="s">
        <v>18</v>
      </c>
      <c r="M1064" t="str">
        <f>VLOOKUP(D1068,Restaurant_Master!A:B,2,FALSE)</f>
        <v>https://dineout-media-assets.swiggy.com/swiggy/image/upload/fl_lossy,f_auto,q_auto/v1660793737/fdqxvxcxg1wtdwvyv45v.jpg</v>
      </c>
    </row>
    <row r="1065" spans="1:13" x14ac:dyDescent="0.3">
      <c r="A1065" t="s">
        <v>1095</v>
      </c>
      <c r="B1065" s="1">
        <v>45553</v>
      </c>
      <c r="C1065" t="s">
        <v>43</v>
      </c>
      <c r="D1065" t="s">
        <v>25</v>
      </c>
      <c r="E1065">
        <v>23</v>
      </c>
      <c r="F1065" t="s">
        <v>15</v>
      </c>
      <c r="G1065">
        <v>591.04</v>
      </c>
      <c r="H1065">
        <v>39</v>
      </c>
      <c r="I1065" t="s">
        <v>22</v>
      </c>
      <c r="J1065">
        <v>3.7</v>
      </c>
      <c r="K1065" t="s">
        <v>26</v>
      </c>
      <c r="L1065" t="s">
        <v>23</v>
      </c>
      <c r="M1065" t="str">
        <f>VLOOKUP(D1069,Restaurant_Master!A:B,2,FALSE)</f>
        <v>https://media-cdn.tripadvisor.com/media/photo-s/1c/c7/97/b6/photo6jpg.jpg</v>
      </c>
    </row>
    <row r="1066" spans="1:13" x14ac:dyDescent="0.3">
      <c r="A1066" t="s">
        <v>1096</v>
      </c>
      <c r="B1066" s="1">
        <v>45449</v>
      </c>
      <c r="C1066" t="s">
        <v>34</v>
      </c>
      <c r="D1066" t="s">
        <v>14</v>
      </c>
      <c r="E1066">
        <v>21</v>
      </c>
      <c r="F1066" t="s">
        <v>15</v>
      </c>
      <c r="G1066">
        <v>911.65</v>
      </c>
      <c r="H1066">
        <v>59</v>
      </c>
      <c r="I1066" t="s">
        <v>16</v>
      </c>
      <c r="J1066">
        <v>3.2</v>
      </c>
      <c r="K1066" t="s">
        <v>29</v>
      </c>
      <c r="L1066" t="s">
        <v>23</v>
      </c>
      <c r="M1066" t="str">
        <f>VLOOKUP(D1070,Restaurant_Master!A:B,2,FALSE)</f>
        <v>https://www.chatswoodinterchange.com/storages/2018/08/Sushi-World_666x448.jpg</v>
      </c>
    </row>
    <row r="1067" spans="1:13" x14ac:dyDescent="0.3">
      <c r="A1067" t="s">
        <v>1097</v>
      </c>
      <c r="B1067" s="1">
        <v>45320</v>
      </c>
      <c r="C1067" t="s">
        <v>36</v>
      </c>
      <c r="D1067" t="s">
        <v>32</v>
      </c>
      <c r="E1067">
        <v>26</v>
      </c>
      <c r="F1067" t="s">
        <v>28</v>
      </c>
      <c r="G1067">
        <v>854.6</v>
      </c>
      <c r="H1067">
        <v>41</v>
      </c>
      <c r="I1067" t="s">
        <v>16</v>
      </c>
      <c r="J1067">
        <v>3.3</v>
      </c>
      <c r="K1067" t="s">
        <v>26</v>
      </c>
      <c r="L1067" t="s">
        <v>18</v>
      </c>
      <c r="M1067" t="str">
        <f>VLOOKUP(D1071,Restaurant_Master!A:B,2,FALSE)</f>
        <v>https://dynamic-media-cdn.tripadvisor.com/media/photo-o/1c/e7/04/0d/front-of-the-local-easily.jpg</v>
      </c>
    </row>
    <row r="1068" spans="1:13" x14ac:dyDescent="0.3">
      <c r="A1068" t="s">
        <v>1098</v>
      </c>
      <c r="B1068" s="1">
        <v>45568</v>
      </c>
      <c r="C1068" t="s">
        <v>20</v>
      </c>
      <c r="D1068" t="s">
        <v>14</v>
      </c>
      <c r="E1068">
        <v>46</v>
      </c>
      <c r="F1068" t="s">
        <v>28</v>
      </c>
      <c r="G1068">
        <v>554.95000000000005</v>
      </c>
      <c r="H1068">
        <v>29</v>
      </c>
      <c r="I1068" t="s">
        <v>22</v>
      </c>
      <c r="J1068">
        <v>3.9</v>
      </c>
      <c r="K1068" t="s">
        <v>26</v>
      </c>
      <c r="L1068" t="s">
        <v>18</v>
      </c>
      <c r="M1068" t="str">
        <f>VLOOKUP(D1072,Restaurant_Master!A:B,2,FALSE)</f>
        <v>https://media-cdn.tripadvisor.com/media/photo-s/1c/c7/97/b6/photo6jpg.jpg</v>
      </c>
    </row>
    <row r="1069" spans="1:13" x14ac:dyDescent="0.3">
      <c r="A1069" t="s">
        <v>1099</v>
      </c>
      <c r="B1069" s="1">
        <v>45417</v>
      </c>
      <c r="C1069" t="s">
        <v>20</v>
      </c>
      <c r="D1069" t="s">
        <v>25</v>
      </c>
      <c r="E1069">
        <v>45</v>
      </c>
      <c r="F1069" t="s">
        <v>28</v>
      </c>
      <c r="G1069">
        <v>283.5</v>
      </c>
      <c r="H1069">
        <v>32</v>
      </c>
      <c r="I1069" t="s">
        <v>22</v>
      </c>
      <c r="J1069">
        <v>4.2</v>
      </c>
      <c r="K1069" t="s">
        <v>29</v>
      </c>
      <c r="L1069" t="s">
        <v>23</v>
      </c>
      <c r="M1069" t="str">
        <f>VLOOKUP(D1073,Restaurant_Master!A:B,2,FALSE)</f>
        <v>https://dynamic-media-cdn.tripadvisor.com/media/photo-o/1c/e7/04/0d/front-of-the-local-easily.jpg</v>
      </c>
    </row>
    <row r="1070" spans="1:13" x14ac:dyDescent="0.3">
      <c r="A1070" t="s">
        <v>1100</v>
      </c>
      <c r="B1070" s="1">
        <v>45494</v>
      </c>
      <c r="C1070" t="s">
        <v>43</v>
      </c>
      <c r="D1070" t="s">
        <v>38</v>
      </c>
      <c r="E1070">
        <v>59</v>
      </c>
      <c r="F1070" t="s">
        <v>15</v>
      </c>
      <c r="G1070">
        <v>889.31</v>
      </c>
      <c r="H1070">
        <v>36</v>
      </c>
      <c r="I1070" t="s">
        <v>22</v>
      </c>
      <c r="J1070">
        <v>2.8</v>
      </c>
      <c r="K1070" t="s">
        <v>41</v>
      </c>
      <c r="L1070" t="s">
        <v>18</v>
      </c>
      <c r="M1070" t="str">
        <f>VLOOKUP(D1074,Restaurant_Master!A:B,2,FALSE)</f>
        <v>https://media-cdn.tripadvisor.com/media/photo-s/1c/c7/97/b6/photo6jpg.jpg</v>
      </c>
    </row>
    <row r="1071" spans="1:13" x14ac:dyDescent="0.3">
      <c r="A1071" t="s">
        <v>1101</v>
      </c>
      <c r="B1071" s="1">
        <v>45567</v>
      </c>
      <c r="C1071" t="s">
        <v>13</v>
      </c>
      <c r="D1071" t="s">
        <v>21</v>
      </c>
      <c r="E1071">
        <v>31</v>
      </c>
      <c r="F1071" t="s">
        <v>15</v>
      </c>
      <c r="G1071">
        <v>806.79</v>
      </c>
      <c r="H1071">
        <v>44</v>
      </c>
      <c r="I1071" t="s">
        <v>16</v>
      </c>
      <c r="J1071">
        <v>3.9</v>
      </c>
      <c r="K1071" t="s">
        <v>26</v>
      </c>
      <c r="L1071" t="s">
        <v>23</v>
      </c>
      <c r="M1071" t="str">
        <f>VLOOKUP(D1075,Restaurant_Master!A:B,2,FALSE)</f>
        <v>https://www.chatswoodinterchange.com/storages/2018/08/Sushi-World_666x448.jpg</v>
      </c>
    </row>
    <row r="1072" spans="1:13" x14ac:dyDescent="0.3">
      <c r="A1072" t="s">
        <v>1102</v>
      </c>
      <c r="B1072" s="1">
        <v>45517</v>
      </c>
      <c r="C1072" t="s">
        <v>13</v>
      </c>
      <c r="D1072" t="s">
        <v>25</v>
      </c>
      <c r="E1072">
        <v>55</v>
      </c>
      <c r="F1072" t="s">
        <v>15</v>
      </c>
      <c r="G1072">
        <v>156.6</v>
      </c>
      <c r="H1072">
        <v>28</v>
      </c>
      <c r="I1072" t="s">
        <v>22</v>
      </c>
      <c r="J1072">
        <v>3.7</v>
      </c>
      <c r="K1072" t="s">
        <v>29</v>
      </c>
      <c r="L1072" t="s">
        <v>23</v>
      </c>
      <c r="M1072" t="str">
        <f>VLOOKUP(D1076,Restaurant_Master!A:B,2,FALSE)</f>
        <v>https://dynamic-media-cdn.tripadvisor.com/media/photo-o/1c/e7/04/0d/front-of-the-local-easily.jpg</v>
      </c>
    </row>
    <row r="1073" spans="1:13" x14ac:dyDescent="0.3">
      <c r="A1073" t="s">
        <v>1103</v>
      </c>
      <c r="B1073" s="1">
        <v>45556</v>
      </c>
      <c r="C1073" t="s">
        <v>34</v>
      </c>
      <c r="D1073" t="s">
        <v>21</v>
      </c>
      <c r="E1073">
        <v>44</v>
      </c>
      <c r="F1073" t="s">
        <v>28</v>
      </c>
      <c r="G1073">
        <v>658.95</v>
      </c>
      <c r="H1073">
        <v>53</v>
      </c>
      <c r="I1073" t="s">
        <v>16</v>
      </c>
      <c r="J1073">
        <v>2.5</v>
      </c>
      <c r="K1073" t="s">
        <v>41</v>
      </c>
      <c r="L1073" t="s">
        <v>18</v>
      </c>
      <c r="M1073" t="str">
        <f>VLOOKUP(D1077,Restaurant_Master!A:B,2,FALSE)</f>
        <v>https://www.chatswoodinterchange.com/storages/2018/08/Sushi-World_666x448.jpg</v>
      </c>
    </row>
    <row r="1074" spans="1:13" x14ac:dyDescent="0.3">
      <c r="A1074" t="s">
        <v>1104</v>
      </c>
      <c r="B1074" s="1">
        <v>45427</v>
      </c>
      <c r="C1074" t="s">
        <v>13</v>
      </c>
      <c r="D1074" t="s">
        <v>25</v>
      </c>
      <c r="E1074">
        <v>25</v>
      </c>
      <c r="F1074" t="s">
        <v>15</v>
      </c>
      <c r="G1074">
        <v>267.58999999999997</v>
      </c>
      <c r="H1074">
        <v>44</v>
      </c>
      <c r="I1074" t="s">
        <v>16</v>
      </c>
      <c r="J1074">
        <v>4.8</v>
      </c>
      <c r="K1074" t="s">
        <v>17</v>
      </c>
      <c r="L1074" t="s">
        <v>18</v>
      </c>
      <c r="M1074" t="str">
        <f>VLOOKUP(D1078,Restaurant_Master!A:B,2,FALSE)</f>
        <v>https://content.jdmagicbox.com/comp/deoria/g6/9999p5568.5568.200119143033.m4g6/catalogue/biryani-house-deoria-ho-deoria-mktc2xph0o.jpg</v>
      </c>
    </row>
    <row r="1075" spans="1:13" x14ac:dyDescent="0.3">
      <c r="A1075" t="s">
        <v>1105</v>
      </c>
      <c r="B1075" s="1">
        <v>45416</v>
      </c>
      <c r="C1075" t="s">
        <v>13</v>
      </c>
      <c r="D1075" t="s">
        <v>38</v>
      </c>
      <c r="E1075">
        <v>22</v>
      </c>
      <c r="F1075" t="s">
        <v>15</v>
      </c>
      <c r="G1075">
        <v>821.08</v>
      </c>
      <c r="H1075">
        <v>38</v>
      </c>
      <c r="I1075" t="s">
        <v>22</v>
      </c>
      <c r="J1075">
        <v>4.8</v>
      </c>
      <c r="K1075" t="s">
        <v>29</v>
      </c>
      <c r="L1075" t="s">
        <v>18</v>
      </c>
      <c r="M1075" t="str">
        <f>VLOOKUP(D1079,Restaurant_Master!A:B,2,FALSE)</f>
        <v>https://media-cdn.tripadvisor.com/media/photo-s/1c/c7/97/b6/photo6jpg.jpg</v>
      </c>
    </row>
    <row r="1076" spans="1:13" x14ac:dyDescent="0.3">
      <c r="A1076" t="s">
        <v>1106</v>
      </c>
      <c r="B1076" s="1">
        <v>45350</v>
      </c>
      <c r="C1076" t="s">
        <v>36</v>
      </c>
      <c r="D1076" t="s">
        <v>21</v>
      </c>
      <c r="E1076">
        <v>43</v>
      </c>
      <c r="F1076" t="s">
        <v>28</v>
      </c>
      <c r="G1076">
        <v>780.09</v>
      </c>
      <c r="H1076">
        <v>22</v>
      </c>
      <c r="I1076" t="s">
        <v>22</v>
      </c>
      <c r="J1076">
        <v>3.5</v>
      </c>
      <c r="K1076" t="s">
        <v>29</v>
      </c>
      <c r="L1076" t="s">
        <v>18</v>
      </c>
      <c r="M1076" t="str">
        <f>VLOOKUP(D1080,Restaurant_Master!A:B,2,FALSE)</f>
        <v>https://dineout-media-assets.swiggy.com/swiggy/image/upload/fl_lossy,f_auto,q_auto/v1660793737/fdqxvxcxg1wtdwvyv45v.jpg</v>
      </c>
    </row>
    <row r="1077" spans="1:13" x14ac:dyDescent="0.3">
      <c r="A1077" t="s">
        <v>1107</v>
      </c>
      <c r="B1077" s="1">
        <v>45437</v>
      </c>
      <c r="C1077" t="s">
        <v>43</v>
      </c>
      <c r="D1077" t="s">
        <v>38</v>
      </c>
      <c r="E1077">
        <v>33</v>
      </c>
      <c r="F1077" t="s">
        <v>15</v>
      </c>
      <c r="G1077">
        <v>625.12</v>
      </c>
      <c r="H1077">
        <v>55</v>
      </c>
      <c r="I1077" t="s">
        <v>16</v>
      </c>
      <c r="J1077">
        <v>3.7</v>
      </c>
      <c r="K1077" t="s">
        <v>29</v>
      </c>
      <c r="L1077" t="s">
        <v>23</v>
      </c>
      <c r="M1077" t="str">
        <f>VLOOKUP(D1081,Restaurant_Master!A:B,2,FALSE)</f>
        <v>https://dynamic-media-cdn.tripadvisor.com/media/photo-o/1c/e7/04/0d/front-of-the-local-easily.jpg</v>
      </c>
    </row>
    <row r="1078" spans="1:13" x14ac:dyDescent="0.3">
      <c r="A1078" t="s">
        <v>1108</v>
      </c>
      <c r="B1078" s="1">
        <v>45398</v>
      </c>
      <c r="C1078" t="s">
        <v>34</v>
      </c>
      <c r="D1078" t="s">
        <v>32</v>
      </c>
      <c r="E1078">
        <v>43</v>
      </c>
      <c r="F1078" t="s">
        <v>28</v>
      </c>
      <c r="G1078">
        <v>851.79</v>
      </c>
      <c r="H1078">
        <v>49</v>
      </c>
      <c r="I1078" t="s">
        <v>16</v>
      </c>
      <c r="J1078">
        <v>4.5999999999999996</v>
      </c>
      <c r="K1078" t="s">
        <v>29</v>
      </c>
      <c r="L1078" t="s">
        <v>18</v>
      </c>
      <c r="M1078" t="str">
        <f>VLOOKUP(D1082,Restaurant_Master!A:B,2,FALSE)</f>
        <v>https://www.chatswoodinterchange.com/storages/2018/08/Sushi-World_666x448.jpg</v>
      </c>
    </row>
    <row r="1079" spans="1:13" x14ac:dyDescent="0.3">
      <c r="A1079" t="s">
        <v>1109</v>
      </c>
      <c r="B1079" s="1">
        <v>45560</v>
      </c>
      <c r="C1079" t="s">
        <v>36</v>
      </c>
      <c r="D1079" t="s">
        <v>25</v>
      </c>
      <c r="E1079">
        <v>21</v>
      </c>
      <c r="F1079" t="s">
        <v>15</v>
      </c>
      <c r="G1079">
        <v>637.84</v>
      </c>
      <c r="H1079">
        <v>24</v>
      </c>
      <c r="I1079" t="s">
        <v>22</v>
      </c>
      <c r="J1079">
        <v>3.3</v>
      </c>
      <c r="K1079" t="s">
        <v>17</v>
      </c>
      <c r="L1079" t="s">
        <v>18</v>
      </c>
      <c r="M1079" t="str">
        <f>VLOOKUP(D1083,Restaurant_Master!A:B,2,FALSE)</f>
        <v>https://dineout-media-assets.swiggy.com/swiggy/image/upload/fl_lossy,f_auto,q_auto/v1660793737/fdqxvxcxg1wtdwvyv45v.jpg</v>
      </c>
    </row>
    <row r="1080" spans="1:13" x14ac:dyDescent="0.3">
      <c r="A1080" t="s">
        <v>1110</v>
      </c>
      <c r="B1080" s="1">
        <v>45454</v>
      </c>
      <c r="C1080" t="s">
        <v>34</v>
      </c>
      <c r="D1080" t="s">
        <v>14</v>
      </c>
      <c r="E1080">
        <v>45</v>
      </c>
      <c r="F1080" t="s">
        <v>28</v>
      </c>
      <c r="G1080">
        <v>535.02</v>
      </c>
      <c r="H1080">
        <v>27</v>
      </c>
      <c r="I1080" t="s">
        <v>22</v>
      </c>
      <c r="J1080">
        <v>4.2</v>
      </c>
      <c r="K1080" t="s">
        <v>29</v>
      </c>
      <c r="L1080" t="s">
        <v>18</v>
      </c>
      <c r="M1080" t="str">
        <f>VLOOKUP(D1084,Restaurant_Master!A:B,2,FALSE)</f>
        <v>https://www.chatswoodinterchange.com/storages/2018/08/Sushi-World_666x448.jpg</v>
      </c>
    </row>
    <row r="1081" spans="1:13" x14ac:dyDescent="0.3">
      <c r="A1081" t="s">
        <v>1111</v>
      </c>
      <c r="B1081" s="1">
        <v>45503</v>
      </c>
      <c r="C1081" t="s">
        <v>34</v>
      </c>
      <c r="D1081" t="s">
        <v>21</v>
      </c>
      <c r="E1081">
        <v>39</v>
      </c>
      <c r="F1081" t="s">
        <v>28</v>
      </c>
      <c r="G1081">
        <v>1035.24</v>
      </c>
      <c r="H1081">
        <v>20</v>
      </c>
      <c r="I1081" t="s">
        <v>22</v>
      </c>
      <c r="J1081">
        <v>4.4000000000000004</v>
      </c>
      <c r="K1081" t="s">
        <v>29</v>
      </c>
      <c r="L1081" t="s">
        <v>18</v>
      </c>
      <c r="M1081" t="str">
        <f>VLOOKUP(D1085,Restaurant_Master!A:B,2,FALSE)</f>
        <v>https://content.jdmagicbox.com/comp/deoria/g6/9999p5568.5568.200119143033.m4g6/catalogue/biryani-house-deoria-ho-deoria-mktc2xph0o.jpg</v>
      </c>
    </row>
    <row r="1082" spans="1:13" x14ac:dyDescent="0.3">
      <c r="A1082" t="s">
        <v>1112</v>
      </c>
      <c r="B1082" s="1">
        <v>45503</v>
      </c>
      <c r="C1082" t="s">
        <v>34</v>
      </c>
      <c r="D1082" t="s">
        <v>38</v>
      </c>
      <c r="E1082">
        <v>50</v>
      </c>
      <c r="F1082" t="s">
        <v>15</v>
      </c>
      <c r="G1082">
        <v>425.3</v>
      </c>
      <c r="H1082">
        <v>48</v>
      </c>
      <c r="I1082" t="s">
        <v>16</v>
      </c>
      <c r="J1082">
        <v>4.3</v>
      </c>
      <c r="K1082" t="s">
        <v>26</v>
      </c>
      <c r="L1082" t="s">
        <v>18</v>
      </c>
      <c r="M1082" t="str">
        <f>VLOOKUP(D1086,Restaurant_Master!A:B,2,FALSE)</f>
        <v>https://content.jdmagicbox.com/comp/deoria/g6/9999p5568.5568.200119143033.m4g6/catalogue/biryani-house-deoria-ho-deoria-mktc2xph0o.jpg</v>
      </c>
    </row>
    <row r="1083" spans="1:13" x14ac:dyDescent="0.3">
      <c r="A1083" t="s">
        <v>1113</v>
      </c>
      <c r="B1083" s="1">
        <v>45520</v>
      </c>
      <c r="C1083" t="s">
        <v>20</v>
      </c>
      <c r="D1083" t="s">
        <v>14</v>
      </c>
      <c r="E1083">
        <v>32</v>
      </c>
      <c r="F1083" t="s">
        <v>15</v>
      </c>
      <c r="G1083">
        <v>917.38</v>
      </c>
      <c r="H1083">
        <v>26</v>
      </c>
      <c r="I1083" t="s">
        <v>22</v>
      </c>
      <c r="J1083">
        <v>3.6</v>
      </c>
      <c r="K1083" t="s">
        <v>26</v>
      </c>
      <c r="L1083" t="s">
        <v>18</v>
      </c>
      <c r="M1083" t="str">
        <f>VLOOKUP(D1087,Restaurant_Master!A:B,2,FALSE)</f>
        <v>https://content.jdmagicbox.com/comp/deoria/g6/9999p5568.5568.200119143033.m4g6/catalogue/biryani-house-deoria-ho-deoria-mktc2xph0o.jpg</v>
      </c>
    </row>
    <row r="1084" spans="1:13" x14ac:dyDescent="0.3">
      <c r="A1084" t="s">
        <v>1114</v>
      </c>
      <c r="B1084" s="1">
        <v>45632</v>
      </c>
      <c r="C1084" t="s">
        <v>13</v>
      </c>
      <c r="D1084" t="s">
        <v>38</v>
      </c>
      <c r="E1084">
        <v>21</v>
      </c>
      <c r="F1084" t="s">
        <v>28</v>
      </c>
      <c r="G1084">
        <v>800.15</v>
      </c>
      <c r="H1084">
        <v>49</v>
      </c>
      <c r="I1084" t="s">
        <v>16</v>
      </c>
      <c r="J1084">
        <v>4.9000000000000004</v>
      </c>
      <c r="K1084" t="s">
        <v>29</v>
      </c>
      <c r="L1084" t="s">
        <v>18</v>
      </c>
      <c r="M1084" t="str">
        <f>VLOOKUP(D1088,Restaurant_Master!A:B,2,FALSE)</f>
        <v>https://www.chatswoodinterchange.com/storages/2018/08/Sushi-World_666x448.jpg</v>
      </c>
    </row>
    <row r="1085" spans="1:13" x14ac:dyDescent="0.3">
      <c r="A1085" t="s">
        <v>1115</v>
      </c>
      <c r="B1085" s="1">
        <v>45377</v>
      </c>
      <c r="C1085" t="s">
        <v>34</v>
      </c>
      <c r="D1085" t="s">
        <v>32</v>
      </c>
      <c r="E1085">
        <v>41</v>
      </c>
      <c r="F1085" t="s">
        <v>15</v>
      </c>
      <c r="G1085">
        <v>356.67</v>
      </c>
      <c r="H1085">
        <v>45</v>
      </c>
      <c r="I1085" t="s">
        <v>16</v>
      </c>
      <c r="J1085">
        <v>2.6</v>
      </c>
      <c r="K1085" t="s">
        <v>17</v>
      </c>
      <c r="L1085" t="s">
        <v>23</v>
      </c>
      <c r="M1085" t="str">
        <f>VLOOKUP(D1089,Restaurant_Master!A:B,2,FALSE)</f>
        <v>https://media-cdn.tripadvisor.com/media/photo-s/1c/c7/97/b6/photo6jpg.jpg</v>
      </c>
    </row>
    <row r="1086" spans="1:13" x14ac:dyDescent="0.3">
      <c r="A1086" t="s">
        <v>1116</v>
      </c>
      <c r="B1086" s="1">
        <v>45362</v>
      </c>
      <c r="C1086" t="s">
        <v>43</v>
      </c>
      <c r="D1086" t="s">
        <v>32</v>
      </c>
      <c r="E1086">
        <v>33</v>
      </c>
      <c r="F1086" t="s">
        <v>28</v>
      </c>
      <c r="G1086">
        <v>958.67</v>
      </c>
      <c r="H1086">
        <v>35</v>
      </c>
      <c r="I1086" t="s">
        <v>22</v>
      </c>
      <c r="J1086">
        <v>2.6</v>
      </c>
      <c r="K1086" t="s">
        <v>41</v>
      </c>
      <c r="L1086" t="s">
        <v>18</v>
      </c>
      <c r="M1086" t="str">
        <f>VLOOKUP(D1090,Restaurant_Master!A:B,2,FALSE)</f>
        <v>https://dynamic-media-cdn.tripadvisor.com/media/photo-o/1c/e7/04/0d/front-of-the-local-easily.jpg</v>
      </c>
    </row>
    <row r="1087" spans="1:13" x14ac:dyDescent="0.3">
      <c r="A1087" t="s">
        <v>1117</v>
      </c>
      <c r="B1087" s="1">
        <v>45653</v>
      </c>
      <c r="C1087" t="s">
        <v>34</v>
      </c>
      <c r="D1087" t="s">
        <v>32</v>
      </c>
      <c r="E1087">
        <v>37</v>
      </c>
      <c r="F1087" t="s">
        <v>28</v>
      </c>
      <c r="G1087">
        <v>654.04999999999995</v>
      </c>
      <c r="H1087">
        <v>23</v>
      </c>
      <c r="I1087" t="s">
        <v>22</v>
      </c>
      <c r="J1087">
        <v>3.5</v>
      </c>
      <c r="K1087" t="s">
        <v>17</v>
      </c>
      <c r="L1087" t="s">
        <v>23</v>
      </c>
      <c r="M1087" t="str">
        <f>VLOOKUP(D1091,Restaurant_Master!A:B,2,FALSE)</f>
        <v>https://dynamic-media-cdn.tripadvisor.com/media/photo-o/1c/e7/04/0d/front-of-the-local-easily.jpg</v>
      </c>
    </row>
    <row r="1088" spans="1:13" x14ac:dyDescent="0.3">
      <c r="A1088" t="s">
        <v>1118</v>
      </c>
      <c r="B1088" s="1">
        <v>45607</v>
      </c>
      <c r="C1088" t="s">
        <v>20</v>
      </c>
      <c r="D1088" t="s">
        <v>38</v>
      </c>
      <c r="E1088">
        <v>46</v>
      </c>
      <c r="F1088" t="s">
        <v>28</v>
      </c>
      <c r="G1088">
        <v>261.02999999999997</v>
      </c>
      <c r="H1088">
        <v>43</v>
      </c>
      <c r="I1088" t="s">
        <v>16</v>
      </c>
      <c r="J1088">
        <v>4</v>
      </c>
      <c r="K1088" t="s">
        <v>41</v>
      </c>
      <c r="L1088" t="s">
        <v>18</v>
      </c>
      <c r="M1088" t="str">
        <f>VLOOKUP(D1092,Restaurant_Master!A:B,2,FALSE)</f>
        <v>https://www.chatswoodinterchange.com/storages/2018/08/Sushi-World_666x448.jpg</v>
      </c>
    </row>
    <row r="1089" spans="1:13" x14ac:dyDescent="0.3">
      <c r="A1089" t="s">
        <v>1119</v>
      </c>
      <c r="B1089" s="1">
        <v>45600</v>
      </c>
      <c r="C1089" t="s">
        <v>43</v>
      </c>
      <c r="D1089" t="s">
        <v>25</v>
      </c>
      <c r="E1089">
        <v>25</v>
      </c>
      <c r="F1089" t="s">
        <v>15</v>
      </c>
      <c r="G1089">
        <v>674.91</v>
      </c>
      <c r="H1089">
        <v>46</v>
      </c>
      <c r="I1089" t="s">
        <v>16</v>
      </c>
      <c r="J1089">
        <v>4.2</v>
      </c>
      <c r="K1089" t="s">
        <v>29</v>
      </c>
      <c r="L1089" t="s">
        <v>23</v>
      </c>
      <c r="M1089" t="str">
        <f>VLOOKUP(D1093,Restaurant_Master!A:B,2,FALSE)</f>
        <v>https://dineout-media-assets.swiggy.com/swiggy/image/upload/fl_lossy,f_auto,q_auto/v1660793737/fdqxvxcxg1wtdwvyv45v.jpg</v>
      </c>
    </row>
    <row r="1090" spans="1:13" x14ac:dyDescent="0.3">
      <c r="A1090" t="s">
        <v>1120</v>
      </c>
      <c r="B1090" s="1">
        <v>45507</v>
      </c>
      <c r="C1090" t="s">
        <v>36</v>
      </c>
      <c r="D1090" t="s">
        <v>21</v>
      </c>
      <c r="E1090">
        <v>25</v>
      </c>
      <c r="F1090" t="s">
        <v>28</v>
      </c>
      <c r="G1090">
        <v>403.52</v>
      </c>
      <c r="H1090">
        <v>56</v>
      </c>
      <c r="I1090" t="s">
        <v>16</v>
      </c>
      <c r="J1090">
        <v>2.6</v>
      </c>
      <c r="K1090" t="s">
        <v>29</v>
      </c>
      <c r="L1090" t="s">
        <v>18</v>
      </c>
      <c r="M1090" t="str">
        <f>VLOOKUP(D1094,Restaurant_Master!A:B,2,FALSE)</f>
        <v>https://www.chatswoodinterchange.com/storages/2018/08/Sushi-World_666x448.jpg</v>
      </c>
    </row>
    <row r="1091" spans="1:13" x14ac:dyDescent="0.3">
      <c r="A1091" t="s">
        <v>1121</v>
      </c>
      <c r="B1091" s="1">
        <v>45508</v>
      </c>
      <c r="C1091" t="s">
        <v>13</v>
      </c>
      <c r="D1091" t="s">
        <v>21</v>
      </c>
      <c r="E1091">
        <v>36</v>
      </c>
      <c r="F1091" t="s">
        <v>28</v>
      </c>
      <c r="G1091">
        <v>1105.21</v>
      </c>
      <c r="H1091">
        <v>50</v>
      </c>
      <c r="I1091" t="s">
        <v>16</v>
      </c>
      <c r="J1091">
        <v>3.6</v>
      </c>
      <c r="K1091" t="s">
        <v>26</v>
      </c>
      <c r="L1091" t="s">
        <v>18</v>
      </c>
      <c r="M1091" t="str">
        <f>VLOOKUP(D1095,Restaurant_Master!A:B,2,FALSE)</f>
        <v>https://dynamic-media-cdn.tripadvisor.com/media/photo-o/1c/e7/04/0d/front-of-the-local-easily.jpg</v>
      </c>
    </row>
    <row r="1092" spans="1:13" x14ac:dyDescent="0.3">
      <c r="A1092" t="s">
        <v>1122</v>
      </c>
      <c r="B1092" s="1">
        <v>45292</v>
      </c>
      <c r="C1092" t="s">
        <v>43</v>
      </c>
      <c r="D1092" t="s">
        <v>38</v>
      </c>
      <c r="E1092">
        <v>21</v>
      </c>
      <c r="F1092" t="s">
        <v>28</v>
      </c>
      <c r="G1092">
        <v>850.57</v>
      </c>
      <c r="H1092">
        <v>52</v>
      </c>
      <c r="I1092" t="s">
        <v>16</v>
      </c>
      <c r="J1092">
        <v>4.2</v>
      </c>
      <c r="K1092" t="s">
        <v>17</v>
      </c>
      <c r="L1092" t="s">
        <v>23</v>
      </c>
      <c r="M1092" t="str">
        <f>VLOOKUP(D1096,Restaurant_Master!A:B,2,FALSE)</f>
        <v>https://www.chatswoodinterchange.com/storages/2018/08/Sushi-World_666x448.jpg</v>
      </c>
    </row>
    <row r="1093" spans="1:13" x14ac:dyDescent="0.3">
      <c r="A1093" t="s">
        <v>1123</v>
      </c>
      <c r="B1093" s="1">
        <v>45292</v>
      </c>
      <c r="C1093" t="s">
        <v>20</v>
      </c>
      <c r="D1093" t="s">
        <v>14</v>
      </c>
      <c r="E1093">
        <v>20</v>
      </c>
      <c r="F1093" t="s">
        <v>15</v>
      </c>
      <c r="G1093">
        <v>515.33000000000004</v>
      </c>
      <c r="H1093">
        <v>59</v>
      </c>
      <c r="I1093" t="s">
        <v>16</v>
      </c>
      <c r="J1093">
        <v>2.7</v>
      </c>
      <c r="K1093" t="s">
        <v>17</v>
      </c>
      <c r="L1093" t="s">
        <v>23</v>
      </c>
      <c r="M1093" t="str">
        <f>VLOOKUP(D1097,Restaurant_Master!A:B,2,FALSE)</f>
        <v>https://dineout-media-assets.swiggy.com/swiggy/image/upload/fl_lossy,f_auto,q_auto/v1660793737/fdqxvxcxg1wtdwvyv45v.jpg</v>
      </c>
    </row>
    <row r="1094" spans="1:13" x14ac:dyDescent="0.3">
      <c r="A1094" t="s">
        <v>1124</v>
      </c>
      <c r="B1094" s="1">
        <v>45319</v>
      </c>
      <c r="C1094" t="s">
        <v>20</v>
      </c>
      <c r="D1094" t="s">
        <v>38</v>
      </c>
      <c r="E1094">
        <v>20</v>
      </c>
      <c r="F1094" t="s">
        <v>15</v>
      </c>
      <c r="G1094">
        <v>352.64</v>
      </c>
      <c r="H1094">
        <v>59</v>
      </c>
      <c r="I1094" t="s">
        <v>16</v>
      </c>
      <c r="J1094">
        <v>4.7</v>
      </c>
      <c r="K1094" t="s">
        <v>26</v>
      </c>
      <c r="L1094" t="s">
        <v>23</v>
      </c>
      <c r="M1094" t="str">
        <f>VLOOKUP(D1098,Restaurant_Master!A:B,2,FALSE)</f>
        <v>https://dineout-media-assets.swiggy.com/swiggy/image/upload/fl_lossy,f_auto,q_auto/v1660793737/fdqxvxcxg1wtdwvyv45v.jpg</v>
      </c>
    </row>
    <row r="1095" spans="1:13" x14ac:dyDescent="0.3">
      <c r="A1095" t="s">
        <v>1125</v>
      </c>
      <c r="B1095" s="1">
        <v>45545</v>
      </c>
      <c r="C1095" t="s">
        <v>20</v>
      </c>
      <c r="D1095" t="s">
        <v>21</v>
      </c>
      <c r="E1095">
        <v>48</v>
      </c>
      <c r="F1095" t="s">
        <v>28</v>
      </c>
      <c r="G1095">
        <v>1049.6300000000001</v>
      </c>
      <c r="H1095">
        <v>39</v>
      </c>
      <c r="I1095" t="s">
        <v>22</v>
      </c>
      <c r="J1095">
        <v>4.2</v>
      </c>
      <c r="K1095" t="s">
        <v>26</v>
      </c>
      <c r="L1095" t="s">
        <v>18</v>
      </c>
      <c r="M1095" t="str">
        <f>VLOOKUP(D1099,Restaurant_Master!A:B,2,FALSE)</f>
        <v>https://dynamic-media-cdn.tripadvisor.com/media/photo-o/1c/e7/04/0d/front-of-the-local-easily.jpg</v>
      </c>
    </row>
    <row r="1096" spans="1:13" x14ac:dyDescent="0.3">
      <c r="A1096" t="s">
        <v>1126</v>
      </c>
      <c r="B1096" s="1">
        <v>45597</v>
      </c>
      <c r="C1096" t="s">
        <v>36</v>
      </c>
      <c r="D1096" t="s">
        <v>38</v>
      </c>
      <c r="E1096">
        <v>35</v>
      </c>
      <c r="F1096" t="s">
        <v>15</v>
      </c>
      <c r="G1096">
        <v>882.22</v>
      </c>
      <c r="H1096">
        <v>53</v>
      </c>
      <c r="I1096" t="s">
        <v>16</v>
      </c>
      <c r="J1096">
        <v>4.0999999999999996</v>
      </c>
      <c r="K1096" t="s">
        <v>17</v>
      </c>
      <c r="L1096" t="s">
        <v>23</v>
      </c>
      <c r="M1096" t="str">
        <f>VLOOKUP(D1100,Restaurant_Master!A:B,2,FALSE)</f>
        <v>https://content.jdmagicbox.com/comp/deoria/g6/9999p5568.5568.200119143033.m4g6/catalogue/biryani-house-deoria-ho-deoria-mktc2xph0o.jpg</v>
      </c>
    </row>
    <row r="1097" spans="1:13" x14ac:dyDescent="0.3">
      <c r="A1097" t="s">
        <v>1127</v>
      </c>
      <c r="B1097" s="1">
        <v>45460</v>
      </c>
      <c r="C1097" t="s">
        <v>43</v>
      </c>
      <c r="D1097" t="s">
        <v>14</v>
      </c>
      <c r="E1097">
        <v>50</v>
      </c>
      <c r="F1097" t="s">
        <v>28</v>
      </c>
      <c r="G1097">
        <v>1007.4</v>
      </c>
      <c r="H1097">
        <v>56</v>
      </c>
      <c r="I1097" t="s">
        <v>16</v>
      </c>
      <c r="J1097">
        <v>3</v>
      </c>
      <c r="K1097" t="s">
        <v>17</v>
      </c>
      <c r="L1097" t="s">
        <v>18</v>
      </c>
      <c r="M1097" t="str">
        <f>VLOOKUP(D1101,Restaurant_Master!A:B,2,FALSE)</f>
        <v>https://www.chatswoodinterchange.com/storages/2018/08/Sushi-World_666x448.jpg</v>
      </c>
    </row>
    <row r="1098" spans="1:13" x14ac:dyDescent="0.3">
      <c r="A1098" t="s">
        <v>1128</v>
      </c>
      <c r="B1098" s="1">
        <v>45363</v>
      </c>
      <c r="C1098" t="s">
        <v>13</v>
      </c>
      <c r="D1098" t="s">
        <v>14</v>
      </c>
      <c r="E1098">
        <v>31</v>
      </c>
      <c r="F1098" t="s">
        <v>15</v>
      </c>
      <c r="G1098">
        <v>1064.0899999999999</v>
      </c>
      <c r="H1098">
        <v>30</v>
      </c>
      <c r="I1098" t="s">
        <v>22</v>
      </c>
      <c r="J1098">
        <v>2.9</v>
      </c>
      <c r="K1098" t="s">
        <v>26</v>
      </c>
      <c r="L1098" t="s">
        <v>23</v>
      </c>
      <c r="M1098" t="str">
        <f>VLOOKUP(D1102,Restaurant_Master!A:B,2,FALSE)</f>
        <v>https://dineout-media-assets.swiggy.com/swiggy/image/upload/fl_lossy,f_auto,q_auto/v1660793737/fdqxvxcxg1wtdwvyv45v.jpg</v>
      </c>
    </row>
    <row r="1099" spans="1:13" x14ac:dyDescent="0.3">
      <c r="A1099" t="s">
        <v>1129</v>
      </c>
      <c r="B1099" s="1">
        <v>45469</v>
      </c>
      <c r="C1099" t="s">
        <v>43</v>
      </c>
      <c r="D1099" t="s">
        <v>21</v>
      </c>
      <c r="E1099">
        <v>43</v>
      </c>
      <c r="F1099" t="s">
        <v>15</v>
      </c>
      <c r="G1099">
        <v>789.6</v>
      </c>
      <c r="H1099">
        <v>35</v>
      </c>
      <c r="I1099" t="s">
        <v>22</v>
      </c>
      <c r="J1099">
        <v>3.9</v>
      </c>
      <c r="K1099" t="s">
        <v>26</v>
      </c>
      <c r="L1099" t="s">
        <v>23</v>
      </c>
      <c r="M1099" t="str">
        <f>VLOOKUP(D1103,Restaurant_Master!A:B,2,FALSE)</f>
        <v>https://media-cdn.tripadvisor.com/media/photo-s/1c/c7/97/b6/photo6jpg.jpg</v>
      </c>
    </row>
    <row r="1100" spans="1:13" x14ac:dyDescent="0.3">
      <c r="A1100" t="s">
        <v>1130</v>
      </c>
      <c r="B1100" s="1">
        <v>45388</v>
      </c>
      <c r="C1100" t="s">
        <v>43</v>
      </c>
      <c r="D1100" t="s">
        <v>32</v>
      </c>
      <c r="E1100">
        <v>45</v>
      </c>
      <c r="F1100" t="s">
        <v>28</v>
      </c>
      <c r="G1100">
        <v>723.46</v>
      </c>
      <c r="H1100">
        <v>51</v>
      </c>
      <c r="I1100" t="s">
        <v>16</v>
      </c>
      <c r="J1100">
        <v>3.3</v>
      </c>
      <c r="K1100" t="s">
        <v>41</v>
      </c>
      <c r="L1100" t="s">
        <v>18</v>
      </c>
      <c r="M1100" t="str">
        <f>VLOOKUP(D1104,Restaurant_Master!A:B,2,FALSE)</f>
        <v>https://dynamic-media-cdn.tripadvisor.com/media/photo-o/1c/e7/04/0d/front-of-the-local-easily.jpg</v>
      </c>
    </row>
    <row r="1101" spans="1:13" x14ac:dyDescent="0.3">
      <c r="A1101" t="s">
        <v>1131</v>
      </c>
      <c r="B1101" s="1">
        <v>45570</v>
      </c>
      <c r="C1101" t="s">
        <v>36</v>
      </c>
      <c r="D1101" t="s">
        <v>38</v>
      </c>
      <c r="E1101">
        <v>49</v>
      </c>
      <c r="F1101" t="s">
        <v>15</v>
      </c>
      <c r="G1101">
        <v>447.52</v>
      </c>
      <c r="H1101">
        <v>47</v>
      </c>
      <c r="I1101" t="s">
        <v>16</v>
      </c>
      <c r="J1101">
        <v>4.4000000000000004</v>
      </c>
      <c r="K1101" t="s">
        <v>41</v>
      </c>
      <c r="L1101" t="s">
        <v>18</v>
      </c>
      <c r="M1101" t="str">
        <f>VLOOKUP(D1105,Restaurant_Master!A:B,2,FALSE)</f>
        <v>https://media-cdn.tripadvisor.com/media/photo-s/1c/c7/97/b6/photo6jpg.jpg</v>
      </c>
    </row>
    <row r="1102" spans="1:13" x14ac:dyDescent="0.3">
      <c r="A1102" t="s">
        <v>1132</v>
      </c>
      <c r="B1102" s="1">
        <v>45455</v>
      </c>
      <c r="C1102" t="s">
        <v>36</v>
      </c>
      <c r="D1102" t="s">
        <v>14</v>
      </c>
      <c r="E1102">
        <v>30</v>
      </c>
      <c r="F1102" t="s">
        <v>15</v>
      </c>
      <c r="G1102">
        <v>828.34</v>
      </c>
      <c r="H1102">
        <v>50</v>
      </c>
      <c r="I1102" t="s">
        <v>16</v>
      </c>
      <c r="J1102">
        <v>4.2</v>
      </c>
      <c r="K1102" t="s">
        <v>26</v>
      </c>
      <c r="L1102" t="s">
        <v>23</v>
      </c>
      <c r="M1102" t="str">
        <f>VLOOKUP(D1106,Restaurant_Master!A:B,2,FALSE)</f>
        <v>https://media-cdn.tripadvisor.com/media/photo-s/1c/c7/97/b6/photo6jpg.jpg</v>
      </c>
    </row>
    <row r="1103" spans="1:13" x14ac:dyDescent="0.3">
      <c r="A1103" t="s">
        <v>1133</v>
      </c>
      <c r="B1103" s="1">
        <v>45432</v>
      </c>
      <c r="C1103" t="s">
        <v>20</v>
      </c>
      <c r="D1103" t="s">
        <v>25</v>
      </c>
      <c r="E1103">
        <v>28</v>
      </c>
      <c r="F1103" t="s">
        <v>28</v>
      </c>
      <c r="G1103">
        <v>782.51</v>
      </c>
      <c r="H1103">
        <v>43</v>
      </c>
      <c r="I1103" t="s">
        <v>16</v>
      </c>
      <c r="J1103">
        <v>2.6</v>
      </c>
      <c r="K1103" t="s">
        <v>17</v>
      </c>
      <c r="L1103" t="s">
        <v>18</v>
      </c>
      <c r="M1103" t="str">
        <f>VLOOKUP(D1107,Restaurant_Master!A:B,2,FALSE)</f>
        <v>https://www.chatswoodinterchange.com/storages/2018/08/Sushi-World_666x448.jpg</v>
      </c>
    </row>
    <row r="1104" spans="1:13" x14ac:dyDescent="0.3">
      <c r="A1104" t="s">
        <v>1134</v>
      </c>
      <c r="B1104" s="1">
        <v>45488</v>
      </c>
      <c r="C1104" t="s">
        <v>34</v>
      </c>
      <c r="D1104" t="s">
        <v>21</v>
      </c>
      <c r="E1104">
        <v>18</v>
      </c>
      <c r="F1104" t="s">
        <v>28</v>
      </c>
      <c r="G1104">
        <v>1161.42</v>
      </c>
      <c r="H1104">
        <v>36</v>
      </c>
      <c r="I1104" t="s">
        <v>22</v>
      </c>
      <c r="J1104">
        <v>4</v>
      </c>
      <c r="K1104" t="s">
        <v>26</v>
      </c>
      <c r="L1104" t="s">
        <v>18</v>
      </c>
      <c r="M1104" t="str">
        <f>VLOOKUP(D1108,Restaurant_Master!A:B,2,FALSE)</f>
        <v>https://content.jdmagicbox.com/comp/deoria/g6/9999p5568.5568.200119143033.m4g6/catalogue/biryani-house-deoria-ho-deoria-mktc2xph0o.jpg</v>
      </c>
    </row>
    <row r="1105" spans="1:13" x14ac:dyDescent="0.3">
      <c r="A1105" t="s">
        <v>1135</v>
      </c>
      <c r="B1105" s="1">
        <v>45613</v>
      </c>
      <c r="C1105" t="s">
        <v>36</v>
      </c>
      <c r="D1105" t="s">
        <v>25</v>
      </c>
      <c r="E1105">
        <v>20</v>
      </c>
      <c r="F1105" t="s">
        <v>15</v>
      </c>
      <c r="G1105">
        <v>495.06</v>
      </c>
      <c r="H1105">
        <v>31</v>
      </c>
      <c r="I1105" t="s">
        <v>22</v>
      </c>
      <c r="J1105">
        <v>4</v>
      </c>
      <c r="K1105" t="s">
        <v>17</v>
      </c>
      <c r="L1105" t="s">
        <v>18</v>
      </c>
      <c r="M1105" t="str">
        <f>VLOOKUP(D1109,Restaurant_Master!A:B,2,FALSE)</f>
        <v>https://content.jdmagicbox.com/comp/deoria/g6/9999p5568.5568.200119143033.m4g6/catalogue/biryani-house-deoria-ho-deoria-mktc2xph0o.jpg</v>
      </c>
    </row>
    <row r="1106" spans="1:13" x14ac:dyDescent="0.3">
      <c r="A1106" t="s">
        <v>1136</v>
      </c>
      <c r="B1106" s="1">
        <v>45517</v>
      </c>
      <c r="C1106" t="s">
        <v>34</v>
      </c>
      <c r="D1106" t="s">
        <v>25</v>
      </c>
      <c r="E1106">
        <v>20</v>
      </c>
      <c r="F1106" t="s">
        <v>28</v>
      </c>
      <c r="G1106">
        <v>676.25</v>
      </c>
      <c r="H1106">
        <v>50</v>
      </c>
      <c r="I1106" t="s">
        <v>16</v>
      </c>
      <c r="J1106">
        <v>4.2</v>
      </c>
      <c r="K1106" t="s">
        <v>17</v>
      </c>
      <c r="L1106" t="s">
        <v>18</v>
      </c>
      <c r="M1106" t="str">
        <f>VLOOKUP(D1110,Restaurant_Master!A:B,2,FALSE)</f>
        <v>https://media-cdn.tripadvisor.com/media/photo-s/1c/c7/97/b6/photo6jpg.jpg</v>
      </c>
    </row>
    <row r="1107" spans="1:13" x14ac:dyDescent="0.3">
      <c r="A1107" t="s">
        <v>1137</v>
      </c>
      <c r="B1107" s="1">
        <v>45396</v>
      </c>
      <c r="C1107" t="s">
        <v>36</v>
      </c>
      <c r="D1107" t="s">
        <v>38</v>
      </c>
      <c r="E1107">
        <v>56</v>
      </c>
      <c r="F1107" t="s">
        <v>28</v>
      </c>
      <c r="G1107">
        <v>1040.82</v>
      </c>
      <c r="H1107">
        <v>44</v>
      </c>
      <c r="I1107" t="s">
        <v>16</v>
      </c>
      <c r="J1107">
        <v>4.2</v>
      </c>
      <c r="K1107" t="s">
        <v>29</v>
      </c>
      <c r="L1107" t="s">
        <v>18</v>
      </c>
      <c r="M1107" t="str">
        <f>VLOOKUP(D1111,Restaurant_Master!A:B,2,FALSE)</f>
        <v>https://media-cdn.tripadvisor.com/media/photo-s/1c/c7/97/b6/photo6jpg.jpg</v>
      </c>
    </row>
    <row r="1108" spans="1:13" x14ac:dyDescent="0.3">
      <c r="A1108" t="s">
        <v>1138</v>
      </c>
      <c r="B1108" s="1">
        <v>45384</v>
      </c>
      <c r="C1108" t="s">
        <v>34</v>
      </c>
      <c r="D1108" t="s">
        <v>32</v>
      </c>
      <c r="E1108">
        <v>20</v>
      </c>
      <c r="F1108" t="s">
        <v>15</v>
      </c>
      <c r="G1108">
        <v>267.95999999999998</v>
      </c>
      <c r="H1108">
        <v>51</v>
      </c>
      <c r="I1108" t="s">
        <v>16</v>
      </c>
      <c r="J1108">
        <v>4.4000000000000004</v>
      </c>
      <c r="K1108" t="s">
        <v>26</v>
      </c>
      <c r="L1108" t="s">
        <v>18</v>
      </c>
      <c r="M1108" t="str">
        <f>VLOOKUP(D1112,Restaurant_Master!A:B,2,FALSE)</f>
        <v>https://content.jdmagicbox.com/comp/deoria/g6/9999p5568.5568.200119143033.m4g6/catalogue/biryani-house-deoria-ho-deoria-mktc2xph0o.jpg</v>
      </c>
    </row>
    <row r="1109" spans="1:13" x14ac:dyDescent="0.3">
      <c r="A1109" t="s">
        <v>1139</v>
      </c>
      <c r="B1109" s="1">
        <v>45355</v>
      </c>
      <c r="C1109" t="s">
        <v>43</v>
      </c>
      <c r="D1109" t="s">
        <v>32</v>
      </c>
      <c r="E1109">
        <v>56</v>
      </c>
      <c r="F1109" t="s">
        <v>15</v>
      </c>
      <c r="G1109">
        <v>654.34</v>
      </c>
      <c r="H1109">
        <v>40</v>
      </c>
      <c r="I1109" t="s">
        <v>22</v>
      </c>
      <c r="J1109">
        <v>3.5</v>
      </c>
      <c r="K1109" t="s">
        <v>17</v>
      </c>
      <c r="L1109" t="s">
        <v>23</v>
      </c>
      <c r="M1109" t="str">
        <f>VLOOKUP(D1113,Restaurant_Master!A:B,2,FALSE)</f>
        <v>https://dineout-media-assets.swiggy.com/swiggy/image/upload/fl_lossy,f_auto,q_auto/v1660793737/fdqxvxcxg1wtdwvyv45v.jpg</v>
      </c>
    </row>
    <row r="1110" spans="1:13" x14ac:dyDescent="0.3">
      <c r="A1110" t="s">
        <v>1140</v>
      </c>
      <c r="B1110" s="1">
        <v>45301</v>
      </c>
      <c r="C1110" t="s">
        <v>34</v>
      </c>
      <c r="D1110" t="s">
        <v>25</v>
      </c>
      <c r="E1110">
        <v>56</v>
      </c>
      <c r="F1110" t="s">
        <v>15</v>
      </c>
      <c r="G1110">
        <v>790.55</v>
      </c>
      <c r="H1110">
        <v>23</v>
      </c>
      <c r="I1110" t="s">
        <v>22</v>
      </c>
      <c r="J1110">
        <v>2.5</v>
      </c>
      <c r="K1110" t="s">
        <v>29</v>
      </c>
      <c r="L1110" t="s">
        <v>18</v>
      </c>
      <c r="M1110" t="str">
        <f>VLOOKUP(D1114,Restaurant_Master!A:B,2,FALSE)</f>
        <v>https://media-cdn.tripadvisor.com/media/photo-s/1c/c7/97/b6/photo6jpg.jpg</v>
      </c>
    </row>
    <row r="1111" spans="1:13" x14ac:dyDescent="0.3">
      <c r="A1111" t="s">
        <v>1141</v>
      </c>
      <c r="B1111" s="1">
        <v>45635</v>
      </c>
      <c r="C1111" t="s">
        <v>20</v>
      </c>
      <c r="D1111" t="s">
        <v>25</v>
      </c>
      <c r="E1111">
        <v>42</v>
      </c>
      <c r="F1111" t="s">
        <v>15</v>
      </c>
      <c r="G1111">
        <v>776.1</v>
      </c>
      <c r="H1111">
        <v>39</v>
      </c>
      <c r="I1111" t="s">
        <v>22</v>
      </c>
      <c r="J1111">
        <v>4.8</v>
      </c>
      <c r="K1111" t="s">
        <v>17</v>
      </c>
      <c r="L1111" t="s">
        <v>18</v>
      </c>
      <c r="M1111" t="str">
        <f>VLOOKUP(D1115,Restaurant_Master!A:B,2,FALSE)</f>
        <v>https://content.jdmagicbox.com/comp/deoria/g6/9999p5568.5568.200119143033.m4g6/catalogue/biryani-house-deoria-ho-deoria-mktc2xph0o.jpg</v>
      </c>
    </row>
    <row r="1112" spans="1:13" x14ac:dyDescent="0.3">
      <c r="A1112" t="s">
        <v>1142</v>
      </c>
      <c r="B1112" s="1">
        <v>45396</v>
      </c>
      <c r="C1112" t="s">
        <v>36</v>
      </c>
      <c r="D1112" t="s">
        <v>32</v>
      </c>
      <c r="E1112">
        <v>32</v>
      </c>
      <c r="F1112" t="s">
        <v>28</v>
      </c>
      <c r="G1112">
        <v>634.33000000000004</v>
      </c>
      <c r="H1112">
        <v>32</v>
      </c>
      <c r="I1112" t="s">
        <v>22</v>
      </c>
      <c r="J1112">
        <v>2.5</v>
      </c>
      <c r="K1112" t="s">
        <v>29</v>
      </c>
      <c r="L1112" t="s">
        <v>23</v>
      </c>
      <c r="M1112" t="str">
        <f>VLOOKUP(D1116,Restaurant_Master!A:B,2,FALSE)</f>
        <v>https://media-cdn.tripadvisor.com/media/photo-s/1c/c7/97/b6/photo6jpg.jpg</v>
      </c>
    </row>
    <row r="1113" spans="1:13" x14ac:dyDescent="0.3">
      <c r="A1113" t="s">
        <v>1143</v>
      </c>
      <c r="B1113" s="1">
        <v>45391</v>
      </c>
      <c r="C1113" t="s">
        <v>34</v>
      </c>
      <c r="D1113" t="s">
        <v>14</v>
      </c>
      <c r="E1113">
        <v>54</v>
      </c>
      <c r="F1113" t="s">
        <v>15</v>
      </c>
      <c r="G1113">
        <v>312.63</v>
      </c>
      <c r="H1113">
        <v>38</v>
      </c>
      <c r="I1113" t="s">
        <v>22</v>
      </c>
      <c r="J1113">
        <v>3.2</v>
      </c>
      <c r="K1113" t="s">
        <v>29</v>
      </c>
      <c r="L1113" t="s">
        <v>23</v>
      </c>
      <c r="M1113" t="str">
        <f>VLOOKUP(D1117,Restaurant_Master!A:B,2,FALSE)</f>
        <v>https://dineout-media-assets.swiggy.com/swiggy/image/upload/fl_lossy,f_auto,q_auto/v1660793737/fdqxvxcxg1wtdwvyv45v.jpg</v>
      </c>
    </row>
    <row r="1114" spans="1:13" x14ac:dyDescent="0.3">
      <c r="A1114" t="s">
        <v>1144</v>
      </c>
      <c r="B1114" s="1">
        <v>45544</v>
      </c>
      <c r="C1114" t="s">
        <v>20</v>
      </c>
      <c r="D1114" t="s">
        <v>25</v>
      </c>
      <c r="E1114">
        <v>50</v>
      </c>
      <c r="F1114" t="s">
        <v>15</v>
      </c>
      <c r="G1114">
        <v>437.89</v>
      </c>
      <c r="H1114">
        <v>21</v>
      </c>
      <c r="I1114" t="s">
        <v>22</v>
      </c>
      <c r="J1114">
        <v>4.2</v>
      </c>
      <c r="K1114" t="s">
        <v>41</v>
      </c>
      <c r="L1114" t="s">
        <v>18</v>
      </c>
      <c r="M1114" t="str">
        <f>VLOOKUP(D1118,Restaurant_Master!A:B,2,FALSE)</f>
        <v>https://media-cdn.tripadvisor.com/media/photo-s/1c/c7/97/b6/photo6jpg.jpg</v>
      </c>
    </row>
    <row r="1115" spans="1:13" x14ac:dyDescent="0.3">
      <c r="A1115" t="s">
        <v>1145</v>
      </c>
      <c r="B1115" s="1">
        <v>45448</v>
      </c>
      <c r="C1115" t="s">
        <v>36</v>
      </c>
      <c r="D1115" t="s">
        <v>32</v>
      </c>
      <c r="E1115">
        <v>44</v>
      </c>
      <c r="F1115" t="s">
        <v>28</v>
      </c>
      <c r="G1115">
        <v>850.46</v>
      </c>
      <c r="H1115">
        <v>24</v>
      </c>
      <c r="I1115" t="s">
        <v>22</v>
      </c>
      <c r="J1115">
        <v>2.7</v>
      </c>
      <c r="K1115" t="s">
        <v>29</v>
      </c>
      <c r="L1115" t="s">
        <v>18</v>
      </c>
      <c r="M1115" t="str">
        <f>VLOOKUP(D1119,Restaurant_Master!A:B,2,FALSE)</f>
        <v>https://www.chatswoodinterchange.com/storages/2018/08/Sushi-World_666x448.jpg</v>
      </c>
    </row>
    <row r="1116" spans="1:13" x14ac:dyDescent="0.3">
      <c r="A1116" t="s">
        <v>1146</v>
      </c>
      <c r="B1116" s="1">
        <v>45367</v>
      </c>
      <c r="C1116" t="s">
        <v>13</v>
      </c>
      <c r="D1116" t="s">
        <v>25</v>
      </c>
      <c r="E1116">
        <v>52</v>
      </c>
      <c r="F1116" t="s">
        <v>28</v>
      </c>
      <c r="G1116">
        <v>716.64</v>
      </c>
      <c r="H1116">
        <v>57</v>
      </c>
      <c r="I1116" t="s">
        <v>16</v>
      </c>
      <c r="J1116">
        <v>4.2</v>
      </c>
      <c r="K1116" t="s">
        <v>26</v>
      </c>
      <c r="L1116" t="s">
        <v>18</v>
      </c>
      <c r="M1116" t="str">
        <f>VLOOKUP(D1120,Restaurant_Master!A:B,2,FALSE)</f>
        <v>https://dineout-media-assets.swiggy.com/swiggy/image/upload/fl_lossy,f_auto,q_auto/v1660793737/fdqxvxcxg1wtdwvyv45v.jpg</v>
      </c>
    </row>
    <row r="1117" spans="1:13" x14ac:dyDescent="0.3">
      <c r="A1117" t="s">
        <v>1147</v>
      </c>
      <c r="B1117" s="1">
        <v>45579</v>
      </c>
      <c r="C1117" t="s">
        <v>36</v>
      </c>
      <c r="D1117" t="s">
        <v>14</v>
      </c>
      <c r="E1117">
        <v>43</v>
      </c>
      <c r="F1117" t="s">
        <v>15</v>
      </c>
      <c r="G1117">
        <v>317.49</v>
      </c>
      <c r="H1117">
        <v>22</v>
      </c>
      <c r="I1117" t="s">
        <v>22</v>
      </c>
      <c r="J1117">
        <v>4.5</v>
      </c>
      <c r="K1117" t="s">
        <v>41</v>
      </c>
      <c r="L1117" t="s">
        <v>23</v>
      </c>
      <c r="M1117" t="str">
        <f>VLOOKUP(D1121,Restaurant_Master!A:B,2,FALSE)</f>
        <v>https://dineout-media-assets.swiggy.com/swiggy/image/upload/fl_lossy,f_auto,q_auto/v1660793737/fdqxvxcxg1wtdwvyv45v.jpg</v>
      </c>
    </row>
    <row r="1118" spans="1:13" x14ac:dyDescent="0.3">
      <c r="A1118" t="s">
        <v>1148</v>
      </c>
      <c r="B1118" s="1">
        <v>45307</v>
      </c>
      <c r="C1118" t="s">
        <v>13</v>
      </c>
      <c r="D1118" t="s">
        <v>25</v>
      </c>
      <c r="E1118">
        <v>38</v>
      </c>
      <c r="F1118" t="s">
        <v>15</v>
      </c>
      <c r="G1118">
        <v>541.36</v>
      </c>
      <c r="H1118">
        <v>41</v>
      </c>
      <c r="I1118" t="s">
        <v>16</v>
      </c>
      <c r="J1118">
        <v>4.7</v>
      </c>
      <c r="K1118" t="s">
        <v>26</v>
      </c>
      <c r="L1118" t="s">
        <v>23</v>
      </c>
      <c r="M1118" t="str">
        <f>VLOOKUP(D1122,Restaurant_Master!A:B,2,FALSE)</f>
        <v>https://www.chatswoodinterchange.com/storages/2018/08/Sushi-World_666x448.jpg</v>
      </c>
    </row>
    <row r="1119" spans="1:13" x14ac:dyDescent="0.3">
      <c r="A1119" t="s">
        <v>1149</v>
      </c>
      <c r="B1119" s="1">
        <v>45418</v>
      </c>
      <c r="C1119" t="s">
        <v>43</v>
      </c>
      <c r="D1119" t="s">
        <v>38</v>
      </c>
      <c r="E1119">
        <v>43</v>
      </c>
      <c r="F1119" t="s">
        <v>15</v>
      </c>
      <c r="G1119">
        <v>452.39</v>
      </c>
      <c r="H1119">
        <v>41</v>
      </c>
      <c r="I1119" t="s">
        <v>16</v>
      </c>
      <c r="J1119">
        <v>2.7</v>
      </c>
      <c r="K1119" t="s">
        <v>41</v>
      </c>
      <c r="L1119" t="s">
        <v>18</v>
      </c>
      <c r="M1119" t="str">
        <f>VLOOKUP(D1123,Restaurant_Master!A:B,2,FALSE)</f>
        <v>https://content.jdmagicbox.com/comp/deoria/g6/9999p5568.5568.200119143033.m4g6/catalogue/biryani-house-deoria-ho-deoria-mktc2xph0o.jpg</v>
      </c>
    </row>
    <row r="1120" spans="1:13" x14ac:dyDescent="0.3">
      <c r="A1120" t="s">
        <v>1150</v>
      </c>
      <c r="B1120" s="1">
        <v>45467</v>
      </c>
      <c r="C1120" t="s">
        <v>36</v>
      </c>
      <c r="D1120" t="s">
        <v>14</v>
      </c>
      <c r="E1120">
        <v>21</v>
      </c>
      <c r="F1120" t="s">
        <v>28</v>
      </c>
      <c r="G1120">
        <v>521.79</v>
      </c>
      <c r="H1120">
        <v>48</v>
      </c>
      <c r="I1120" t="s">
        <v>16</v>
      </c>
      <c r="J1120">
        <v>3.9</v>
      </c>
      <c r="K1120" t="s">
        <v>29</v>
      </c>
      <c r="L1120" t="s">
        <v>18</v>
      </c>
      <c r="M1120" t="str">
        <f>VLOOKUP(D1124,Restaurant_Master!A:B,2,FALSE)</f>
        <v>https://www.chatswoodinterchange.com/storages/2018/08/Sushi-World_666x448.jpg</v>
      </c>
    </row>
    <row r="1121" spans="1:13" x14ac:dyDescent="0.3">
      <c r="A1121" t="s">
        <v>1151</v>
      </c>
      <c r="B1121" s="1">
        <v>45652</v>
      </c>
      <c r="C1121" t="s">
        <v>43</v>
      </c>
      <c r="D1121" t="s">
        <v>14</v>
      </c>
      <c r="E1121">
        <v>52</v>
      </c>
      <c r="F1121" t="s">
        <v>15</v>
      </c>
      <c r="G1121">
        <v>550.85</v>
      </c>
      <c r="H1121">
        <v>57</v>
      </c>
      <c r="I1121" t="s">
        <v>16</v>
      </c>
      <c r="J1121">
        <v>4.2</v>
      </c>
      <c r="K1121" t="s">
        <v>26</v>
      </c>
      <c r="L1121" t="s">
        <v>18</v>
      </c>
      <c r="M1121" t="str">
        <f>VLOOKUP(D1125,Restaurant_Master!A:B,2,FALSE)</f>
        <v>https://www.chatswoodinterchange.com/storages/2018/08/Sushi-World_666x448.jpg</v>
      </c>
    </row>
    <row r="1122" spans="1:13" x14ac:dyDescent="0.3">
      <c r="A1122" t="s">
        <v>1152</v>
      </c>
      <c r="B1122" s="1">
        <v>45322</v>
      </c>
      <c r="C1122" t="s">
        <v>43</v>
      </c>
      <c r="D1122" t="s">
        <v>38</v>
      </c>
      <c r="E1122">
        <v>60</v>
      </c>
      <c r="F1122" t="s">
        <v>15</v>
      </c>
      <c r="G1122">
        <v>412.52</v>
      </c>
      <c r="H1122">
        <v>59</v>
      </c>
      <c r="I1122" t="s">
        <v>16</v>
      </c>
      <c r="J1122">
        <v>3.5</v>
      </c>
      <c r="K1122" t="s">
        <v>26</v>
      </c>
      <c r="L1122" t="s">
        <v>23</v>
      </c>
      <c r="M1122" t="str">
        <f>VLOOKUP(D1126,Restaurant_Master!A:B,2,FALSE)</f>
        <v>https://content.jdmagicbox.com/comp/deoria/g6/9999p5568.5568.200119143033.m4g6/catalogue/biryani-house-deoria-ho-deoria-mktc2xph0o.jpg</v>
      </c>
    </row>
    <row r="1123" spans="1:13" x14ac:dyDescent="0.3">
      <c r="A1123" t="s">
        <v>1153</v>
      </c>
      <c r="B1123" s="1">
        <v>45642</v>
      </c>
      <c r="C1123" t="s">
        <v>34</v>
      </c>
      <c r="D1123" t="s">
        <v>32</v>
      </c>
      <c r="E1123">
        <v>29</v>
      </c>
      <c r="F1123" t="s">
        <v>28</v>
      </c>
      <c r="G1123">
        <v>333.92</v>
      </c>
      <c r="H1123">
        <v>20</v>
      </c>
      <c r="I1123" t="s">
        <v>22</v>
      </c>
      <c r="J1123">
        <v>2.9</v>
      </c>
      <c r="K1123" t="s">
        <v>26</v>
      </c>
      <c r="L1123" t="s">
        <v>18</v>
      </c>
      <c r="M1123" t="str">
        <f>VLOOKUP(D1127,Restaurant_Master!A:B,2,FALSE)</f>
        <v>https://www.chatswoodinterchange.com/storages/2018/08/Sushi-World_666x448.jpg</v>
      </c>
    </row>
    <row r="1124" spans="1:13" x14ac:dyDescent="0.3">
      <c r="A1124" t="s">
        <v>1154</v>
      </c>
      <c r="B1124" s="1">
        <v>45494</v>
      </c>
      <c r="C1124" t="s">
        <v>36</v>
      </c>
      <c r="D1124" t="s">
        <v>38</v>
      </c>
      <c r="E1124">
        <v>24</v>
      </c>
      <c r="F1124" t="s">
        <v>28</v>
      </c>
      <c r="G1124">
        <v>1063.67</v>
      </c>
      <c r="H1124">
        <v>29</v>
      </c>
      <c r="I1124" t="s">
        <v>22</v>
      </c>
      <c r="J1124">
        <v>2.7</v>
      </c>
      <c r="K1124" t="s">
        <v>41</v>
      </c>
      <c r="L1124" t="s">
        <v>18</v>
      </c>
      <c r="M1124" t="str">
        <f>VLOOKUP(D1128,Restaurant_Master!A:B,2,FALSE)</f>
        <v>https://www.chatswoodinterchange.com/storages/2018/08/Sushi-World_666x448.jpg</v>
      </c>
    </row>
    <row r="1125" spans="1:13" x14ac:dyDescent="0.3">
      <c r="A1125" t="s">
        <v>1155</v>
      </c>
      <c r="B1125" s="1">
        <v>45323</v>
      </c>
      <c r="C1125" t="s">
        <v>36</v>
      </c>
      <c r="D1125" t="s">
        <v>38</v>
      </c>
      <c r="E1125">
        <v>30</v>
      </c>
      <c r="F1125" t="s">
        <v>15</v>
      </c>
      <c r="G1125">
        <v>254</v>
      </c>
      <c r="H1125">
        <v>27</v>
      </c>
      <c r="I1125" t="s">
        <v>22</v>
      </c>
      <c r="J1125">
        <v>3</v>
      </c>
      <c r="K1125" t="s">
        <v>29</v>
      </c>
      <c r="L1125" t="s">
        <v>23</v>
      </c>
      <c r="M1125" t="str">
        <f>VLOOKUP(D1129,Restaurant_Master!A:B,2,FALSE)</f>
        <v>https://dineout-media-assets.swiggy.com/swiggy/image/upload/fl_lossy,f_auto,q_auto/v1660793737/fdqxvxcxg1wtdwvyv45v.jpg</v>
      </c>
    </row>
    <row r="1126" spans="1:13" x14ac:dyDescent="0.3">
      <c r="A1126" t="s">
        <v>1156</v>
      </c>
      <c r="B1126" s="1">
        <v>45540</v>
      </c>
      <c r="C1126" t="s">
        <v>36</v>
      </c>
      <c r="D1126" t="s">
        <v>32</v>
      </c>
      <c r="E1126">
        <v>26</v>
      </c>
      <c r="F1126" t="s">
        <v>15</v>
      </c>
      <c r="G1126">
        <v>397.69</v>
      </c>
      <c r="H1126">
        <v>39</v>
      </c>
      <c r="I1126" t="s">
        <v>22</v>
      </c>
      <c r="J1126">
        <v>3.6</v>
      </c>
      <c r="K1126" t="s">
        <v>17</v>
      </c>
      <c r="L1126" t="s">
        <v>23</v>
      </c>
      <c r="M1126" t="str">
        <f>VLOOKUP(D1130,Restaurant_Master!A:B,2,FALSE)</f>
        <v>https://dineout-media-assets.swiggy.com/swiggy/image/upload/fl_lossy,f_auto,q_auto/v1660793737/fdqxvxcxg1wtdwvyv45v.jpg</v>
      </c>
    </row>
    <row r="1127" spans="1:13" x14ac:dyDescent="0.3">
      <c r="A1127" t="s">
        <v>1157</v>
      </c>
      <c r="B1127" s="1">
        <v>45477</v>
      </c>
      <c r="C1127" t="s">
        <v>13</v>
      </c>
      <c r="D1127" t="s">
        <v>38</v>
      </c>
      <c r="E1127">
        <v>44</v>
      </c>
      <c r="F1127" t="s">
        <v>15</v>
      </c>
      <c r="G1127">
        <v>839.7</v>
      </c>
      <c r="H1127">
        <v>56</v>
      </c>
      <c r="I1127" t="s">
        <v>16</v>
      </c>
      <c r="J1127">
        <v>3</v>
      </c>
      <c r="K1127" t="s">
        <v>29</v>
      </c>
      <c r="L1127" t="s">
        <v>23</v>
      </c>
      <c r="M1127" t="str">
        <f>VLOOKUP(D1131,Restaurant_Master!A:B,2,FALSE)</f>
        <v>https://media-cdn.tripadvisor.com/media/photo-s/1c/c7/97/b6/photo6jpg.jpg</v>
      </c>
    </row>
    <row r="1128" spans="1:13" x14ac:dyDescent="0.3">
      <c r="A1128" t="s">
        <v>1158</v>
      </c>
      <c r="B1128" s="1">
        <v>45495</v>
      </c>
      <c r="C1128" t="s">
        <v>13</v>
      </c>
      <c r="D1128" t="s">
        <v>38</v>
      </c>
      <c r="E1128">
        <v>31</v>
      </c>
      <c r="F1128" t="s">
        <v>28</v>
      </c>
      <c r="G1128">
        <v>779.08</v>
      </c>
      <c r="H1128">
        <v>36</v>
      </c>
      <c r="I1128" t="s">
        <v>22</v>
      </c>
      <c r="J1128">
        <v>4</v>
      </c>
      <c r="K1128" t="s">
        <v>26</v>
      </c>
      <c r="L1128" t="s">
        <v>23</v>
      </c>
      <c r="M1128" t="str">
        <f>VLOOKUP(D1132,Restaurant_Master!A:B,2,FALSE)</f>
        <v>https://dineout-media-assets.swiggy.com/swiggy/image/upload/fl_lossy,f_auto,q_auto/v1660793737/fdqxvxcxg1wtdwvyv45v.jpg</v>
      </c>
    </row>
    <row r="1129" spans="1:13" x14ac:dyDescent="0.3">
      <c r="A1129" t="s">
        <v>1159</v>
      </c>
      <c r="B1129" s="1">
        <v>45371</v>
      </c>
      <c r="C1129" t="s">
        <v>36</v>
      </c>
      <c r="D1129" t="s">
        <v>14</v>
      </c>
      <c r="E1129">
        <v>58</v>
      </c>
      <c r="F1129" t="s">
        <v>28</v>
      </c>
      <c r="G1129">
        <v>722.52</v>
      </c>
      <c r="H1129">
        <v>43</v>
      </c>
      <c r="I1129" t="s">
        <v>16</v>
      </c>
      <c r="J1129">
        <v>3.2</v>
      </c>
      <c r="K1129" t="s">
        <v>26</v>
      </c>
      <c r="L1129" t="s">
        <v>23</v>
      </c>
      <c r="M1129" t="str">
        <f>VLOOKUP(D1133,Restaurant_Master!A:B,2,FALSE)</f>
        <v>https://dineout-media-assets.swiggy.com/swiggy/image/upload/fl_lossy,f_auto,q_auto/v1660793737/fdqxvxcxg1wtdwvyv45v.jpg</v>
      </c>
    </row>
    <row r="1130" spans="1:13" x14ac:dyDescent="0.3">
      <c r="A1130" t="s">
        <v>1160</v>
      </c>
      <c r="B1130" s="1">
        <v>45566</v>
      </c>
      <c r="C1130" t="s">
        <v>36</v>
      </c>
      <c r="D1130" t="s">
        <v>14</v>
      </c>
      <c r="E1130">
        <v>27</v>
      </c>
      <c r="F1130" t="s">
        <v>15</v>
      </c>
      <c r="G1130">
        <v>910.44</v>
      </c>
      <c r="H1130">
        <v>20</v>
      </c>
      <c r="I1130" t="s">
        <v>22</v>
      </c>
      <c r="J1130">
        <v>3.9</v>
      </c>
      <c r="K1130" t="s">
        <v>41</v>
      </c>
      <c r="L1130" t="s">
        <v>23</v>
      </c>
      <c r="M1130" t="str">
        <f>VLOOKUP(D1134,Restaurant_Master!A:B,2,FALSE)</f>
        <v>https://content.jdmagicbox.com/comp/deoria/g6/9999p5568.5568.200119143033.m4g6/catalogue/biryani-house-deoria-ho-deoria-mktc2xph0o.jpg</v>
      </c>
    </row>
    <row r="1131" spans="1:13" x14ac:dyDescent="0.3">
      <c r="A1131" t="s">
        <v>1161</v>
      </c>
      <c r="B1131" s="1">
        <v>45608</v>
      </c>
      <c r="C1131" t="s">
        <v>43</v>
      </c>
      <c r="D1131" t="s">
        <v>25</v>
      </c>
      <c r="E1131">
        <v>60</v>
      </c>
      <c r="F1131" t="s">
        <v>28</v>
      </c>
      <c r="G1131">
        <v>925.43</v>
      </c>
      <c r="H1131">
        <v>45</v>
      </c>
      <c r="I1131" t="s">
        <v>16</v>
      </c>
      <c r="J1131">
        <v>3.4</v>
      </c>
      <c r="K1131" t="s">
        <v>41</v>
      </c>
      <c r="L1131" t="s">
        <v>18</v>
      </c>
      <c r="M1131" t="str">
        <f>VLOOKUP(D1135,Restaurant_Master!A:B,2,FALSE)</f>
        <v>https://www.chatswoodinterchange.com/storages/2018/08/Sushi-World_666x448.jpg</v>
      </c>
    </row>
    <row r="1132" spans="1:13" x14ac:dyDescent="0.3">
      <c r="A1132" t="s">
        <v>1162</v>
      </c>
      <c r="B1132" s="1">
        <v>45326</v>
      </c>
      <c r="C1132" t="s">
        <v>20</v>
      </c>
      <c r="D1132" t="s">
        <v>14</v>
      </c>
      <c r="E1132">
        <v>35</v>
      </c>
      <c r="F1132" t="s">
        <v>15</v>
      </c>
      <c r="G1132">
        <v>158.68</v>
      </c>
      <c r="H1132">
        <v>41</v>
      </c>
      <c r="I1132" t="s">
        <v>16</v>
      </c>
      <c r="J1132">
        <v>3.3</v>
      </c>
      <c r="K1132" t="s">
        <v>17</v>
      </c>
      <c r="L1132" t="s">
        <v>18</v>
      </c>
      <c r="M1132" t="str">
        <f>VLOOKUP(D1136,Restaurant_Master!A:B,2,FALSE)</f>
        <v>https://www.chatswoodinterchange.com/storages/2018/08/Sushi-World_666x448.jpg</v>
      </c>
    </row>
    <row r="1133" spans="1:13" x14ac:dyDescent="0.3">
      <c r="A1133" t="s">
        <v>1163</v>
      </c>
      <c r="B1133" s="1">
        <v>45637</v>
      </c>
      <c r="C1133" t="s">
        <v>36</v>
      </c>
      <c r="D1133" t="s">
        <v>14</v>
      </c>
      <c r="E1133">
        <v>45</v>
      </c>
      <c r="F1133" t="s">
        <v>28</v>
      </c>
      <c r="G1133">
        <v>457.5</v>
      </c>
      <c r="H1133">
        <v>38</v>
      </c>
      <c r="I1133" t="s">
        <v>22</v>
      </c>
      <c r="J1133">
        <v>5</v>
      </c>
      <c r="K1133" t="s">
        <v>41</v>
      </c>
      <c r="L1133" t="s">
        <v>18</v>
      </c>
      <c r="M1133" t="str">
        <f>VLOOKUP(D1137,Restaurant_Master!A:B,2,FALSE)</f>
        <v>https://media-cdn.tripadvisor.com/media/photo-s/1c/c7/97/b6/photo6jpg.jpg</v>
      </c>
    </row>
    <row r="1134" spans="1:13" x14ac:dyDescent="0.3">
      <c r="A1134" t="s">
        <v>1164</v>
      </c>
      <c r="B1134" s="1">
        <v>45380</v>
      </c>
      <c r="C1134" t="s">
        <v>20</v>
      </c>
      <c r="D1134" t="s">
        <v>32</v>
      </c>
      <c r="E1134">
        <v>23</v>
      </c>
      <c r="F1134" t="s">
        <v>15</v>
      </c>
      <c r="G1134">
        <v>900.83</v>
      </c>
      <c r="H1134">
        <v>53</v>
      </c>
      <c r="I1134" t="s">
        <v>16</v>
      </c>
      <c r="J1134">
        <v>3.6</v>
      </c>
      <c r="K1134" t="s">
        <v>41</v>
      </c>
      <c r="L1134" t="s">
        <v>23</v>
      </c>
      <c r="M1134" t="str">
        <f>VLOOKUP(D1138,Restaurant_Master!A:B,2,FALSE)</f>
        <v>https://media-cdn.tripadvisor.com/media/photo-s/1c/c7/97/b6/photo6jpg.jpg</v>
      </c>
    </row>
    <row r="1135" spans="1:13" x14ac:dyDescent="0.3">
      <c r="A1135" t="s">
        <v>1165</v>
      </c>
      <c r="B1135" s="1">
        <v>45656</v>
      </c>
      <c r="C1135" t="s">
        <v>34</v>
      </c>
      <c r="D1135" t="s">
        <v>38</v>
      </c>
      <c r="E1135">
        <v>51</v>
      </c>
      <c r="F1135" t="s">
        <v>15</v>
      </c>
      <c r="G1135">
        <v>442.94</v>
      </c>
      <c r="H1135">
        <v>21</v>
      </c>
      <c r="I1135" t="s">
        <v>22</v>
      </c>
      <c r="J1135">
        <v>2.6</v>
      </c>
      <c r="K1135" t="s">
        <v>29</v>
      </c>
      <c r="L1135" t="s">
        <v>23</v>
      </c>
      <c r="M1135" t="str">
        <f>VLOOKUP(D1139,Restaurant_Master!A:B,2,FALSE)</f>
        <v>https://media-cdn.tripadvisor.com/media/photo-s/1c/c7/97/b6/photo6jpg.jpg</v>
      </c>
    </row>
    <row r="1136" spans="1:13" x14ac:dyDescent="0.3">
      <c r="A1136" t="s">
        <v>1166</v>
      </c>
      <c r="B1136" s="1">
        <v>45463</v>
      </c>
      <c r="C1136" t="s">
        <v>13</v>
      </c>
      <c r="D1136" t="s">
        <v>38</v>
      </c>
      <c r="E1136">
        <v>41</v>
      </c>
      <c r="F1136" t="s">
        <v>28</v>
      </c>
      <c r="G1136">
        <v>717.61</v>
      </c>
      <c r="H1136">
        <v>24</v>
      </c>
      <c r="I1136" t="s">
        <v>22</v>
      </c>
      <c r="J1136">
        <v>3.4</v>
      </c>
      <c r="K1136" t="s">
        <v>26</v>
      </c>
      <c r="L1136" t="s">
        <v>23</v>
      </c>
      <c r="M1136" t="str">
        <f>VLOOKUP(D1140,Restaurant_Master!A:B,2,FALSE)</f>
        <v>https://www.chatswoodinterchange.com/storages/2018/08/Sushi-World_666x448.jpg</v>
      </c>
    </row>
    <row r="1137" spans="1:13" x14ac:dyDescent="0.3">
      <c r="A1137" t="s">
        <v>1167</v>
      </c>
      <c r="B1137" s="1">
        <v>45614</v>
      </c>
      <c r="C1137" t="s">
        <v>13</v>
      </c>
      <c r="D1137" t="s">
        <v>25</v>
      </c>
      <c r="E1137">
        <v>23</v>
      </c>
      <c r="F1137" t="s">
        <v>15</v>
      </c>
      <c r="G1137">
        <v>168.84</v>
      </c>
      <c r="H1137">
        <v>47</v>
      </c>
      <c r="I1137" t="s">
        <v>16</v>
      </c>
      <c r="J1137">
        <v>3.1</v>
      </c>
      <c r="K1137" t="s">
        <v>29</v>
      </c>
      <c r="L1137" t="s">
        <v>18</v>
      </c>
      <c r="M1137" t="str">
        <f>VLOOKUP(D1141,Restaurant_Master!A:B,2,FALSE)</f>
        <v>https://www.chatswoodinterchange.com/storages/2018/08/Sushi-World_666x448.jpg</v>
      </c>
    </row>
    <row r="1138" spans="1:13" x14ac:dyDescent="0.3">
      <c r="A1138" t="s">
        <v>1168</v>
      </c>
      <c r="B1138" s="1">
        <v>45357</v>
      </c>
      <c r="C1138" t="s">
        <v>43</v>
      </c>
      <c r="D1138" t="s">
        <v>25</v>
      </c>
      <c r="E1138">
        <v>59</v>
      </c>
      <c r="F1138" t="s">
        <v>28</v>
      </c>
      <c r="G1138">
        <v>400.86</v>
      </c>
      <c r="H1138">
        <v>40</v>
      </c>
      <c r="I1138" t="s">
        <v>22</v>
      </c>
      <c r="J1138">
        <v>2.8</v>
      </c>
      <c r="K1138" t="s">
        <v>41</v>
      </c>
      <c r="L1138" t="s">
        <v>18</v>
      </c>
      <c r="M1138" t="str">
        <f>VLOOKUP(D1142,Restaurant_Master!A:B,2,FALSE)</f>
        <v>https://dineout-media-assets.swiggy.com/swiggy/image/upload/fl_lossy,f_auto,q_auto/v1660793737/fdqxvxcxg1wtdwvyv45v.jpg</v>
      </c>
    </row>
    <row r="1139" spans="1:13" x14ac:dyDescent="0.3">
      <c r="A1139" t="s">
        <v>1169</v>
      </c>
      <c r="B1139" s="1">
        <v>45567</v>
      </c>
      <c r="C1139" t="s">
        <v>20</v>
      </c>
      <c r="D1139" t="s">
        <v>25</v>
      </c>
      <c r="E1139">
        <v>50</v>
      </c>
      <c r="F1139" t="s">
        <v>28</v>
      </c>
      <c r="G1139">
        <v>1157.58</v>
      </c>
      <c r="H1139">
        <v>48</v>
      </c>
      <c r="I1139" t="s">
        <v>16</v>
      </c>
      <c r="J1139">
        <v>3.8</v>
      </c>
      <c r="K1139" t="s">
        <v>26</v>
      </c>
      <c r="L1139" t="s">
        <v>18</v>
      </c>
      <c r="M1139" t="str">
        <f>VLOOKUP(D1143,Restaurant_Master!A:B,2,FALSE)</f>
        <v>https://dineout-media-assets.swiggy.com/swiggy/image/upload/fl_lossy,f_auto,q_auto/v1660793737/fdqxvxcxg1wtdwvyv45v.jpg</v>
      </c>
    </row>
    <row r="1140" spans="1:13" x14ac:dyDescent="0.3">
      <c r="A1140" t="s">
        <v>1170</v>
      </c>
      <c r="B1140" s="1">
        <v>45602</v>
      </c>
      <c r="C1140" t="s">
        <v>43</v>
      </c>
      <c r="D1140" t="s">
        <v>38</v>
      </c>
      <c r="E1140">
        <v>29</v>
      </c>
      <c r="F1140" t="s">
        <v>15</v>
      </c>
      <c r="G1140">
        <v>359.74</v>
      </c>
      <c r="H1140">
        <v>59</v>
      </c>
      <c r="I1140" t="s">
        <v>16</v>
      </c>
      <c r="J1140">
        <v>4.3</v>
      </c>
      <c r="K1140" t="s">
        <v>26</v>
      </c>
      <c r="L1140" t="s">
        <v>18</v>
      </c>
      <c r="M1140" t="str">
        <f>VLOOKUP(D1144,Restaurant_Master!A:B,2,FALSE)</f>
        <v>https://dineout-media-assets.swiggy.com/swiggy/image/upload/fl_lossy,f_auto,q_auto/v1660793737/fdqxvxcxg1wtdwvyv45v.jpg</v>
      </c>
    </row>
    <row r="1141" spans="1:13" x14ac:dyDescent="0.3">
      <c r="A1141" t="s">
        <v>1171</v>
      </c>
      <c r="B1141" s="1">
        <v>45353</v>
      </c>
      <c r="C1141" t="s">
        <v>36</v>
      </c>
      <c r="D1141" t="s">
        <v>38</v>
      </c>
      <c r="E1141">
        <v>47</v>
      </c>
      <c r="F1141" t="s">
        <v>15</v>
      </c>
      <c r="G1141">
        <v>692.86</v>
      </c>
      <c r="H1141">
        <v>39</v>
      </c>
      <c r="I1141" t="s">
        <v>22</v>
      </c>
      <c r="J1141">
        <v>3.2</v>
      </c>
      <c r="K1141" t="s">
        <v>29</v>
      </c>
      <c r="L1141" t="s">
        <v>23</v>
      </c>
      <c r="M1141" t="str">
        <f>VLOOKUP(D1145,Restaurant_Master!A:B,2,FALSE)</f>
        <v>https://media-cdn.tripadvisor.com/media/photo-s/1c/c7/97/b6/photo6jpg.jpg</v>
      </c>
    </row>
    <row r="1142" spans="1:13" x14ac:dyDescent="0.3">
      <c r="A1142" t="s">
        <v>1172</v>
      </c>
      <c r="B1142" s="1">
        <v>45344</v>
      </c>
      <c r="C1142" t="s">
        <v>13</v>
      </c>
      <c r="D1142" t="s">
        <v>14</v>
      </c>
      <c r="E1142">
        <v>41</v>
      </c>
      <c r="F1142" t="s">
        <v>15</v>
      </c>
      <c r="G1142">
        <v>1067.24</v>
      </c>
      <c r="H1142">
        <v>50</v>
      </c>
      <c r="I1142" t="s">
        <v>16</v>
      </c>
      <c r="J1142">
        <v>3.2</v>
      </c>
      <c r="K1142" t="s">
        <v>41</v>
      </c>
      <c r="L1142" t="s">
        <v>18</v>
      </c>
      <c r="M1142" t="str">
        <f>VLOOKUP(D1146,Restaurant_Master!A:B,2,FALSE)</f>
        <v>https://dineout-media-assets.swiggy.com/swiggy/image/upload/fl_lossy,f_auto,q_auto/v1660793737/fdqxvxcxg1wtdwvyv45v.jpg</v>
      </c>
    </row>
    <row r="1143" spans="1:13" x14ac:dyDescent="0.3">
      <c r="A1143" t="s">
        <v>1173</v>
      </c>
      <c r="B1143" s="1">
        <v>45318</v>
      </c>
      <c r="C1143" t="s">
        <v>13</v>
      </c>
      <c r="D1143" t="s">
        <v>14</v>
      </c>
      <c r="E1143">
        <v>49</v>
      </c>
      <c r="F1143" t="s">
        <v>15</v>
      </c>
      <c r="G1143">
        <v>952.79</v>
      </c>
      <c r="H1143">
        <v>36</v>
      </c>
      <c r="I1143" t="s">
        <v>22</v>
      </c>
      <c r="J1143">
        <v>3</v>
      </c>
      <c r="K1143" t="s">
        <v>41</v>
      </c>
      <c r="L1143" t="s">
        <v>23</v>
      </c>
      <c r="M1143" t="str">
        <f>VLOOKUP(D1147,Restaurant_Master!A:B,2,FALSE)</f>
        <v>https://media-cdn.tripadvisor.com/media/photo-s/1c/c7/97/b6/photo6jpg.jpg</v>
      </c>
    </row>
    <row r="1144" spans="1:13" x14ac:dyDescent="0.3">
      <c r="A1144" t="s">
        <v>1174</v>
      </c>
      <c r="B1144" s="1">
        <v>45517</v>
      </c>
      <c r="C1144" t="s">
        <v>43</v>
      </c>
      <c r="D1144" t="s">
        <v>14</v>
      </c>
      <c r="E1144">
        <v>38</v>
      </c>
      <c r="F1144" t="s">
        <v>15</v>
      </c>
      <c r="G1144">
        <v>274.82</v>
      </c>
      <c r="H1144">
        <v>43</v>
      </c>
      <c r="I1144" t="s">
        <v>16</v>
      </c>
      <c r="J1144">
        <v>2.6</v>
      </c>
      <c r="K1144" t="s">
        <v>29</v>
      </c>
      <c r="L1144" t="s">
        <v>23</v>
      </c>
      <c r="M1144" t="str">
        <f>VLOOKUP(D1148,Restaurant_Master!A:B,2,FALSE)</f>
        <v>https://media-cdn.tripadvisor.com/media/photo-s/1c/c7/97/b6/photo6jpg.jpg</v>
      </c>
    </row>
    <row r="1145" spans="1:13" x14ac:dyDescent="0.3">
      <c r="A1145" t="s">
        <v>1175</v>
      </c>
      <c r="B1145" s="1">
        <v>45535</v>
      </c>
      <c r="C1145" t="s">
        <v>36</v>
      </c>
      <c r="D1145" t="s">
        <v>25</v>
      </c>
      <c r="E1145">
        <v>23</v>
      </c>
      <c r="F1145" t="s">
        <v>15</v>
      </c>
      <c r="G1145">
        <v>686.73</v>
      </c>
      <c r="H1145">
        <v>39</v>
      </c>
      <c r="I1145" t="s">
        <v>22</v>
      </c>
      <c r="J1145">
        <v>4</v>
      </c>
      <c r="K1145" t="s">
        <v>29</v>
      </c>
      <c r="L1145" t="s">
        <v>23</v>
      </c>
      <c r="M1145" t="str">
        <f>VLOOKUP(D1149,Restaurant_Master!A:B,2,FALSE)</f>
        <v>https://dynamic-media-cdn.tripadvisor.com/media/photo-o/1c/e7/04/0d/front-of-the-local-easily.jpg</v>
      </c>
    </row>
    <row r="1146" spans="1:13" x14ac:dyDescent="0.3">
      <c r="A1146" t="s">
        <v>1176</v>
      </c>
      <c r="B1146" s="1">
        <v>45526</v>
      </c>
      <c r="C1146" t="s">
        <v>13</v>
      </c>
      <c r="D1146" t="s">
        <v>14</v>
      </c>
      <c r="E1146">
        <v>25</v>
      </c>
      <c r="F1146" t="s">
        <v>15</v>
      </c>
      <c r="G1146">
        <v>1139.57</v>
      </c>
      <c r="H1146">
        <v>29</v>
      </c>
      <c r="I1146" t="s">
        <v>22</v>
      </c>
      <c r="J1146">
        <v>3.2</v>
      </c>
      <c r="K1146" t="s">
        <v>41</v>
      </c>
      <c r="L1146" t="s">
        <v>18</v>
      </c>
      <c r="M1146" t="str">
        <f>VLOOKUP(D1150,Restaurant_Master!A:B,2,FALSE)</f>
        <v>https://media-cdn.tripadvisor.com/media/photo-s/1c/c7/97/b6/photo6jpg.jpg</v>
      </c>
    </row>
    <row r="1147" spans="1:13" x14ac:dyDescent="0.3">
      <c r="A1147" t="s">
        <v>1177</v>
      </c>
      <c r="B1147" s="1">
        <v>45391</v>
      </c>
      <c r="C1147" t="s">
        <v>34</v>
      </c>
      <c r="D1147" t="s">
        <v>25</v>
      </c>
      <c r="E1147">
        <v>56</v>
      </c>
      <c r="F1147" t="s">
        <v>15</v>
      </c>
      <c r="G1147">
        <v>1058.33</v>
      </c>
      <c r="H1147">
        <v>38</v>
      </c>
      <c r="I1147" t="s">
        <v>22</v>
      </c>
      <c r="J1147">
        <v>4.8</v>
      </c>
      <c r="K1147" t="s">
        <v>17</v>
      </c>
      <c r="L1147" t="s">
        <v>18</v>
      </c>
      <c r="M1147" t="str">
        <f>VLOOKUP(D1151,Restaurant_Master!A:B,2,FALSE)</f>
        <v>https://www.chatswoodinterchange.com/storages/2018/08/Sushi-World_666x448.jpg</v>
      </c>
    </row>
    <row r="1148" spans="1:13" x14ac:dyDescent="0.3">
      <c r="A1148" t="s">
        <v>1178</v>
      </c>
      <c r="B1148" s="1">
        <v>45333</v>
      </c>
      <c r="C1148" t="s">
        <v>20</v>
      </c>
      <c r="D1148" t="s">
        <v>25</v>
      </c>
      <c r="E1148">
        <v>35</v>
      </c>
      <c r="F1148" t="s">
        <v>15</v>
      </c>
      <c r="G1148">
        <v>353.75</v>
      </c>
      <c r="H1148">
        <v>54</v>
      </c>
      <c r="I1148" t="s">
        <v>16</v>
      </c>
      <c r="J1148">
        <v>2.8</v>
      </c>
      <c r="K1148" t="s">
        <v>29</v>
      </c>
      <c r="L1148" t="s">
        <v>18</v>
      </c>
      <c r="M1148" t="str">
        <f>VLOOKUP(D1152,Restaurant_Master!A:B,2,FALSE)</f>
        <v>https://dineout-media-assets.swiggy.com/swiggy/image/upload/fl_lossy,f_auto,q_auto/v1660793737/fdqxvxcxg1wtdwvyv45v.jpg</v>
      </c>
    </row>
    <row r="1149" spans="1:13" x14ac:dyDescent="0.3">
      <c r="A1149" t="s">
        <v>1179</v>
      </c>
      <c r="B1149" s="1">
        <v>45550</v>
      </c>
      <c r="C1149" t="s">
        <v>36</v>
      </c>
      <c r="D1149" t="s">
        <v>21</v>
      </c>
      <c r="E1149">
        <v>59</v>
      </c>
      <c r="F1149" t="s">
        <v>28</v>
      </c>
      <c r="G1149">
        <v>296.94</v>
      </c>
      <c r="H1149">
        <v>51</v>
      </c>
      <c r="I1149" t="s">
        <v>16</v>
      </c>
      <c r="J1149">
        <v>3.2</v>
      </c>
      <c r="K1149" t="s">
        <v>17</v>
      </c>
      <c r="L1149" t="s">
        <v>18</v>
      </c>
      <c r="M1149" t="str">
        <f>VLOOKUP(D1153,Restaurant_Master!A:B,2,FALSE)</f>
        <v>https://dynamic-media-cdn.tripadvisor.com/media/photo-o/1c/e7/04/0d/front-of-the-local-easily.jpg</v>
      </c>
    </row>
    <row r="1150" spans="1:13" x14ac:dyDescent="0.3">
      <c r="A1150" t="s">
        <v>1180</v>
      </c>
      <c r="B1150" s="1">
        <v>45325</v>
      </c>
      <c r="C1150" t="s">
        <v>43</v>
      </c>
      <c r="D1150" t="s">
        <v>25</v>
      </c>
      <c r="E1150">
        <v>33</v>
      </c>
      <c r="F1150" t="s">
        <v>28</v>
      </c>
      <c r="G1150">
        <v>180.74</v>
      </c>
      <c r="H1150">
        <v>31</v>
      </c>
      <c r="I1150" t="s">
        <v>22</v>
      </c>
      <c r="J1150">
        <v>4.0999999999999996</v>
      </c>
      <c r="K1150" t="s">
        <v>17</v>
      </c>
      <c r="L1150" t="s">
        <v>18</v>
      </c>
      <c r="M1150" t="str">
        <f>VLOOKUP(D1154,Restaurant_Master!A:B,2,FALSE)</f>
        <v>https://content.jdmagicbox.com/comp/deoria/g6/9999p5568.5568.200119143033.m4g6/catalogue/biryani-house-deoria-ho-deoria-mktc2xph0o.jpg</v>
      </c>
    </row>
    <row r="1151" spans="1:13" x14ac:dyDescent="0.3">
      <c r="A1151" t="s">
        <v>1181</v>
      </c>
      <c r="B1151" s="1">
        <v>45652</v>
      </c>
      <c r="C1151" t="s">
        <v>34</v>
      </c>
      <c r="D1151" t="s">
        <v>38</v>
      </c>
      <c r="E1151">
        <v>44</v>
      </c>
      <c r="F1151" t="s">
        <v>28</v>
      </c>
      <c r="G1151">
        <v>545.21</v>
      </c>
      <c r="H1151">
        <v>28</v>
      </c>
      <c r="I1151" t="s">
        <v>22</v>
      </c>
      <c r="J1151">
        <v>3.3</v>
      </c>
      <c r="K1151" t="s">
        <v>17</v>
      </c>
      <c r="L1151" t="s">
        <v>23</v>
      </c>
      <c r="M1151" t="str">
        <f>VLOOKUP(D1155,Restaurant_Master!A:B,2,FALSE)</f>
        <v>https://dynamic-media-cdn.tripadvisor.com/media/photo-o/1c/e7/04/0d/front-of-the-local-easily.jpg</v>
      </c>
    </row>
    <row r="1152" spans="1:13" x14ac:dyDescent="0.3">
      <c r="A1152" t="s">
        <v>1182</v>
      </c>
      <c r="B1152" s="1">
        <v>45319</v>
      </c>
      <c r="C1152" t="s">
        <v>13</v>
      </c>
      <c r="D1152" t="s">
        <v>14</v>
      </c>
      <c r="E1152">
        <v>32</v>
      </c>
      <c r="F1152" t="s">
        <v>15</v>
      </c>
      <c r="G1152">
        <v>389.39</v>
      </c>
      <c r="H1152">
        <v>41</v>
      </c>
      <c r="I1152" t="s">
        <v>16</v>
      </c>
      <c r="J1152">
        <v>4.3</v>
      </c>
      <c r="K1152" t="s">
        <v>29</v>
      </c>
      <c r="L1152" t="s">
        <v>23</v>
      </c>
      <c r="M1152" t="str">
        <f>VLOOKUP(D1156,Restaurant_Master!A:B,2,FALSE)</f>
        <v>https://dineout-media-assets.swiggy.com/swiggy/image/upload/fl_lossy,f_auto,q_auto/v1660793737/fdqxvxcxg1wtdwvyv45v.jpg</v>
      </c>
    </row>
    <row r="1153" spans="1:13" x14ac:dyDescent="0.3">
      <c r="A1153" t="s">
        <v>1183</v>
      </c>
      <c r="B1153" s="1">
        <v>45570</v>
      </c>
      <c r="C1153" t="s">
        <v>43</v>
      </c>
      <c r="D1153" t="s">
        <v>21</v>
      </c>
      <c r="E1153">
        <v>54</v>
      </c>
      <c r="F1153" t="s">
        <v>28</v>
      </c>
      <c r="G1153">
        <v>675.86</v>
      </c>
      <c r="H1153">
        <v>41</v>
      </c>
      <c r="I1153" t="s">
        <v>16</v>
      </c>
      <c r="J1153">
        <v>3.1</v>
      </c>
      <c r="K1153" t="s">
        <v>41</v>
      </c>
      <c r="L1153" t="s">
        <v>18</v>
      </c>
      <c r="M1153" t="str">
        <f>VLOOKUP(D1157,Restaurant_Master!A:B,2,FALSE)</f>
        <v>https://media-cdn.tripadvisor.com/media/photo-s/1c/c7/97/b6/photo6jpg.jpg</v>
      </c>
    </row>
    <row r="1154" spans="1:13" x14ac:dyDescent="0.3">
      <c r="A1154" t="s">
        <v>1184</v>
      </c>
      <c r="B1154" s="1">
        <v>45411</v>
      </c>
      <c r="C1154" t="s">
        <v>43</v>
      </c>
      <c r="D1154" t="s">
        <v>32</v>
      </c>
      <c r="E1154">
        <v>44</v>
      </c>
      <c r="F1154" t="s">
        <v>28</v>
      </c>
      <c r="G1154">
        <v>961.09</v>
      </c>
      <c r="H1154">
        <v>60</v>
      </c>
      <c r="I1154" t="s">
        <v>16</v>
      </c>
      <c r="J1154">
        <v>4.7</v>
      </c>
      <c r="K1154" t="s">
        <v>41</v>
      </c>
      <c r="L1154" t="s">
        <v>23</v>
      </c>
      <c r="M1154" t="str">
        <f>VLOOKUP(D1158,Restaurant_Master!A:B,2,FALSE)</f>
        <v>https://content.jdmagicbox.com/comp/deoria/g6/9999p5568.5568.200119143033.m4g6/catalogue/biryani-house-deoria-ho-deoria-mktc2xph0o.jpg</v>
      </c>
    </row>
    <row r="1155" spans="1:13" x14ac:dyDescent="0.3">
      <c r="A1155" t="s">
        <v>1185</v>
      </c>
      <c r="B1155" s="1">
        <v>45331</v>
      </c>
      <c r="C1155" t="s">
        <v>34</v>
      </c>
      <c r="D1155" t="s">
        <v>21</v>
      </c>
      <c r="E1155">
        <v>36</v>
      </c>
      <c r="F1155" t="s">
        <v>28</v>
      </c>
      <c r="G1155">
        <v>1063.6600000000001</v>
      </c>
      <c r="H1155">
        <v>41</v>
      </c>
      <c r="I1155" t="s">
        <v>16</v>
      </c>
      <c r="J1155">
        <v>4</v>
      </c>
      <c r="K1155" t="s">
        <v>41</v>
      </c>
      <c r="L1155" t="s">
        <v>23</v>
      </c>
      <c r="M1155" t="str">
        <f>VLOOKUP(D1159,Restaurant_Master!A:B,2,FALSE)</f>
        <v>https://dynamic-media-cdn.tripadvisor.com/media/photo-o/1c/e7/04/0d/front-of-the-local-easily.jpg</v>
      </c>
    </row>
    <row r="1156" spans="1:13" x14ac:dyDescent="0.3">
      <c r="A1156" t="s">
        <v>1186</v>
      </c>
      <c r="B1156" s="1">
        <v>45327</v>
      </c>
      <c r="C1156" t="s">
        <v>36</v>
      </c>
      <c r="D1156" t="s">
        <v>14</v>
      </c>
      <c r="E1156">
        <v>49</v>
      </c>
      <c r="F1156" t="s">
        <v>15</v>
      </c>
      <c r="G1156">
        <v>191.25</v>
      </c>
      <c r="H1156">
        <v>55</v>
      </c>
      <c r="I1156" t="s">
        <v>16</v>
      </c>
      <c r="J1156">
        <v>3.7</v>
      </c>
      <c r="K1156" t="s">
        <v>41</v>
      </c>
      <c r="L1156" t="s">
        <v>23</v>
      </c>
      <c r="M1156" t="str">
        <f>VLOOKUP(D1160,Restaurant_Master!A:B,2,FALSE)</f>
        <v>https://content.jdmagicbox.com/comp/deoria/g6/9999p5568.5568.200119143033.m4g6/catalogue/biryani-house-deoria-ho-deoria-mktc2xph0o.jpg</v>
      </c>
    </row>
    <row r="1157" spans="1:13" x14ac:dyDescent="0.3">
      <c r="A1157" t="s">
        <v>1187</v>
      </c>
      <c r="B1157" s="1">
        <v>45314</v>
      </c>
      <c r="C1157" t="s">
        <v>13</v>
      </c>
      <c r="D1157" t="s">
        <v>25</v>
      </c>
      <c r="E1157">
        <v>22</v>
      </c>
      <c r="F1157" t="s">
        <v>15</v>
      </c>
      <c r="G1157">
        <v>859.32</v>
      </c>
      <c r="H1157">
        <v>29</v>
      </c>
      <c r="I1157" t="s">
        <v>22</v>
      </c>
      <c r="J1157">
        <v>3.2</v>
      </c>
      <c r="K1157" t="s">
        <v>17</v>
      </c>
      <c r="L1157" t="s">
        <v>18</v>
      </c>
      <c r="M1157" t="str">
        <f>VLOOKUP(D1161,Restaurant_Master!A:B,2,FALSE)</f>
        <v>https://dynamic-media-cdn.tripadvisor.com/media/photo-o/1c/e7/04/0d/front-of-the-local-easily.jpg</v>
      </c>
    </row>
    <row r="1158" spans="1:13" x14ac:dyDescent="0.3">
      <c r="A1158" t="s">
        <v>1188</v>
      </c>
      <c r="B1158" s="1">
        <v>45414</v>
      </c>
      <c r="C1158" t="s">
        <v>36</v>
      </c>
      <c r="D1158" t="s">
        <v>32</v>
      </c>
      <c r="E1158">
        <v>29</v>
      </c>
      <c r="F1158" t="s">
        <v>15</v>
      </c>
      <c r="G1158">
        <v>572.25</v>
      </c>
      <c r="H1158">
        <v>43</v>
      </c>
      <c r="I1158" t="s">
        <v>16</v>
      </c>
      <c r="J1158">
        <v>3.8</v>
      </c>
      <c r="K1158" t="s">
        <v>41</v>
      </c>
      <c r="L1158" t="s">
        <v>18</v>
      </c>
      <c r="M1158" t="str">
        <f>VLOOKUP(D1162,Restaurant_Master!A:B,2,FALSE)</f>
        <v>https://www.chatswoodinterchange.com/storages/2018/08/Sushi-World_666x448.jpg</v>
      </c>
    </row>
    <row r="1159" spans="1:13" x14ac:dyDescent="0.3">
      <c r="A1159" t="s">
        <v>1189</v>
      </c>
      <c r="B1159" s="1">
        <v>45293</v>
      </c>
      <c r="C1159" t="s">
        <v>34</v>
      </c>
      <c r="D1159" t="s">
        <v>21</v>
      </c>
      <c r="E1159">
        <v>27</v>
      </c>
      <c r="F1159" t="s">
        <v>28</v>
      </c>
      <c r="G1159">
        <v>914.89</v>
      </c>
      <c r="H1159">
        <v>42</v>
      </c>
      <c r="I1159" t="s">
        <v>16</v>
      </c>
      <c r="J1159">
        <v>2.6</v>
      </c>
      <c r="K1159" t="s">
        <v>26</v>
      </c>
      <c r="L1159" t="s">
        <v>18</v>
      </c>
      <c r="M1159" t="str">
        <f>VLOOKUP(D1163,Restaurant_Master!A:B,2,FALSE)</f>
        <v>https://dineout-media-assets.swiggy.com/swiggy/image/upload/fl_lossy,f_auto,q_auto/v1660793737/fdqxvxcxg1wtdwvyv45v.jpg</v>
      </c>
    </row>
    <row r="1160" spans="1:13" x14ac:dyDescent="0.3">
      <c r="A1160" t="s">
        <v>1190</v>
      </c>
      <c r="B1160" s="1">
        <v>45573</v>
      </c>
      <c r="C1160" t="s">
        <v>43</v>
      </c>
      <c r="D1160" t="s">
        <v>32</v>
      </c>
      <c r="E1160">
        <v>49</v>
      </c>
      <c r="F1160" t="s">
        <v>15</v>
      </c>
      <c r="G1160">
        <v>719.89</v>
      </c>
      <c r="H1160">
        <v>57</v>
      </c>
      <c r="I1160" t="s">
        <v>16</v>
      </c>
      <c r="J1160">
        <v>4.5</v>
      </c>
      <c r="K1160" t="s">
        <v>29</v>
      </c>
      <c r="L1160" t="s">
        <v>18</v>
      </c>
      <c r="M1160" t="str">
        <f>VLOOKUP(D1164,Restaurant_Master!A:B,2,FALSE)</f>
        <v>https://www.chatswoodinterchange.com/storages/2018/08/Sushi-World_666x448.jpg</v>
      </c>
    </row>
    <row r="1161" spans="1:13" x14ac:dyDescent="0.3">
      <c r="A1161" t="s">
        <v>1191</v>
      </c>
      <c r="B1161" s="1">
        <v>45318</v>
      </c>
      <c r="C1161" t="s">
        <v>36</v>
      </c>
      <c r="D1161" t="s">
        <v>21</v>
      </c>
      <c r="E1161">
        <v>28</v>
      </c>
      <c r="F1161" t="s">
        <v>15</v>
      </c>
      <c r="G1161">
        <v>1154.75</v>
      </c>
      <c r="H1161">
        <v>50</v>
      </c>
      <c r="I1161" t="s">
        <v>16</v>
      </c>
      <c r="J1161">
        <v>3.6</v>
      </c>
      <c r="K1161" t="s">
        <v>17</v>
      </c>
      <c r="L1161" t="s">
        <v>23</v>
      </c>
      <c r="M1161" t="str">
        <f>VLOOKUP(D1165,Restaurant_Master!A:B,2,FALSE)</f>
        <v>https://dynamic-media-cdn.tripadvisor.com/media/photo-o/1c/e7/04/0d/front-of-the-local-easily.jpg</v>
      </c>
    </row>
    <row r="1162" spans="1:13" x14ac:dyDescent="0.3">
      <c r="A1162" t="s">
        <v>1192</v>
      </c>
      <c r="B1162" s="1">
        <v>45330</v>
      </c>
      <c r="C1162" t="s">
        <v>36</v>
      </c>
      <c r="D1162" t="s">
        <v>38</v>
      </c>
      <c r="E1162">
        <v>41</v>
      </c>
      <c r="F1162" t="s">
        <v>28</v>
      </c>
      <c r="G1162">
        <v>1167.57</v>
      </c>
      <c r="H1162">
        <v>47</v>
      </c>
      <c r="I1162" t="s">
        <v>16</v>
      </c>
      <c r="J1162">
        <v>2.8</v>
      </c>
      <c r="K1162" t="s">
        <v>41</v>
      </c>
      <c r="L1162" t="s">
        <v>18</v>
      </c>
      <c r="M1162" t="str">
        <f>VLOOKUP(D1166,Restaurant_Master!A:B,2,FALSE)</f>
        <v>https://media-cdn.tripadvisor.com/media/photo-s/1c/c7/97/b6/photo6jpg.jpg</v>
      </c>
    </row>
    <row r="1163" spans="1:13" x14ac:dyDescent="0.3">
      <c r="A1163" t="s">
        <v>1193</v>
      </c>
      <c r="B1163" s="1">
        <v>45593</v>
      </c>
      <c r="C1163" t="s">
        <v>13</v>
      </c>
      <c r="D1163" t="s">
        <v>14</v>
      </c>
      <c r="E1163">
        <v>48</v>
      </c>
      <c r="F1163" t="s">
        <v>28</v>
      </c>
      <c r="G1163">
        <v>1020.44</v>
      </c>
      <c r="H1163">
        <v>46</v>
      </c>
      <c r="I1163" t="s">
        <v>16</v>
      </c>
      <c r="J1163">
        <v>4.5999999999999996</v>
      </c>
      <c r="K1163" t="s">
        <v>41</v>
      </c>
      <c r="L1163" t="s">
        <v>18</v>
      </c>
      <c r="M1163" t="str">
        <f>VLOOKUP(D1167,Restaurant_Master!A:B,2,FALSE)</f>
        <v>https://www.chatswoodinterchange.com/storages/2018/08/Sushi-World_666x448.jpg</v>
      </c>
    </row>
    <row r="1164" spans="1:13" x14ac:dyDescent="0.3">
      <c r="A1164" t="s">
        <v>1194</v>
      </c>
      <c r="B1164" s="1">
        <v>45637</v>
      </c>
      <c r="C1164" t="s">
        <v>20</v>
      </c>
      <c r="D1164" t="s">
        <v>38</v>
      </c>
      <c r="E1164">
        <v>52</v>
      </c>
      <c r="F1164" t="s">
        <v>15</v>
      </c>
      <c r="G1164">
        <v>511.79</v>
      </c>
      <c r="H1164">
        <v>26</v>
      </c>
      <c r="I1164" t="s">
        <v>22</v>
      </c>
      <c r="J1164">
        <v>2.9</v>
      </c>
      <c r="K1164" t="s">
        <v>41</v>
      </c>
      <c r="L1164" t="s">
        <v>23</v>
      </c>
      <c r="M1164" t="str">
        <f>VLOOKUP(D1168,Restaurant_Master!A:B,2,FALSE)</f>
        <v>https://dineout-media-assets.swiggy.com/swiggy/image/upload/fl_lossy,f_auto,q_auto/v1660793737/fdqxvxcxg1wtdwvyv45v.jpg</v>
      </c>
    </row>
    <row r="1165" spans="1:13" x14ac:dyDescent="0.3">
      <c r="A1165" t="s">
        <v>1195</v>
      </c>
      <c r="B1165" s="1">
        <v>45303</v>
      </c>
      <c r="C1165" t="s">
        <v>13</v>
      </c>
      <c r="D1165" t="s">
        <v>21</v>
      </c>
      <c r="E1165">
        <v>21</v>
      </c>
      <c r="F1165" t="s">
        <v>28</v>
      </c>
      <c r="G1165">
        <v>565.9</v>
      </c>
      <c r="H1165">
        <v>44</v>
      </c>
      <c r="I1165" t="s">
        <v>16</v>
      </c>
      <c r="J1165">
        <v>4.5999999999999996</v>
      </c>
      <c r="K1165" t="s">
        <v>17</v>
      </c>
      <c r="L1165" t="s">
        <v>18</v>
      </c>
      <c r="M1165" t="str">
        <f>VLOOKUP(D1169,Restaurant_Master!A:B,2,FALSE)</f>
        <v>https://media-cdn.tripadvisor.com/media/photo-s/1c/c7/97/b6/photo6jpg.jpg</v>
      </c>
    </row>
    <row r="1166" spans="1:13" x14ac:dyDescent="0.3">
      <c r="A1166" t="s">
        <v>1196</v>
      </c>
      <c r="B1166" s="1">
        <v>45561</v>
      </c>
      <c r="C1166" t="s">
        <v>36</v>
      </c>
      <c r="D1166" t="s">
        <v>25</v>
      </c>
      <c r="E1166">
        <v>43</v>
      </c>
      <c r="F1166" t="s">
        <v>15</v>
      </c>
      <c r="G1166">
        <v>589.75</v>
      </c>
      <c r="H1166">
        <v>29</v>
      </c>
      <c r="I1166" t="s">
        <v>22</v>
      </c>
      <c r="J1166">
        <v>3.2</v>
      </c>
      <c r="K1166" t="s">
        <v>17</v>
      </c>
      <c r="L1166" t="s">
        <v>18</v>
      </c>
      <c r="M1166" t="str">
        <f>VLOOKUP(D1170,Restaurant_Master!A:B,2,FALSE)</f>
        <v>https://www.chatswoodinterchange.com/storages/2018/08/Sushi-World_666x448.jpg</v>
      </c>
    </row>
    <row r="1167" spans="1:13" x14ac:dyDescent="0.3">
      <c r="A1167" t="s">
        <v>1197</v>
      </c>
      <c r="B1167" s="1">
        <v>45630</v>
      </c>
      <c r="C1167" t="s">
        <v>20</v>
      </c>
      <c r="D1167" t="s">
        <v>38</v>
      </c>
      <c r="E1167">
        <v>59</v>
      </c>
      <c r="F1167" t="s">
        <v>15</v>
      </c>
      <c r="G1167">
        <v>337.68</v>
      </c>
      <c r="H1167">
        <v>36</v>
      </c>
      <c r="I1167" t="s">
        <v>22</v>
      </c>
      <c r="J1167">
        <v>3.5</v>
      </c>
      <c r="K1167" t="s">
        <v>26</v>
      </c>
      <c r="L1167" t="s">
        <v>23</v>
      </c>
      <c r="M1167" t="str">
        <f>VLOOKUP(D1171,Restaurant_Master!A:B,2,FALSE)</f>
        <v>https://content.jdmagicbox.com/comp/deoria/g6/9999p5568.5568.200119143033.m4g6/catalogue/biryani-house-deoria-ho-deoria-mktc2xph0o.jpg</v>
      </c>
    </row>
    <row r="1168" spans="1:13" x14ac:dyDescent="0.3">
      <c r="A1168" t="s">
        <v>1198</v>
      </c>
      <c r="B1168" s="1">
        <v>45571</v>
      </c>
      <c r="C1168" t="s">
        <v>34</v>
      </c>
      <c r="D1168" t="s">
        <v>14</v>
      </c>
      <c r="E1168">
        <v>38</v>
      </c>
      <c r="F1168" t="s">
        <v>15</v>
      </c>
      <c r="G1168">
        <v>829.81</v>
      </c>
      <c r="H1168">
        <v>32</v>
      </c>
      <c r="I1168" t="s">
        <v>22</v>
      </c>
      <c r="J1168">
        <v>4.9000000000000004</v>
      </c>
      <c r="K1168" t="s">
        <v>26</v>
      </c>
      <c r="L1168" t="s">
        <v>23</v>
      </c>
      <c r="M1168" t="str">
        <f>VLOOKUP(D1172,Restaurant_Master!A:B,2,FALSE)</f>
        <v>https://media-cdn.tripadvisor.com/media/photo-s/1c/c7/97/b6/photo6jpg.jpg</v>
      </c>
    </row>
    <row r="1169" spans="1:13" x14ac:dyDescent="0.3">
      <c r="A1169" t="s">
        <v>1199</v>
      </c>
      <c r="B1169" s="1">
        <v>45386</v>
      </c>
      <c r="C1169" t="s">
        <v>34</v>
      </c>
      <c r="D1169" t="s">
        <v>25</v>
      </c>
      <c r="E1169">
        <v>56</v>
      </c>
      <c r="F1169" t="s">
        <v>28</v>
      </c>
      <c r="G1169">
        <v>651.85</v>
      </c>
      <c r="H1169">
        <v>34</v>
      </c>
      <c r="I1169" t="s">
        <v>22</v>
      </c>
      <c r="J1169">
        <v>4.9000000000000004</v>
      </c>
      <c r="K1169" t="s">
        <v>17</v>
      </c>
      <c r="L1169" t="s">
        <v>23</v>
      </c>
      <c r="M1169" t="str">
        <f>VLOOKUP(D1173,Restaurant_Master!A:B,2,FALSE)</f>
        <v>https://content.jdmagicbox.com/comp/deoria/g6/9999p5568.5568.200119143033.m4g6/catalogue/biryani-house-deoria-ho-deoria-mktc2xph0o.jpg</v>
      </c>
    </row>
    <row r="1170" spans="1:13" x14ac:dyDescent="0.3">
      <c r="A1170" t="s">
        <v>1200</v>
      </c>
      <c r="B1170" s="1">
        <v>45441</v>
      </c>
      <c r="C1170" t="s">
        <v>34</v>
      </c>
      <c r="D1170" t="s">
        <v>38</v>
      </c>
      <c r="E1170">
        <v>52</v>
      </c>
      <c r="F1170" t="s">
        <v>28</v>
      </c>
      <c r="G1170">
        <v>154.58000000000001</v>
      </c>
      <c r="H1170">
        <v>45</v>
      </c>
      <c r="I1170" t="s">
        <v>16</v>
      </c>
      <c r="J1170">
        <v>4.5999999999999996</v>
      </c>
      <c r="K1170" t="s">
        <v>41</v>
      </c>
      <c r="L1170" t="s">
        <v>18</v>
      </c>
      <c r="M1170" t="str">
        <f>VLOOKUP(D1174,Restaurant_Master!A:B,2,FALSE)</f>
        <v>https://www.chatswoodinterchange.com/storages/2018/08/Sushi-World_666x448.jpg</v>
      </c>
    </row>
    <row r="1171" spans="1:13" x14ac:dyDescent="0.3">
      <c r="A1171" t="s">
        <v>1201</v>
      </c>
      <c r="B1171" s="1">
        <v>45421</v>
      </c>
      <c r="C1171" t="s">
        <v>20</v>
      </c>
      <c r="D1171" t="s">
        <v>32</v>
      </c>
      <c r="E1171">
        <v>23</v>
      </c>
      <c r="F1171" t="s">
        <v>15</v>
      </c>
      <c r="G1171">
        <v>1165.33</v>
      </c>
      <c r="H1171">
        <v>60</v>
      </c>
      <c r="I1171" t="s">
        <v>16</v>
      </c>
      <c r="J1171">
        <v>3.3</v>
      </c>
      <c r="K1171" t="s">
        <v>26</v>
      </c>
      <c r="L1171" t="s">
        <v>18</v>
      </c>
      <c r="M1171" t="str">
        <f>VLOOKUP(D1175,Restaurant_Master!A:B,2,FALSE)</f>
        <v>https://dineout-media-assets.swiggy.com/swiggy/image/upload/fl_lossy,f_auto,q_auto/v1660793737/fdqxvxcxg1wtdwvyv45v.jpg</v>
      </c>
    </row>
    <row r="1172" spans="1:13" x14ac:dyDescent="0.3">
      <c r="A1172" t="s">
        <v>1202</v>
      </c>
      <c r="B1172" s="1">
        <v>45604</v>
      </c>
      <c r="C1172" t="s">
        <v>43</v>
      </c>
      <c r="D1172" t="s">
        <v>25</v>
      </c>
      <c r="E1172">
        <v>46</v>
      </c>
      <c r="F1172" t="s">
        <v>15</v>
      </c>
      <c r="G1172">
        <v>376.97</v>
      </c>
      <c r="H1172">
        <v>29</v>
      </c>
      <c r="I1172" t="s">
        <v>22</v>
      </c>
      <c r="J1172">
        <v>2.8</v>
      </c>
      <c r="K1172" t="s">
        <v>17</v>
      </c>
      <c r="L1172" t="s">
        <v>18</v>
      </c>
      <c r="M1172" t="str">
        <f>VLOOKUP(D1176,Restaurant_Master!A:B,2,FALSE)</f>
        <v>https://www.chatswoodinterchange.com/storages/2018/08/Sushi-World_666x448.jpg</v>
      </c>
    </row>
    <row r="1173" spans="1:13" x14ac:dyDescent="0.3">
      <c r="A1173" t="s">
        <v>1203</v>
      </c>
      <c r="B1173" s="1">
        <v>45624</v>
      </c>
      <c r="C1173" t="s">
        <v>20</v>
      </c>
      <c r="D1173" t="s">
        <v>32</v>
      </c>
      <c r="E1173">
        <v>58</v>
      </c>
      <c r="F1173" t="s">
        <v>28</v>
      </c>
      <c r="G1173">
        <v>888.62</v>
      </c>
      <c r="H1173">
        <v>21</v>
      </c>
      <c r="I1173" t="s">
        <v>22</v>
      </c>
      <c r="J1173">
        <v>2.9</v>
      </c>
      <c r="K1173" t="s">
        <v>26</v>
      </c>
      <c r="L1173" t="s">
        <v>23</v>
      </c>
      <c r="M1173" t="str">
        <f>VLOOKUP(D1177,Restaurant_Master!A:B,2,FALSE)</f>
        <v>https://dynamic-media-cdn.tripadvisor.com/media/photo-o/1c/e7/04/0d/front-of-the-local-easily.jpg</v>
      </c>
    </row>
    <row r="1174" spans="1:13" x14ac:dyDescent="0.3">
      <c r="A1174" t="s">
        <v>1204</v>
      </c>
      <c r="B1174" s="1">
        <v>45466</v>
      </c>
      <c r="C1174" t="s">
        <v>36</v>
      </c>
      <c r="D1174" t="s">
        <v>38</v>
      </c>
      <c r="E1174">
        <v>40</v>
      </c>
      <c r="F1174" t="s">
        <v>28</v>
      </c>
      <c r="G1174">
        <v>921.38</v>
      </c>
      <c r="H1174">
        <v>42</v>
      </c>
      <c r="I1174" t="s">
        <v>16</v>
      </c>
      <c r="J1174">
        <v>4.9000000000000004</v>
      </c>
      <c r="K1174" t="s">
        <v>29</v>
      </c>
      <c r="L1174" t="s">
        <v>18</v>
      </c>
      <c r="M1174" t="str">
        <f>VLOOKUP(D1178,Restaurant_Master!A:B,2,FALSE)</f>
        <v>https://dynamic-media-cdn.tripadvisor.com/media/photo-o/1c/e7/04/0d/front-of-the-local-easily.jpg</v>
      </c>
    </row>
    <row r="1175" spans="1:13" x14ac:dyDescent="0.3">
      <c r="A1175" t="s">
        <v>1205</v>
      </c>
      <c r="B1175" s="1">
        <v>45350</v>
      </c>
      <c r="C1175" t="s">
        <v>20</v>
      </c>
      <c r="D1175" t="s">
        <v>14</v>
      </c>
      <c r="E1175">
        <v>19</v>
      </c>
      <c r="F1175" t="s">
        <v>15</v>
      </c>
      <c r="G1175">
        <v>552.03</v>
      </c>
      <c r="H1175">
        <v>30</v>
      </c>
      <c r="I1175" t="s">
        <v>22</v>
      </c>
      <c r="J1175">
        <v>3.1</v>
      </c>
      <c r="K1175" t="s">
        <v>41</v>
      </c>
      <c r="L1175" t="s">
        <v>23</v>
      </c>
      <c r="M1175" t="str">
        <f>VLOOKUP(D1179,Restaurant_Master!A:B,2,FALSE)</f>
        <v>https://dynamic-media-cdn.tripadvisor.com/media/photo-o/1c/e7/04/0d/front-of-the-local-easily.jpg</v>
      </c>
    </row>
    <row r="1176" spans="1:13" x14ac:dyDescent="0.3">
      <c r="A1176" t="s">
        <v>1206</v>
      </c>
      <c r="B1176" s="1">
        <v>45404</v>
      </c>
      <c r="C1176" t="s">
        <v>20</v>
      </c>
      <c r="D1176" t="s">
        <v>38</v>
      </c>
      <c r="E1176">
        <v>44</v>
      </c>
      <c r="F1176" t="s">
        <v>28</v>
      </c>
      <c r="G1176">
        <v>514.78</v>
      </c>
      <c r="H1176">
        <v>34</v>
      </c>
      <c r="I1176" t="s">
        <v>22</v>
      </c>
      <c r="J1176">
        <v>3.9</v>
      </c>
      <c r="K1176" t="s">
        <v>26</v>
      </c>
      <c r="L1176" t="s">
        <v>23</v>
      </c>
      <c r="M1176" t="str">
        <f>VLOOKUP(D1180,Restaurant_Master!A:B,2,FALSE)</f>
        <v>https://dineout-media-assets.swiggy.com/swiggy/image/upload/fl_lossy,f_auto,q_auto/v1660793737/fdqxvxcxg1wtdwvyv45v.jpg</v>
      </c>
    </row>
    <row r="1177" spans="1:13" x14ac:dyDescent="0.3">
      <c r="A1177" t="s">
        <v>1207</v>
      </c>
      <c r="B1177" s="1">
        <v>45329</v>
      </c>
      <c r="C1177" t="s">
        <v>20</v>
      </c>
      <c r="D1177" t="s">
        <v>21</v>
      </c>
      <c r="E1177">
        <v>52</v>
      </c>
      <c r="F1177" t="s">
        <v>15</v>
      </c>
      <c r="G1177">
        <v>465.82</v>
      </c>
      <c r="H1177">
        <v>60</v>
      </c>
      <c r="I1177" t="s">
        <v>16</v>
      </c>
      <c r="J1177">
        <v>4.4000000000000004</v>
      </c>
      <c r="K1177" t="s">
        <v>41</v>
      </c>
      <c r="L1177" t="s">
        <v>18</v>
      </c>
      <c r="M1177" t="str">
        <f>VLOOKUP(D1181,Restaurant_Master!A:B,2,FALSE)</f>
        <v>https://www.chatswoodinterchange.com/storages/2018/08/Sushi-World_666x448.jpg</v>
      </c>
    </row>
    <row r="1178" spans="1:13" x14ac:dyDescent="0.3">
      <c r="A1178" t="s">
        <v>1208</v>
      </c>
      <c r="B1178" s="1">
        <v>45345</v>
      </c>
      <c r="C1178" t="s">
        <v>34</v>
      </c>
      <c r="D1178" t="s">
        <v>21</v>
      </c>
      <c r="E1178">
        <v>24</v>
      </c>
      <c r="F1178" t="s">
        <v>28</v>
      </c>
      <c r="G1178">
        <v>359.18</v>
      </c>
      <c r="H1178">
        <v>39</v>
      </c>
      <c r="I1178" t="s">
        <v>22</v>
      </c>
      <c r="J1178">
        <v>4.5</v>
      </c>
      <c r="K1178" t="s">
        <v>41</v>
      </c>
      <c r="L1178" t="s">
        <v>18</v>
      </c>
      <c r="M1178" t="str">
        <f>VLOOKUP(D1182,Restaurant_Master!A:B,2,FALSE)</f>
        <v>https://dynamic-media-cdn.tripadvisor.com/media/photo-o/1c/e7/04/0d/front-of-the-local-easily.jpg</v>
      </c>
    </row>
    <row r="1179" spans="1:13" x14ac:dyDescent="0.3">
      <c r="A1179" t="s">
        <v>1209</v>
      </c>
      <c r="B1179" s="1">
        <v>45385</v>
      </c>
      <c r="C1179" t="s">
        <v>13</v>
      </c>
      <c r="D1179" t="s">
        <v>21</v>
      </c>
      <c r="E1179">
        <v>36</v>
      </c>
      <c r="F1179" t="s">
        <v>15</v>
      </c>
      <c r="G1179">
        <v>484.09</v>
      </c>
      <c r="H1179">
        <v>56</v>
      </c>
      <c r="I1179" t="s">
        <v>16</v>
      </c>
      <c r="J1179">
        <v>2.7</v>
      </c>
      <c r="K1179" t="s">
        <v>41</v>
      </c>
      <c r="L1179" t="s">
        <v>18</v>
      </c>
      <c r="M1179" t="str">
        <f>VLOOKUP(D1183,Restaurant_Master!A:B,2,FALSE)</f>
        <v>https://content.jdmagicbox.com/comp/deoria/g6/9999p5568.5568.200119143033.m4g6/catalogue/biryani-house-deoria-ho-deoria-mktc2xph0o.jpg</v>
      </c>
    </row>
    <row r="1180" spans="1:13" x14ac:dyDescent="0.3">
      <c r="A1180" t="s">
        <v>1210</v>
      </c>
      <c r="B1180" s="1">
        <v>45559</v>
      </c>
      <c r="C1180" t="s">
        <v>34</v>
      </c>
      <c r="D1180" t="s">
        <v>14</v>
      </c>
      <c r="E1180">
        <v>21</v>
      </c>
      <c r="F1180" t="s">
        <v>15</v>
      </c>
      <c r="G1180">
        <v>476.85</v>
      </c>
      <c r="H1180">
        <v>23</v>
      </c>
      <c r="I1180" t="s">
        <v>22</v>
      </c>
      <c r="J1180">
        <v>4.8</v>
      </c>
      <c r="K1180" t="s">
        <v>26</v>
      </c>
      <c r="L1180" t="s">
        <v>23</v>
      </c>
      <c r="M1180" t="str">
        <f>VLOOKUP(D1184,Restaurant_Master!A:B,2,FALSE)</f>
        <v>https://dynamic-media-cdn.tripadvisor.com/media/photo-o/1c/e7/04/0d/front-of-the-local-easily.jpg</v>
      </c>
    </row>
    <row r="1181" spans="1:13" x14ac:dyDescent="0.3">
      <c r="A1181" t="s">
        <v>1211</v>
      </c>
      <c r="B1181" s="1">
        <v>45611</v>
      </c>
      <c r="C1181" t="s">
        <v>43</v>
      </c>
      <c r="D1181" t="s">
        <v>38</v>
      </c>
      <c r="E1181">
        <v>49</v>
      </c>
      <c r="F1181" t="s">
        <v>15</v>
      </c>
      <c r="G1181">
        <v>652.78</v>
      </c>
      <c r="H1181">
        <v>31</v>
      </c>
      <c r="I1181" t="s">
        <v>22</v>
      </c>
      <c r="J1181">
        <v>3.7</v>
      </c>
      <c r="K1181" t="s">
        <v>17</v>
      </c>
      <c r="L1181" t="s">
        <v>23</v>
      </c>
      <c r="M1181" t="str">
        <f>VLOOKUP(D1185,Restaurant_Master!A:B,2,FALSE)</f>
        <v>https://content.jdmagicbox.com/comp/deoria/g6/9999p5568.5568.200119143033.m4g6/catalogue/biryani-house-deoria-ho-deoria-mktc2xph0o.jpg</v>
      </c>
    </row>
    <row r="1182" spans="1:13" x14ac:dyDescent="0.3">
      <c r="A1182" t="s">
        <v>1212</v>
      </c>
      <c r="B1182" s="1">
        <v>45374</v>
      </c>
      <c r="C1182" t="s">
        <v>13</v>
      </c>
      <c r="D1182" t="s">
        <v>21</v>
      </c>
      <c r="E1182">
        <v>50</v>
      </c>
      <c r="F1182" t="s">
        <v>28</v>
      </c>
      <c r="G1182">
        <v>310.10000000000002</v>
      </c>
      <c r="H1182">
        <v>42</v>
      </c>
      <c r="I1182" t="s">
        <v>16</v>
      </c>
      <c r="J1182">
        <v>3.6</v>
      </c>
      <c r="K1182" t="s">
        <v>41</v>
      </c>
      <c r="L1182" t="s">
        <v>23</v>
      </c>
      <c r="M1182" t="str">
        <f>VLOOKUP(D1186,Restaurant_Master!A:B,2,FALSE)</f>
        <v>https://dynamic-media-cdn.tripadvisor.com/media/photo-o/1c/e7/04/0d/front-of-the-local-easily.jpg</v>
      </c>
    </row>
    <row r="1183" spans="1:13" x14ac:dyDescent="0.3">
      <c r="A1183" t="s">
        <v>1213</v>
      </c>
      <c r="B1183" s="1">
        <v>45614</v>
      </c>
      <c r="C1183" t="s">
        <v>13</v>
      </c>
      <c r="D1183" t="s">
        <v>32</v>
      </c>
      <c r="E1183">
        <v>54</v>
      </c>
      <c r="F1183" t="s">
        <v>28</v>
      </c>
      <c r="G1183">
        <v>282.36</v>
      </c>
      <c r="H1183">
        <v>27</v>
      </c>
      <c r="I1183" t="s">
        <v>22</v>
      </c>
      <c r="J1183">
        <v>2.6</v>
      </c>
      <c r="K1183" t="s">
        <v>17</v>
      </c>
      <c r="L1183" t="s">
        <v>18</v>
      </c>
      <c r="M1183" t="str">
        <f>VLOOKUP(D1187,Restaurant_Master!A:B,2,FALSE)</f>
        <v>https://dineout-media-assets.swiggy.com/swiggy/image/upload/fl_lossy,f_auto,q_auto/v1660793737/fdqxvxcxg1wtdwvyv45v.jpg</v>
      </c>
    </row>
    <row r="1184" spans="1:13" x14ac:dyDescent="0.3">
      <c r="A1184" t="s">
        <v>1214</v>
      </c>
      <c r="B1184" s="1">
        <v>45481</v>
      </c>
      <c r="C1184" t="s">
        <v>13</v>
      </c>
      <c r="D1184" t="s">
        <v>21</v>
      </c>
      <c r="E1184">
        <v>45</v>
      </c>
      <c r="F1184" t="s">
        <v>28</v>
      </c>
      <c r="G1184">
        <v>1079.73</v>
      </c>
      <c r="H1184">
        <v>35</v>
      </c>
      <c r="I1184" t="s">
        <v>22</v>
      </c>
      <c r="J1184">
        <v>3.2</v>
      </c>
      <c r="K1184" t="s">
        <v>26</v>
      </c>
      <c r="L1184" t="s">
        <v>18</v>
      </c>
      <c r="M1184" t="str">
        <f>VLOOKUP(D1188,Restaurant_Master!A:B,2,FALSE)</f>
        <v>https://dynamic-media-cdn.tripadvisor.com/media/photo-o/1c/e7/04/0d/front-of-the-local-easily.jpg</v>
      </c>
    </row>
    <row r="1185" spans="1:13" x14ac:dyDescent="0.3">
      <c r="A1185" t="s">
        <v>1215</v>
      </c>
      <c r="B1185" s="1">
        <v>45539</v>
      </c>
      <c r="C1185" t="s">
        <v>13</v>
      </c>
      <c r="D1185" t="s">
        <v>32</v>
      </c>
      <c r="E1185">
        <v>24</v>
      </c>
      <c r="F1185" t="s">
        <v>15</v>
      </c>
      <c r="G1185">
        <v>738.03</v>
      </c>
      <c r="H1185">
        <v>59</v>
      </c>
      <c r="I1185" t="s">
        <v>16</v>
      </c>
      <c r="J1185">
        <v>4.9000000000000004</v>
      </c>
      <c r="K1185" t="s">
        <v>29</v>
      </c>
      <c r="L1185" t="s">
        <v>18</v>
      </c>
      <c r="M1185" t="str">
        <f>VLOOKUP(D1189,Restaurant_Master!A:B,2,FALSE)</f>
        <v>https://www.chatswoodinterchange.com/storages/2018/08/Sushi-World_666x448.jpg</v>
      </c>
    </row>
    <row r="1186" spans="1:13" x14ac:dyDescent="0.3">
      <c r="A1186" t="s">
        <v>1216</v>
      </c>
      <c r="B1186" s="1">
        <v>45570</v>
      </c>
      <c r="C1186" t="s">
        <v>34</v>
      </c>
      <c r="D1186" t="s">
        <v>21</v>
      </c>
      <c r="E1186">
        <v>54</v>
      </c>
      <c r="F1186" t="s">
        <v>15</v>
      </c>
      <c r="G1186">
        <v>1065.3399999999999</v>
      </c>
      <c r="H1186">
        <v>53</v>
      </c>
      <c r="I1186" t="s">
        <v>16</v>
      </c>
      <c r="J1186">
        <v>4.5999999999999996</v>
      </c>
      <c r="K1186" t="s">
        <v>41</v>
      </c>
      <c r="L1186" t="s">
        <v>18</v>
      </c>
      <c r="M1186" t="str">
        <f>VLOOKUP(D1190,Restaurant_Master!A:B,2,FALSE)</f>
        <v>https://media-cdn.tripadvisor.com/media/photo-s/1c/c7/97/b6/photo6jpg.jpg</v>
      </c>
    </row>
    <row r="1187" spans="1:13" x14ac:dyDescent="0.3">
      <c r="A1187" t="s">
        <v>1217</v>
      </c>
      <c r="B1187" s="1">
        <v>45315</v>
      </c>
      <c r="C1187" t="s">
        <v>36</v>
      </c>
      <c r="D1187" t="s">
        <v>14</v>
      </c>
      <c r="E1187">
        <v>40</v>
      </c>
      <c r="F1187" t="s">
        <v>15</v>
      </c>
      <c r="G1187">
        <v>656.83</v>
      </c>
      <c r="H1187">
        <v>55</v>
      </c>
      <c r="I1187" t="s">
        <v>16</v>
      </c>
      <c r="J1187">
        <v>3.9</v>
      </c>
      <c r="K1187" t="s">
        <v>41</v>
      </c>
      <c r="L1187" t="s">
        <v>23</v>
      </c>
      <c r="M1187" t="str">
        <f>VLOOKUP(D1191,Restaurant_Master!A:B,2,FALSE)</f>
        <v>https://dynamic-media-cdn.tripadvisor.com/media/photo-o/1c/e7/04/0d/front-of-the-local-easily.jpg</v>
      </c>
    </row>
    <row r="1188" spans="1:13" x14ac:dyDescent="0.3">
      <c r="A1188" t="s">
        <v>1218</v>
      </c>
      <c r="B1188" s="1">
        <v>45449</v>
      </c>
      <c r="C1188" t="s">
        <v>13</v>
      </c>
      <c r="D1188" t="s">
        <v>21</v>
      </c>
      <c r="E1188">
        <v>59</v>
      </c>
      <c r="F1188" t="s">
        <v>28</v>
      </c>
      <c r="G1188">
        <v>715.84</v>
      </c>
      <c r="H1188">
        <v>60</v>
      </c>
      <c r="I1188" t="s">
        <v>16</v>
      </c>
      <c r="J1188">
        <v>2.7</v>
      </c>
      <c r="K1188" t="s">
        <v>26</v>
      </c>
      <c r="L1188" t="s">
        <v>23</v>
      </c>
      <c r="M1188" t="str">
        <f>VLOOKUP(D1192,Restaurant_Master!A:B,2,FALSE)</f>
        <v>https://content.jdmagicbox.com/comp/deoria/g6/9999p5568.5568.200119143033.m4g6/catalogue/biryani-house-deoria-ho-deoria-mktc2xph0o.jpg</v>
      </c>
    </row>
    <row r="1189" spans="1:13" x14ac:dyDescent="0.3">
      <c r="A1189" t="s">
        <v>1219</v>
      </c>
      <c r="B1189" s="1">
        <v>45393</v>
      </c>
      <c r="C1189" t="s">
        <v>43</v>
      </c>
      <c r="D1189" t="s">
        <v>38</v>
      </c>
      <c r="E1189">
        <v>41</v>
      </c>
      <c r="F1189" t="s">
        <v>28</v>
      </c>
      <c r="G1189">
        <v>1004.37</v>
      </c>
      <c r="H1189">
        <v>21</v>
      </c>
      <c r="I1189" t="s">
        <v>22</v>
      </c>
      <c r="J1189">
        <v>3.5</v>
      </c>
      <c r="K1189" t="s">
        <v>26</v>
      </c>
      <c r="L1189" t="s">
        <v>18</v>
      </c>
      <c r="M1189" t="str">
        <f>VLOOKUP(D1193,Restaurant_Master!A:B,2,FALSE)</f>
        <v>https://media-cdn.tripadvisor.com/media/photo-s/1c/c7/97/b6/photo6jpg.jpg</v>
      </c>
    </row>
    <row r="1190" spans="1:13" x14ac:dyDescent="0.3">
      <c r="A1190" t="s">
        <v>1220</v>
      </c>
      <c r="B1190" s="1">
        <v>45504</v>
      </c>
      <c r="C1190" t="s">
        <v>20</v>
      </c>
      <c r="D1190" t="s">
        <v>25</v>
      </c>
      <c r="E1190">
        <v>53</v>
      </c>
      <c r="F1190" t="s">
        <v>28</v>
      </c>
      <c r="G1190">
        <v>450.84</v>
      </c>
      <c r="H1190">
        <v>29</v>
      </c>
      <c r="I1190" t="s">
        <v>22</v>
      </c>
      <c r="J1190">
        <v>4.4000000000000004</v>
      </c>
      <c r="K1190" t="s">
        <v>17</v>
      </c>
      <c r="L1190" t="s">
        <v>18</v>
      </c>
      <c r="M1190" t="str">
        <f>VLOOKUP(D1194,Restaurant_Master!A:B,2,FALSE)</f>
        <v>https://www.chatswoodinterchange.com/storages/2018/08/Sushi-World_666x448.jpg</v>
      </c>
    </row>
    <row r="1191" spans="1:13" x14ac:dyDescent="0.3">
      <c r="A1191" t="s">
        <v>1221</v>
      </c>
      <c r="B1191" s="1">
        <v>45435</v>
      </c>
      <c r="C1191" t="s">
        <v>13</v>
      </c>
      <c r="D1191" t="s">
        <v>21</v>
      </c>
      <c r="E1191">
        <v>44</v>
      </c>
      <c r="F1191" t="s">
        <v>15</v>
      </c>
      <c r="G1191">
        <v>1050.06</v>
      </c>
      <c r="H1191">
        <v>35</v>
      </c>
      <c r="I1191" t="s">
        <v>22</v>
      </c>
      <c r="J1191">
        <v>4.5</v>
      </c>
      <c r="K1191" t="s">
        <v>26</v>
      </c>
      <c r="L1191" t="s">
        <v>23</v>
      </c>
      <c r="M1191" t="str">
        <f>VLOOKUP(D1195,Restaurant_Master!A:B,2,FALSE)</f>
        <v>https://content.jdmagicbox.com/comp/deoria/g6/9999p5568.5568.200119143033.m4g6/catalogue/biryani-house-deoria-ho-deoria-mktc2xph0o.jpg</v>
      </c>
    </row>
    <row r="1192" spans="1:13" x14ac:dyDescent="0.3">
      <c r="A1192" t="s">
        <v>1222</v>
      </c>
      <c r="B1192" s="1">
        <v>45389</v>
      </c>
      <c r="C1192" t="s">
        <v>43</v>
      </c>
      <c r="D1192" t="s">
        <v>32</v>
      </c>
      <c r="E1192">
        <v>22</v>
      </c>
      <c r="F1192" t="s">
        <v>28</v>
      </c>
      <c r="G1192">
        <v>751.88</v>
      </c>
      <c r="H1192">
        <v>37</v>
      </c>
      <c r="I1192" t="s">
        <v>22</v>
      </c>
      <c r="J1192">
        <v>3.3</v>
      </c>
      <c r="K1192" t="s">
        <v>17</v>
      </c>
      <c r="L1192" t="s">
        <v>23</v>
      </c>
      <c r="M1192" t="str">
        <f>VLOOKUP(D1196,Restaurant_Master!A:B,2,FALSE)</f>
        <v>https://dineout-media-assets.swiggy.com/swiggy/image/upload/fl_lossy,f_auto,q_auto/v1660793737/fdqxvxcxg1wtdwvyv45v.jpg</v>
      </c>
    </row>
    <row r="1193" spans="1:13" x14ac:dyDescent="0.3">
      <c r="A1193" t="s">
        <v>1223</v>
      </c>
      <c r="B1193" s="1">
        <v>45505</v>
      </c>
      <c r="C1193" t="s">
        <v>36</v>
      </c>
      <c r="D1193" t="s">
        <v>25</v>
      </c>
      <c r="E1193">
        <v>59</v>
      </c>
      <c r="F1193" t="s">
        <v>28</v>
      </c>
      <c r="G1193">
        <v>602.34</v>
      </c>
      <c r="H1193">
        <v>46</v>
      </c>
      <c r="I1193" t="s">
        <v>16</v>
      </c>
      <c r="J1193">
        <v>4</v>
      </c>
      <c r="K1193" t="s">
        <v>26</v>
      </c>
      <c r="L1193" t="s">
        <v>18</v>
      </c>
      <c r="M1193" t="str">
        <f>VLOOKUP(D1197,Restaurant_Master!A:B,2,FALSE)</f>
        <v>https://dynamic-media-cdn.tripadvisor.com/media/photo-o/1c/e7/04/0d/front-of-the-local-easily.jpg</v>
      </c>
    </row>
    <row r="1194" spans="1:13" x14ac:dyDescent="0.3">
      <c r="A1194" t="s">
        <v>1224</v>
      </c>
      <c r="B1194" s="1">
        <v>45473</v>
      </c>
      <c r="C1194" t="s">
        <v>13</v>
      </c>
      <c r="D1194" t="s">
        <v>38</v>
      </c>
      <c r="E1194">
        <v>33</v>
      </c>
      <c r="F1194" t="s">
        <v>15</v>
      </c>
      <c r="G1194">
        <v>1055.94</v>
      </c>
      <c r="H1194">
        <v>25</v>
      </c>
      <c r="I1194" t="s">
        <v>22</v>
      </c>
      <c r="J1194">
        <v>4.7</v>
      </c>
      <c r="K1194" t="s">
        <v>17</v>
      </c>
      <c r="L1194" t="s">
        <v>18</v>
      </c>
      <c r="M1194" t="str">
        <f>VLOOKUP(D1198,Restaurant_Master!A:B,2,FALSE)</f>
        <v>https://content.jdmagicbox.com/comp/deoria/g6/9999p5568.5568.200119143033.m4g6/catalogue/biryani-house-deoria-ho-deoria-mktc2xph0o.jpg</v>
      </c>
    </row>
    <row r="1195" spans="1:13" x14ac:dyDescent="0.3">
      <c r="A1195" t="s">
        <v>1225</v>
      </c>
      <c r="B1195" s="1">
        <v>45420</v>
      </c>
      <c r="C1195" t="s">
        <v>13</v>
      </c>
      <c r="D1195" t="s">
        <v>32</v>
      </c>
      <c r="E1195">
        <v>58</v>
      </c>
      <c r="F1195" t="s">
        <v>28</v>
      </c>
      <c r="G1195">
        <v>587.36</v>
      </c>
      <c r="H1195">
        <v>32</v>
      </c>
      <c r="I1195" t="s">
        <v>22</v>
      </c>
      <c r="J1195">
        <v>4.4000000000000004</v>
      </c>
      <c r="K1195" t="s">
        <v>41</v>
      </c>
      <c r="L1195" t="s">
        <v>23</v>
      </c>
      <c r="M1195" t="str">
        <f>VLOOKUP(D1199,Restaurant_Master!A:B,2,FALSE)</f>
        <v>https://media-cdn.tripadvisor.com/media/photo-s/1c/c7/97/b6/photo6jpg.jpg</v>
      </c>
    </row>
    <row r="1196" spans="1:13" x14ac:dyDescent="0.3">
      <c r="A1196" t="s">
        <v>1226</v>
      </c>
      <c r="B1196" s="1">
        <v>45295</v>
      </c>
      <c r="C1196" t="s">
        <v>13</v>
      </c>
      <c r="D1196" t="s">
        <v>14</v>
      </c>
      <c r="E1196">
        <v>57</v>
      </c>
      <c r="F1196" t="s">
        <v>15</v>
      </c>
      <c r="G1196">
        <v>824.58</v>
      </c>
      <c r="H1196">
        <v>39</v>
      </c>
      <c r="I1196" t="s">
        <v>22</v>
      </c>
      <c r="J1196">
        <v>4.2</v>
      </c>
      <c r="K1196" t="s">
        <v>26</v>
      </c>
      <c r="L1196" t="s">
        <v>23</v>
      </c>
      <c r="M1196" t="str">
        <f>VLOOKUP(D1200,Restaurant_Master!A:B,2,FALSE)</f>
        <v>https://media-cdn.tripadvisor.com/media/photo-s/1c/c7/97/b6/photo6jpg.jpg</v>
      </c>
    </row>
    <row r="1197" spans="1:13" x14ac:dyDescent="0.3">
      <c r="A1197" t="s">
        <v>1227</v>
      </c>
      <c r="B1197" s="1">
        <v>45341</v>
      </c>
      <c r="C1197" t="s">
        <v>34</v>
      </c>
      <c r="D1197" t="s">
        <v>21</v>
      </c>
      <c r="E1197">
        <v>51</v>
      </c>
      <c r="F1197" t="s">
        <v>15</v>
      </c>
      <c r="G1197">
        <v>307.82</v>
      </c>
      <c r="H1197">
        <v>36</v>
      </c>
      <c r="I1197" t="s">
        <v>22</v>
      </c>
      <c r="J1197">
        <v>3.8</v>
      </c>
      <c r="K1197" t="s">
        <v>29</v>
      </c>
      <c r="L1197" t="s">
        <v>18</v>
      </c>
      <c r="M1197" t="str">
        <f>VLOOKUP(D1201,Restaurant_Master!A:B,2,FALSE)</f>
        <v>https://dineout-media-assets.swiggy.com/swiggy/image/upload/fl_lossy,f_auto,q_auto/v1660793737/fdqxvxcxg1wtdwvyv45v.jpg</v>
      </c>
    </row>
    <row r="1198" spans="1:13" x14ac:dyDescent="0.3">
      <c r="A1198" t="s">
        <v>1228</v>
      </c>
      <c r="B1198" s="1">
        <v>45584</v>
      </c>
      <c r="C1198" t="s">
        <v>20</v>
      </c>
      <c r="D1198" t="s">
        <v>32</v>
      </c>
      <c r="E1198">
        <v>30</v>
      </c>
      <c r="F1198" t="s">
        <v>28</v>
      </c>
      <c r="G1198">
        <v>364.48</v>
      </c>
      <c r="H1198">
        <v>59</v>
      </c>
      <c r="I1198" t="s">
        <v>16</v>
      </c>
      <c r="J1198">
        <v>3.5</v>
      </c>
      <c r="K1198" t="s">
        <v>29</v>
      </c>
      <c r="L1198" t="s">
        <v>23</v>
      </c>
      <c r="M1198" t="str">
        <f>VLOOKUP(D1202,Restaurant_Master!A:B,2,FALSE)</f>
        <v>https://dynamic-media-cdn.tripadvisor.com/media/photo-o/1c/e7/04/0d/front-of-the-local-easily.jpg</v>
      </c>
    </row>
    <row r="1199" spans="1:13" x14ac:dyDescent="0.3">
      <c r="A1199" t="s">
        <v>1229</v>
      </c>
      <c r="B1199" s="1">
        <v>45549</v>
      </c>
      <c r="C1199" t="s">
        <v>20</v>
      </c>
      <c r="D1199" t="s">
        <v>25</v>
      </c>
      <c r="E1199">
        <v>47</v>
      </c>
      <c r="F1199" t="s">
        <v>15</v>
      </c>
      <c r="G1199">
        <v>523.35</v>
      </c>
      <c r="H1199">
        <v>32</v>
      </c>
      <c r="I1199" t="s">
        <v>22</v>
      </c>
      <c r="J1199">
        <v>4.7</v>
      </c>
      <c r="K1199" t="s">
        <v>26</v>
      </c>
      <c r="L1199" t="s">
        <v>18</v>
      </c>
      <c r="M1199" t="str">
        <f>VLOOKUP(D1203,Restaurant_Master!A:B,2,FALSE)</f>
        <v>https://dynamic-media-cdn.tripadvisor.com/media/photo-o/1c/e7/04/0d/front-of-the-local-easily.jpg</v>
      </c>
    </row>
    <row r="1200" spans="1:13" x14ac:dyDescent="0.3">
      <c r="A1200" t="s">
        <v>1230</v>
      </c>
      <c r="B1200" s="1">
        <v>45301</v>
      </c>
      <c r="C1200" t="s">
        <v>36</v>
      </c>
      <c r="D1200" t="s">
        <v>25</v>
      </c>
      <c r="E1200">
        <v>35</v>
      </c>
      <c r="F1200" t="s">
        <v>15</v>
      </c>
      <c r="G1200">
        <v>1072.58</v>
      </c>
      <c r="H1200">
        <v>20</v>
      </c>
      <c r="I1200" t="s">
        <v>22</v>
      </c>
      <c r="J1200">
        <v>2.9</v>
      </c>
      <c r="K1200" t="s">
        <v>17</v>
      </c>
      <c r="L1200" t="s">
        <v>23</v>
      </c>
      <c r="M1200" t="str">
        <f>VLOOKUP(D1204,Restaurant_Master!A:B,2,FALSE)</f>
        <v>https://www.chatswoodinterchange.com/storages/2018/08/Sushi-World_666x448.jpg</v>
      </c>
    </row>
    <row r="1201" spans="1:13" x14ac:dyDescent="0.3">
      <c r="A1201" t="s">
        <v>1231</v>
      </c>
      <c r="B1201" s="1">
        <v>45355</v>
      </c>
      <c r="C1201" t="s">
        <v>43</v>
      </c>
      <c r="D1201" t="s">
        <v>14</v>
      </c>
      <c r="E1201">
        <v>20</v>
      </c>
      <c r="F1201" t="s">
        <v>15</v>
      </c>
      <c r="G1201">
        <v>212.94</v>
      </c>
      <c r="H1201">
        <v>23</v>
      </c>
      <c r="I1201" t="s">
        <v>22</v>
      </c>
      <c r="J1201">
        <v>4.0999999999999996</v>
      </c>
      <c r="K1201" t="s">
        <v>26</v>
      </c>
      <c r="L1201" t="s">
        <v>18</v>
      </c>
      <c r="M1201" t="str">
        <f>VLOOKUP(D1205,Restaurant_Master!A:B,2,FALSE)</f>
        <v>https://media-cdn.tripadvisor.com/media/photo-s/1c/c7/97/b6/photo6jpg.jpg</v>
      </c>
    </row>
    <row r="1202" spans="1:13" x14ac:dyDescent="0.3">
      <c r="A1202" t="s">
        <v>1232</v>
      </c>
      <c r="B1202" s="1">
        <v>45340</v>
      </c>
      <c r="C1202" t="s">
        <v>43</v>
      </c>
      <c r="D1202" t="s">
        <v>21</v>
      </c>
      <c r="E1202">
        <v>53</v>
      </c>
      <c r="F1202" t="s">
        <v>28</v>
      </c>
      <c r="G1202">
        <v>644.51</v>
      </c>
      <c r="H1202">
        <v>20</v>
      </c>
      <c r="I1202" t="s">
        <v>22</v>
      </c>
      <c r="J1202">
        <v>4.0999999999999996</v>
      </c>
      <c r="K1202" t="s">
        <v>26</v>
      </c>
      <c r="L1202" t="s">
        <v>18</v>
      </c>
      <c r="M1202" t="str">
        <f>VLOOKUP(D1206,Restaurant_Master!A:B,2,FALSE)</f>
        <v>https://dineout-media-assets.swiggy.com/swiggy/image/upload/fl_lossy,f_auto,q_auto/v1660793737/fdqxvxcxg1wtdwvyv45v.jpg</v>
      </c>
    </row>
    <row r="1203" spans="1:13" x14ac:dyDescent="0.3">
      <c r="A1203" t="s">
        <v>1233</v>
      </c>
      <c r="B1203" s="1">
        <v>45436</v>
      </c>
      <c r="C1203" t="s">
        <v>36</v>
      </c>
      <c r="D1203" t="s">
        <v>21</v>
      </c>
      <c r="E1203">
        <v>24</v>
      </c>
      <c r="F1203" t="s">
        <v>28</v>
      </c>
      <c r="G1203">
        <v>1011.92</v>
      </c>
      <c r="H1203">
        <v>40</v>
      </c>
      <c r="I1203" t="s">
        <v>22</v>
      </c>
      <c r="J1203">
        <v>3.7</v>
      </c>
      <c r="K1203" t="s">
        <v>26</v>
      </c>
      <c r="L1203" t="s">
        <v>23</v>
      </c>
      <c r="M1203" t="str">
        <f>VLOOKUP(D1207,Restaurant_Master!A:B,2,FALSE)</f>
        <v>https://www.chatswoodinterchange.com/storages/2018/08/Sushi-World_666x448.jpg</v>
      </c>
    </row>
    <row r="1204" spans="1:13" x14ac:dyDescent="0.3">
      <c r="A1204" t="s">
        <v>1234</v>
      </c>
      <c r="B1204" s="1">
        <v>45549</v>
      </c>
      <c r="C1204" t="s">
        <v>20</v>
      </c>
      <c r="D1204" t="s">
        <v>38</v>
      </c>
      <c r="E1204">
        <v>37</v>
      </c>
      <c r="F1204" t="s">
        <v>15</v>
      </c>
      <c r="G1204">
        <v>515.92999999999995</v>
      </c>
      <c r="H1204">
        <v>29</v>
      </c>
      <c r="I1204" t="s">
        <v>22</v>
      </c>
      <c r="J1204">
        <v>3.5</v>
      </c>
      <c r="K1204" t="s">
        <v>17</v>
      </c>
      <c r="L1204" t="s">
        <v>18</v>
      </c>
      <c r="M1204" t="str">
        <f>VLOOKUP(D1208,Restaurant_Master!A:B,2,FALSE)</f>
        <v>https://dineout-media-assets.swiggy.com/swiggy/image/upload/fl_lossy,f_auto,q_auto/v1660793737/fdqxvxcxg1wtdwvyv45v.jpg</v>
      </c>
    </row>
    <row r="1205" spans="1:13" x14ac:dyDescent="0.3">
      <c r="A1205" t="s">
        <v>1235</v>
      </c>
      <c r="B1205" s="1">
        <v>45483</v>
      </c>
      <c r="C1205" t="s">
        <v>36</v>
      </c>
      <c r="D1205" t="s">
        <v>25</v>
      </c>
      <c r="E1205">
        <v>21</v>
      </c>
      <c r="F1205" t="s">
        <v>28</v>
      </c>
      <c r="G1205">
        <v>156.15</v>
      </c>
      <c r="H1205">
        <v>40</v>
      </c>
      <c r="I1205" t="s">
        <v>22</v>
      </c>
      <c r="J1205">
        <v>3.3</v>
      </c>
      <c r="K1205" t="s">
        <v>26</v>
      </c>
      <c r="L1205" t="s">
        <v>18</v>
      </c>
      <c r="M1205" t="str">
        <f>VLOOKUP(D1209,Restaurant_Master!A:B,2,FALSE)</f>
        <v>https://dineout-media-assets.swiggy.com/swiggy/image/upload/fl_lossy,f_auto,q_auto/v1660793737/fdqxvxcxg1wtdwvyv45v.jpg</v>
      </c>
    </row>
    <row r="1206" spans="1:13" x14ac:dyDescent="0.3">
      <c r="A1206" t="s">
        <v>1236</v>
      </c>
      <c r="B1206" s="1">
        <v>45513</v>
      </c>
      <c r="C1206" t="s">
        <v>36</v>
      </c>
      <c r="D1206" t="s">
        <v>14</v>
      </c>
      <c r="E1206">
        <v>35</v>
      </c>
      <c r="F1206" t="s">
        <v>28</v>
      </c>
      <c r="G1206">
        <v>867.93</v>
      </c>
      <c r="H1206">
        <v>54</v>
      </c>
      <c r="I1206" t="s">
        <v>16</v>
      </c>
      <c r="J1206">
        <v>3.5</v>
      </c>
      <c r="K1206" t="s">
        <v>29</v>
      </c>
      <c r="L1206" t="s">
        <v>23</v>
      </c>
      <c r="M1206" t="str">
        <f>VLOOKUP(D1210,Restaurant_Master!A:B,2,FALSE)</f>
        <v>https://dineout-media-assets.swiggy.com/swiggy/image/upload/fl_lossy,f_auto,q_auto/v1660793737/fdqxvxcxg1wtdwvyv45v.jpg</v>
      </c>
    </row>
    <row r="1207" spans="1:13" x14ac:dyDescent="0.3">
      <c r="A1207" t="s">
        <v>1237</v>
      </c>
      <c r="B1207" s="1">
        <v>45332</v>
      </c>
      <c r="C1207" t="s">
        <v>36</v>
      </c>
      <c r="D1207" t="s">
        <v>38</v>
      </c>
      <c r="E1207">
        <v>42</v>
      </c>
      <c r="F1207" t="s">
        <v>28</v>
      </c>
      <c r="G1207">
        <v>376.34</v>
      </c>
      <c r="H1207">
        <v>28</v>
      </c>
      <c r="I1207" t="s">
        <v>22</v>
      </c>
      <c r="J1207">
        <v>3.2</v>
      </c>
      <c r="K1207" t="s">
        <v>26</v>
      </c>
      <c r="L1207" t="s">
        <v>23</v>
      </c>
      <c r="M1207" t="str">
        <f>VLOOKUP(D1211,Restaurant_Master!A:B,2,FALSE)</f>
        <v>https://dynamic-media-cdn.tripadvisor.com/media/photo-o/1c/e7/04/0d/front-of-the-local-easily.jpg</v>
      </c>
    </row>
    <row r="1208" spans="1:13" x14ac:dyDescent="0.3">
      <c r="A1208" t="s">
        <v>1238</v>
      </c>
      <c r="B1208" s="1">
        <v>45462</v>
      </c>
      <c r="C1208" t="s">
        <v>43</v>
      </c>
      <c r="D1208" t="s">
        <v>14</v>
      </c>
      <c r="E1208">
        <v>35</v>
      </c>
      <c r="F1208" t="s">
        <v>15</v>
      </c>
      <c r="G1208">
        <v>625.82000000000005</v>
      </c>
      <c r="H1208">
        <v>21</v>
      </c>
      <c r="I1208" t="s">
        <v>22</v>
      </c>
      <c r="J1208">
        <v>4</v>
      </c>
      <c r="K1208" t="s">
        <v>26</v>
      </c>
      <c r="L1208" t="s">
        <v>18</v>
      </c>
      <c r="M1208" t="str">
        <f>VLOOKUP(D1212,Restaurant_Master!A:B,2,FALSE)</f>
        <v>https://www.chatswoodinterchange.com/storages/2018/08/Sushi-World_666x448.jpg</v>
      </c>
    </row>
    <row r="1209" spans="1:13" x14ac:dyDescent="0.3">
      <c r="A1209" t="s">
        <v>1239</v>
      </c>
      <c r="B1209" s="1">
        <v>45432</v>
      </c>
      <c r="C1209" t="s">
        <v>20</v>
      </c>
      <c r="D1209" t="s">
        <v>14</v>
      </c>
      <c r="E1209">
        <v>44</v>
      </c>
      <c r="F1209" t="s">
        <v>15</v>
      </c>
      <c r="G1209">
        <v>282.73</v>
      </c>
      <c r="H1209">
        <v>52</v>
      </c>
      <c r="I1209" t="s">
        <v>16</v>
      </c>
      <c r="J1209">
        <v>3.2</v>
      </c>
      <c r="K1209" t="s">
        <v>17</v>
      </c>
      <c r="L1209" t="s">
        <v>18</v>
      </c>
      <c r="M1209" t="str">
        <f>VLOOKUP(D1213,Restaurant_Master!A:B,2,FALSE)</f>
        <v>https://media-cdn.tripadvisor.com/media/photo-s/1c/c7/97/b6/photo6jpg.jpg</v>
      </c>
    </row>
    <row r="1210" spans="1:13" x14ac:dyDescent="0.3">
      <c r="A1210" t="s">
        <v>1240</v>
      </c>
      <c r="B1210" s="1">
        <v>45502</v>
      </c>
      <c r="C1210" t="s">
        <v>36</v>
      </c>
      <c r="D1210" t="s">
        <v>14</v>
      </c>
      <c r="E1210">
        <v>51</v>
      </c>
      <c r="F1210" t="s">
        <v>15</v>
      </c>
      <c r="G1210">
        <v>1146</v>
      </c>
      <c r="H1210">
        <v>57</v>
      </c>
      <c r="I1210" t="s">
        <v>16</v>
      </c>
      <c r="J1210">
        <v>4.5</v>
      </c>
      <c r="K1210" t="s">
        <v>41</v>
      </c>
      <c r="L1210" t="s">
        <v>23</v>
      </c>
      <c r="M1210" t="str">
        <f>VLOOKUP(D1214,Restaurant_Master!A:B,2,FALSE)</f>
        <v>https://dineout-media-assets.swiggy.com/swiggy/image/upload/fl_lossy,f_auto,q_auto/v1660793737/fdqxvxcxg1wtdwvyv45v.jpg</v>
      </c>
    </row>
    <row r="1211" spans="1:13" x14ac:dyDescent="0.3">
      <c r="A1211" t="s">
        <v>1241</v>
      </c>
      <c r="B1211" s="1">
        <v>45650</v>
      </c>
      <c r="C1211" t="s">
        <v>20</v>
      </c>
      <c r="D1211" t="s">
        <v>21</v>
      </c>
      <c r="E1211">
        <v>18</v>
      </c>
      <c r="F1211" t="s">
        <v>15</v>
      </c>
      <c r="G1211">
        <v>704.76</v>
      </c>
      <c r="H1211">
        <v>56</v>
      </c>
      <c r="I1211" t="s">
        <v>16</v>
      </c>
      <c r="J1211">
        <v>2.7</v>
      </c>
      <c r="K1211" t="s">
        <v>26</v>
      </c>
      <c r="L1211" t="s">
        <v>23</v>
      </c>
      <c r="M1211" t="str">
        <f>VLOOKUP(D1215,Restaurant_Master!A:B,2,FALSE)</f>
        <v>https://media-cdn.tripadvisor.com/media/photo-s/1c/c7/97/b6/photo6jpg.jpg</v>
      </c>
    </row>
    <row r="1212" spans="1:13" x14ac:dyDescent="0.3">
      <c r="A1212" t="s">
        <v>1242</v>
      </c>
      <c r="B1212" s="1">
        <v>45562</v>
      </c>
      <c r="C1212" t="s">
        <v>36</v>
      </c>
      <c r="D1212" t="s">
        <v>38</v>
      </c>
      <c r="E1212">
        <v>42</v>
      </c>
      <c r="F1212" t="s">
        <v>15</v>
      </c>
      <c r="G1212">
        <v>320.99</v>
      </c>
      <c r="H1212">
        <v>26</v>
      </c>
      <c r="I1212" t="s">
        <v>22</v>
      </c>
      <c r="J1212">
        <v>3.4</v>
      </c>
      <c r="K1212" t="s">
        <v>29</v>
      </c>
      <c r="L1212" t="s">
        <v>23</v>
      </c>
      <c r="M1212" t="str">
        <f>VLOOKUP(D1216,Restaurant_Master!A:B,2,FALSE)</f>
        <v>https://media-cdn.tripadvisor.com/media/photo-s/1c/c7/97/b6/photo6jpg.jpg</v>
      </c>
    </row>
    <row r="1213" spans="1:13" x14ac:dyDescent="0.3">
      <c r="A1213" t="s">
        <v>1243</v>
      </c>
      <c r="B1213" s="1">
        <v>45349</v>
      </c>
      <c r="C1213" t="s">
        <v>43</v>
      </c>
      <c r="D1213" t="s">
        <v>25</v>
      </c>
      <c r="E1213">
        <v>32</v>
      </c>
      <c r="F1213" t="s">
        <v>15</v>
      </c>
      <c r="G1213">
        <v>272.55</v>
      </c>
      <c r="H1213">
        <v>51</v>
      </c>
      <c r="I1213" t="s">
        <v>16</v>
      </c>
      <c r="J1213">
        <v>4.5</v>
      </c>
      <c r="K1213" t="s">
        <v>41</v>
      </c>
      <c r="L1213" t="s">
        <v>18</v>
      </c>
      <c r="M1213" t="str">
        <f>VLOOKUP(D1217,Restaurant_Master!A:B,2,FALSE)</f>
        <v>https://dineout-media-assets.swiggy.com/swiggy/image/upload/fl_lossy,f_auto,q_auto/v1660793737/fdqxvxcxg1wtdwvyv45v.jpg</v>
      </c>
    </row>
    <row r="1214" spans="1:13" x14ac:dyDescent="0.3">
      <c r="A1214" t="s">
        <v>1244</v>
      </c>
      <c r="B1214" s="1">
        <v>45423</v>
      </c>
      <c r="C1214" t="s">
        <v>36</v>
      </c>
      <c r="D1214" t="s">
        <v>14</v>
      </c>
      <c r="E1214">
        <v>23</v>
      </c>
      <c r="F1214" t="s">
        <v>28</v>
      </c>
      <c r="G1214">
        <v>700.6</v>
      </c>
      <c r="H1214">
        <v>33</v>
      </c>
      <c r="I1214" t="s">
        <v>22</v>
      </c>
      <c r="J1214">
        <v>3.3</v>
      </c>
      <c r="K1214" t="s">
        <v>17</v>
      </c>
      <c r="L1214" t="s">
        <v>23</v>
      </c>
      <c r="M1214" t="str">
        <f>VLOOKUP(D1218,Restaurant_Master!A:B,2,FALSE)</f>
        <v>https://www.chatswoodinterchange.com/storages/2018/08/Sushi-World_666x448.jpg</v>
      </c>
    </row>
    <row r="1215" spans="1:13" x14ac:dyDescent="0.3">
      <c r="A1215" t="s">
        <v>1245</v>
      </c>
      <c r="B1215" s="1">
        <v>45529</v>
      </c>
      <c r="C1215" t="s">
        <v>20</v>
      </c>
      <c r="D1215" t="s">
        <v>25</v>
      </c>
      <c r="E1215">
        <v>27</v>
      </c>
      <c r="F1215" t="s">
        <v>15</v>
      </c>
      <c r="G1215">
        <v>196.99</v>
      </c>
      <c r="H1215">
        <v>25</v>
      </c>
      <c r="I1215" t="s">
        <v>22</v>
      </c>
      <c r="J1215">
        <v>3.3</v>
      </c>
      <c r="K1215" t="s">
        <v>26</v>
      </c>
      <c r="L1215" t="s">
        <v>18</v>
      </c>
      <c r="M1215" t="str">
        <f>VLOOKUP(D1219,Restaurant_Master!A:B,2,FALSE)</f>
        <v>https://dineout-media-assets.swiggy.com/swiggy/image/upload/fl_lossy,f_auto,q_auto/v1660793737/fdqxvxcxg1wtdwvyv45v.jpg</v>
      </c>
    </row>
    <row r="1216" spans="1:13" x14ac:dyDescent="0.3">
      <c r="A1216" t="s">
        <v>1246</v>
      </c>
      <c r="B1216" s="1">
        <v>45458</v>
      </c>
      <c r="C1216" t="s">
        <v>34</v>
      </c>
      <c r="D1216" t="s">
        <v>25</v>
      </c>
      <c r="E1216">
        <v>27</v>
      </c>
      <c r="F1216" t="s">
        <v>28</v>
      </c>
      <c r="G1216">
        <v>288.62</v>
      </c>
      <c r="H1216">
        <v>38</v>
      </c>
      <c r="I1216" t="s">
        <v>22</v>
      </c>
      <c r="J1216">
        <v>2.7</v>
      </c>
      <c r="K1216" t="s">
        <v>26</v>
      </c>
      <c r="L1216" t="s">
        <v>18</v>
      </c>
      <c r="M1216" t="str">
        <f>VLOOKUP(D1220,Restaurant_Master!A:B,2,FALSE)</f>
        <v>https://www.chatswoodinterchange.com/storages/2018/08/Sushi-World_666x448.jpg</v>
      </c>
    </row>
    <row r="1217" spans="1:13" x14ac:dyDescent="0.3">
      <c r="A1217" t="s">
        <v>1247</v>
      </c>
      <c r="B1217" s="1">
        <v>45382</v>
      </c>
      <c r="C1217" t="s">
        <v>36</v>
      </c>
      <c r="D1217" t="s">
        <v>14</v>
      </c>
      <c r="E1217">
        <v>55</v>
      </c>
      <c r="F1217" t="s">
        <v>15</v>
      </c>
      <c r="G1217">
        <v>243.73</v>
      </c>
      <c r="H1217">
        <v>28</v>
      </c>
      <c r="I1217" t="s">
        <v>22</v>
      </c>
      <c r="J1217">
        <v>2.8</v>
      </c>
      <c r="K1217" t="s">
        <v>26</v>
      </c>
      <c r="L1217" t="s">
        <v>18</v>
      </c>
      <c r="M1217" t="str">
        <f>VLOOKUP(D1221,Restaurant_Master!A:B,2,FALSE)</f>
        <v>https://dineout-media-assets.swiggy.com/swiggy/image/upload/fl_lossy,f_auto,q_auto/v1660793737/fdqxvxcxg1wtdwvyv45v.jpg</v>
      </c>
    </row>
    <row r="1218" spans="1:13" x14ac:dyDescent="0.3">
      <c r="A1218" t="s">
        <v>1248</v>
      </c>
      <c r="B1218" s="1">
        <v>45648</v>
      </c>
      <c r="C1218" t="s">
        <v>13</v>
      </c>
      <c r="D1218" t="s">
        <v>38</v>
      </c>
      <c r="E1218">
        <v>45</v>
      </c>
      <c r="F1218" t="s">
        <v>28</v>
      </c>
      <c r="G1218">
        <v>379.52</v>
      </c>
      <c r="H1218">
        <v>45</v>
      </c>
      <c r="I1218" t="s">
        <v>16</v>
      </c>
      <c r="J1218">
        <v>3.2</v>
      </c>
      <c r="K1218" t="s">
        <v>26</v>
      </c>
      <c r="L1218" t="s">
        <v>18</v>
      </c>
      <c r="M1218" t="str">
        <f>VLOOKUP(D1222,Restaurant_Master!A:B,2,FALSE)</f>
        <v>https://www.chatswoodinterchange.com/storages/2018/08/Sushi-World_666x448.jpg</v>
      </c>
    </row>
    <row r="1219" spans="1:13" x14ac:dyDescent="0.3">
      <c r="A1219" t="s">
        <v>1249</v>
      </c>
      <c r="B1219" s="1">
        <v>45358</v>
      </c>
      <c r="C1219" t="s">
        <v>20</v>
      </c>
      <c r="D1219" t="s">
        <v>14</v>
      </c>
      <c r="E1219">
        <v>34</v>
      </c>
      <c r="F1219" t="s">
        <v>15</v>
      </c>
      <c r="G1219">
        <v>543.69000000000005</v>
      </c>
      <c r="H1219">
        <v>45</v>
      </c>
      <c r="I1219" t="s">
        <v>16</v>
      </c>
      <c r="J1219">
        <v>4.8</v>
      </c>
      <c r="K1219" t="s">
        <v>26</v>
      </c>
      <c r="L1219" t="s">
        <v>23</v>
      </c>
      <c r="M1219" t="str">
        <f>VLOOKUP(D1223,Restaurant_Master!A:B,2,FALSE)</f>
        <v>https://media-cdn.tripadvisor.com/media/photo-s/1c/c7/97/b6/photo6jpg.jpg</v>
      </c>
    </row>
    <row r="1220" spans="1:13" x14ac:dyDescent="0.3">
      <c r="A1220" t="s">
        <v>1250</v>
      </c>
      <c r="B1220" s="1">
        <v>45400</v>
      </c>
      <c r="C1220" t="s">
        <v>20</v>
      </c>
      <c r="D1220" t="s">
        <v>38</v>
      </c>
      <c r="E1220">
        <v>38</v>
      </c>
      <c r="F1220" t="s">
        <v>15</v>
      </c>
      <c r="G1220">
        <v>564.30999999999995</v>
      </c>
      <c r="H1220">
        <v>57</v>
      </c>
      <c r="I1220" t="s">
        <v>16</v>
      </c>
      <c r="J1220">
        <v>4</v>
      </c>
      <c r="K1220" t="s">
        <v>41</v>
      </c>
      <c r="L1220" t="s">
        <v>18</v>
      </c>
      <c r="M1220" t="str">
        <f>VLOOKUP(D1224,Restaurant_Master!A:B,2,FALSE)</f>
        <v>https://media-cdn.tripadvisor.com/media/photo-s/1c/c7/97/b6/photo6jpg.jpg</v>
      </c>
    </row>
    <row r="1221" spans="1:13" x14ac:dyDescent="0.3">
      <c r="A1221" t="s">
        <v>1251</v>
      </c>
      <c r="B1221" s="1">
        <v>45353</v>
      </c>
      <c r="C1221" t="s">
        <v>43</v>
      </c>
      <c r="D1221" t="s">
        <v>14</v>
      </c>
      <c r="E1221">
        <v>37</v>
      </c>
      <c r="F1221" t="s">
        <v>28</v>
      </c>
      <c r="G1221">
        <v>1143.93</v>
      </c>
      <c r="H1221">
        <v>23</v>
      </c>
      <c r="I1221" t="s">
        <v>22</v>
      </c>
      <c r="J1221">
        <v>2.9</v>
      </c>
      <c r="K1221" t="s">
        <v>17</v>
      </c>
      <c r="L1221" t="s">
        <v>18</v>
      </c>
      <c r="M1221" t="str">
        <f>VLOOKUP(D1225,Restaurant_Master!A:B,2,FALSE)</f>
        <v>https://media-cdn.tripadvisor.com/media/photo-s/1c/c7/97/b6/photo6jpg.jpg</v>
      </c>
    </row>
    <row r="1222" spans="1:13" x14ac:dyDescent="0.3">
      <c r="A1222" t="s">
        <v>1252</v>
      </c>
      <c r="B1222" s="1">
        <v>45409</v>
      </c>
      <c r="C1222" t="s">
        <v>34</v>
      </c>
      <c r="D1222" t="s">
        <v>38</v>
      </c>
      <c r="E1222">
        <v>51</v>
      </c>
      <c r="F1222" t="s">
        <v>15</v>
      </c>
      <c r="G1222">
        <v>828.88</v>
      </c>
      <c r="H1222">
        <v>47</v>
      </c>
      <c r="I1222" t="s">
        <v>16</v>
      </c>
      <c r="J1222">
        <v>4.2</v>
      </c>
      <c r="K1222" t="s">
        <v>26</v>
      </c>
      <c r="L1222" t="s">
        <v>23</v>
      </c>
      <c r="M1222" t="str">
        <f>VLOOKUP(D1226,Restaurant_Master!A:B,2,FALSE)</f>
        <v>https://media-cdn.tripadvisor.com/media/photo-s/1c/c7/97/b6/photo6jpg.jpg</v>
      </c>
    </row>
    <row r="1223" spans="1:13" x14ac:dyDescent="0.3">
      <c r="A1223" t="s">
        <v>1253</v>
      </c>
      <c r="B1223" s="1">
        <v>45595</v>
      </c>
      <c r="C1223" t="s">
        <v>36</v>
      </c>
      <c r="D1223" t="s">
        <v>25</v>
      </c>
      <c r="E1223">
        <v>55</v>
      </c>
      <c r="F1223" t="s">
        <v>15</v>
      </c>
      <c r="G1223">
        <v>1030.0999999999999</v>
      </c>
      <c r="H1223">
        <v>59</v>
      </c>
      <c r="I1223" t="s">
        <v>16</v>
      </c>
      <c r="J1223">
        <v>4.0999999999999996</v>
      </c>
      <c r="K1223" t="s">
        <v>17</v>
      </c>
      <c r="L1223" t="s">
        <v>18</v>
      </c>
      <c r="M1223" t="str">
        <f>VLOOKUP(D1227,Restaurant_Master!A:B,2,FALSE)</f>
        <v>https://dynamic-media-cdn.tripadvisor.com/media/photo-o/1c/e7/04/0d/front-of-the-local-easily.jpg</v>
      </c>
    </row>
    <row r="1224" spans="1:13" x14ac:dyDescent="0.3">
      <c r="A1224" t="s">
        <v>1254</v>
      </c>
      <c r="B1224" s="1">
        <v>45637</v>
      </c>
      <c r="C1224" t="s">
        <v>36</v>
      </c>
      <c r="D1224" t="s">
        <v>25</v>
      </c>
      <c r="E1224">
        <v>41</v>
      </c>
      <c r="F1224" t="s">
        <v>28</v>
      </c>
      <c r="G1224">
        <v>1146.93</v>
      </c>
      <c r="H1224">
        <v>42</v>
      </c>
      <c r="I1224" t="s">
        <v>16</v>
      </c>
      <c r="J1224">
        <v>3.2</v>
      </c>
      <c r="K1224" t="s">
        <v>17</v>
      </c>
      <c r="L1224" t="s">
        <v>23</v>
      </c>
      <c r="M1224" t="str">
        <f>VLOOKUP(D1228,Restaurant_Master!A:B,2,FALSE)</f>
        <v>https://content.jdmagicbox.com/comp/deoria/g6/9999p5568.5568.200119143033.m4g6/catalogue/biryani-house-deoria-ho-deoria-mktc2xph0o.jpg</v>
      </c>
    </row>
    <row r="1225" spans="1:13" x14ac:dyDescent="0.3">
      <c r="A1225" t="s">
        <v>1255</v>
      </c>
      <c r="B1225" s="1">
        <v>45513</v>
      </c>
      <c r="C1225" t="s">
        <v>13</v>
      </c>
      <c r="D1225" t="s">
        <v>25</v>
      </c>
      <c r="E1225">
        <v>40</v>
      </c>
      <c r="F1225" t="s">
        <v>28</v>
      </c>
      <c r="G1225">
        <v>514.25</v>
      </c>
      <c r="H1225">
        <v>45</v>
      </c>
      <c r="I1225" t="s">
        <v>16</v>
      </c>
      <c r="J1225">
        <v>4.9000000000000004</v>
      </c>
      <c r="K1225" t="s">
        <v>29</v>
      </c>
      <c r="L1225" t="s">
        <v>23</v>
      </c>
      <c r="M1225" t="str">
        <f>VLOOKUP(D1229,Restaurant_Master!A:B,2,FALSE)</f>
        <v>https://content.jdmagicbox.com/comp/deoria/g6/9999p5568.5568.200119143033.m4g6/catalogue/biryani-house-deoria-ho-deoria-mktc2xph0o.jpg</v>
      </c>
    </row>
    <row r="1226" spans="1:13" x14ac:dyDescent="0.3">
      <c r="A1226" t="s">
        <v>1256</v>
      </c>
      <c r="B1226" s="1">
        <v>45583</v>
      </c>
      <c r="C1226" t="s">
        <v>43</v>
      </c>
      <c r="D1226" t="s">
        <v>25</v>
      </c>
      <c r="E1226">
        <v>37</v>
      </c>
      <c r="F1226" t="s">
        <v>28</v>
      </c>
      <c r="G1226">
        <v>720.75</v>
      </c>
      <c r="H1226">
        <v>38</v>
      </c>
      <c r="I1226" t="s">
        <v>22</v>
      </c>
      <c r="J1226">
        <v>3.2</v>
      </c>
      <c r="K1226" t="s">
        <v>17</v>
      </c>
      <c r="L1226" t="s">
        <v>23</v>
      </c>
      <c r="M1226" t="str">
        <f>VLOOKUP(D1230,Restaurant_Master!A:B,2,FALSE)</f>
        <v>https://content.jdmagicbox.com/comp/deoria/g6/9999p5568.5568.200119143033.m4g6/catalogue/biryani-house-deoria-ho-deoria-mktc2xph0o.jpg</v>
      </c>
    </row>
    <row r="1227" spans="1:13" x14ac:dyDescent="0.3">
      <c r="A1227" t="s">
        <v>1257</v>
      </c>
      <c r="B1227" s="1">
        <v>45292</v>
      </c>
      <c r="C1227" t="s">
        <v>13</v>
      </c>
      <c r="D1227" t="s">
        <v>21</v>
      </c>
      <c r="E1227">
        <v>39</v>
      </c>
      <c r="F1227" t="s">
        <v>15</v>
      </c>
      <c r="G1227">
        <v>336.83</v>
      </c>
      <c r="H1227">
        <v>32</v>
      </c>
      <c r="I1227" t="s">
        <v>22</v>
      </c>
      <c r="J1227">
        <v>2.9</v>
      </c>
      <c r="K1227" t="s">
        <v>29</v>
      </c>
      <c r="L1227" t="s">
        <v>18</v>
      </c>
      <c r="M1227" t="str">
        <f>VLOOKUP(D1231,Restaurant_Master!A:B,2,FALSE)</f>
        <v>https://media-cdn.tripadvisor.com/media/photo-s/1c/c7/97/b6/photo6jpg.jpg</v>
      </c>
    </row>
    <row r="1228" spans="1:13" x14ac:dyDescent="0.3">
      <c r="A1228" t="s">
        <v>1258</v>
      </c>
      <c r="B1228" s="1">
        <v>45447</v>
      </c>
      <c r="C1228" t="s">
        <v>13</v>
      </c>
      <c r="D1228" t="s">
        <v>32</v>
      </c>
      <c r="E1228">
        <v>23</v>
      </c>
      <c r="F1228" t="s">
        <v>15</v>
      </c>
      <c r="G1228">
        <v>295.16000000000003</v>
      </c>
      <c r="H1228">
        <v>34</v>
      </c>
      <c r="I1228" t="s">
        <v>22</v>
      </c>
      <c r="J1228">
        <v>4.7</v>
      </c>
      <c r="K1228" t="s">
        <v>26</v>
      </c>
      <c r="L1228" t="s">
        <v>18</v>
      </c>
      <c r="M1228" t="str">
        <f>VLOOKUP(D1232,Restaurant_Master!A:B,2,FALSE)</f>
        <v>https://www.chatswoodinterchange.com/storages/2018/08/Sushi-World_666x448.jpg</v>
      </c>
    </row>
    <row r="1229" spans="1:13" x14ac:dyDescent="0.3">
      <c r="A1229" t="s">
        <v>1259</v>
      </c>
      <c r="B1229" s="1">
        <v>45430</v>
      </c>
      <c r="C1229" t="s">
        <v>20</v>
      </c>
      <c r="D1229" t="s">
        <v>32</v>
      </c>
      <c r="E1229">
        <v>39</v>
      </c>
      <c r="F1229" t="s">
        <v>28</v>
      </c>
      <c r="G1229">
        <v>1196.5999999999999</v>
      </c>
      <c r="H1229">
        <v>57</v>
      </c>
      <c r="I1229" t="s">
        <v>16</v>
      </c>
      <c r="J1229">
        <v>3.2</v>
      </c>
      <c r="K1229" t="s">
        <v>29</v>
      </c>
      <c r="L1229" t="s">
        <v>23</v>
      </c>
      <c r="M1229" t="str">
        <f>VLOOKUP(D1233,Restaurant_Master!A:B,2,FALSE)</f>
        <v>https://dineout-media-assets.swiggy.com/swiggy/image/upload/fl_lossy,f_auto,q_auto/v1660793737/fdqxvxcxg1wtdwvyv45v.jpg</v>
      </c>
    </row>
    <row r="1230" spans="1:13" x14ac:dyDescent="0.3">
      <c r="A1230" t="s">
        <v>1260</v>
      </c>
      <c r="B1230" s="1">
        <v>45502</v>
      </c>
      <c r="C1230" t="s">
        <v>36</v>
      </c>
      <c r="D1230" t="s">
        <v>32</v>
      </c>
      <c r="E1230">
        <v>47</v>
      </c>
      <c r="F1230" t="s">
        <v>15</v>
      </c>
      <c r="G1230">
        <v>1001.24</v>
      </c>
      <c r="H1230">
        <v>43</v>
      </c>
      <c r="I1230" t="s">
        <v>16</v>
      </c>
      <c r="J1230">
        <v>4.8</v>
      </c>
      <c r="K1230" t="s">
        <v>41</v>
      </c>
      <c r="L1230" t="s">
        <v>18</v>
      </c>
      <c r="M1230" t="str">
        <f>VLOOKUP(D1234,Restaurant_Master!A:B,2,FALSE)</f>
        <v>https://dineout-media-assets.swiggy.com/swiggy/image/upload/fl_lossy,f_auto,q_auto/v1660793737/fdqxvxcxg1wtdwvyv45v.jpg</v>
      </c>
    </row>
    <row r="1231" spans="1:13" x14ac:dyDescent="0.3">
      <c r="A1231" t="s">
        <v>1261</v>
      </c>
      <c r="B1231" s="1">
        <v>45328</v>
      </c>
      <c r="C1231" t="s">
        <v>36</v>
      </c>
      <c r="D1231" t="s">
        <v>25</v>
      </c>
      <c r="E1231">
        <v>49</v>
      </c>
      <c r="F1231" t="s">
        <v>28</v>
      </c>
      <c r="G1231">
        <v>293.45999999999998</v>
      </c>
      <c r="H1231">
        <v>35</v>
      </c>
      <c r="I1231" t="s">
        <v>22</v>
      </c>
      <c r="J1231">
        <v>2.8</v>
      </c>
      <c r="K1231" t="s">
        <v>17</v>
      </c>
      <c r="L1231" t="s">
        <v>23</v>
      </c>
      <c r="M1231" t="str">
        <f>VLOOKUP(D1235,Restaurant_Master!A:B,2,FALSE)</f>
        <v>https://www.chatswoodinterchange.com/storages/2018/08/Sushi-World_666x448.jpg</v>
      </c>
    </row>
    <row r="1232" spans="1:13" x14ac:dyDescent="0.3">
      <c r="A1232" t="s">
        <v>1262</v>
      </c>
      <c r="B1232" s="1">
        <v>45469</v>
      </c>
      <c r="C1232" t="s">
        <v>20</v>
      </c>
      <c r="D1232" t="s">
        <v>38</v>
      </c>
      <c r="E1232">
        <v>18</v>
      </c>
      <c r="F1232" t="s">
        <v>28</v>
      </c>
      <c r="G1232">
        <v>1097.8399999999999</v>
      </c>
      <c r="H1232">
        <v>34</v>
      </c>
      <c r="I1232" t="s">
        <v>22</v>
      </c>
      <c r="J1232">
        <v>3.1</v>
      </c>
      <c r="K1232" t="s">
        <v>26</v>
      </c>
      <c r="L1232" t="s">
        <v>18</v>
      </c>
      <c r="M1232" t="str">
        <f>VLOOKUP(D1236,Restaurant_Master!A:B,2,FALSE)</f>
        <v>https://www.chatswoodinterchange.com/storages/2018/08/Sushi-World_666x448.jpg</v>
      </c>
    </row>
    <row r="1233" spans="1:13" x14ac:dyDescent="0.3">
      <c r="A1233" t="s">
        <v>1263</v>
      </c>
      <c r="B1233" s="1">
        <v>45333</v>
      </c>
      <c r="C1233" t="s">
        <v>20</v>
      </c>
      <c r="D1233" t="s">
        <v>14</v>
      </c>
      <c r="E1233">
        <v>19</v>
      </c>
      <c r="F1233" t="s">
        <v>15</v>
      </c>
      <c r="G1233">
        <v>245.62</v>
      </c>
      <c r="H1233">
        <v>27</v>
      </c>
      <c r="I1233" t="s">
        <v>22</v>
      </c>
      <c r="J1233">
        <v>4.7</v>
      </c>
      <c r="K1233" t="s">
        <v>26</v>
      </c>
      <c r="L1233" t="s">
        <v>18</v>
      </c>
      <c r="M1233" t="str">
        <f>VLOOKUP(D1237,Restaurant_Master!A:B,2,FALSE)</f>
        <v>https://media-cdn.tripadvisor.com/media/photo-s/1c/c7/97/b6/photo6jpg.jpg</v>
      </c>
    </row>
    <row r="1234" spans="1:13" x14ac:dyDescent="0.3">
      <c r="A1234" t="s">
        <v>1264</v>
      </c>
      <c r="B1234" s="1">
        <v>45342</v>
      </c>
      <c r="C1234" t="s">
        <v>36</v>
      </c>
      <c r="D1234" t="s">
        <v>14</v>
      </c>
      <c r="E1234">
        <v>27</v>
      </c>
      <c r="F1234" t="s">
        <v>15</v>
      </c>
      <c r="G1234">
        <v>670.59</v>
      </c>
      <c r="H1234">
        <v>42</v>
      </c>
      <c r="I1234" t="s">
        <v>16</v>
      </c>
      <c r="J1234">
        <v>4</v>
      </c>
      <c r="K1234" t="s">
        <v>29</v>
      </c>
      <c r="L1234" t="s">
        <v>23</v>
      </c>
      <c r="M1234" t="str">
        <f>VLOOKUP(D1238,Restaurant_Master!A:B,2,FALSE)</f>
        <v>https://dineout-media-assets.swiggy.com/swiggy/image/upload/fl_lossy,f_auto,q_auto/v1660793737/fdqxvxcxg1wtdwvyv45v.jpg</v>
      </c>
    </row>
    <row r="1235" spans="1:13" x14ac:dyDescent="0.3">
      <c r="A1235" t="s">
        <v>1265</v>
      </c>
      <c r="B1235" s="1">
        <v>45349</v>
      </c>
      <c r="C1235" t="s">
        <v>36</v>
      </c>
      <c r="D1235" t="s">
        <v>38</v>
      </c>
      <c r="E1235">
        <v>21</v>
      </c>
      <c r="F1235" t="s">
        <v>28</v>
      </c>
      <c r="G1235">
        <v>867.92</v>
      </c>
      <c r="H1235">
        <v>45</v>
      </c>
      <c r="I1235" t="s">
        <v>16</v>
      </c>
      <c r="J1235">
        <v>2.8</v>
      </c>
      <c r="K1235" t="s">
        <v>17</v>
      </c>
      <c r="L1235" t="s">
        <v>18</v>
      </c>
      <c r="M1235" t="str">
        <f>VLOOKUP(D1239,Restaurant_Master!A:B,2,FALSE)</f>
        <v>https://content.jdmagicbox.com/comp/deoria/g6/9999p5568.5568.200119143033.m4g6/catalogue/biryani-house-deoria-ho-deoria-mktc2xph0o.jpg</v>
      </c>
    </row>
    <row r="1236" spans="1:13" x14ac:dyDescent="0.3">
      <c r="A1236" t="s">
        <v>1266</v>
      </c>
      <c r="B1236" s="1">
        <v>45459</v>
      </c>
      <c r="C1236" t="s">
        <v>13</v>
      </c>
      <c r="D1236" t="s">
        <v>38</v>
      </c>
      <c r="E1236">
        <v>57</v>
      </c>
      <c r="F1236" t="s">
        <v>28</v>
      </c>
      <c r="G1236">
        <v>933.18</v>
      </c>
      <c r="H1236">
        <v>55</v>
      </c>
      <c r="I1236" t="s">
        <v>16</v>
      </c>
      <c r="J1236">
        <v>3.4</v>
      </c>
      <c r="K1236" t="s">
        <v>41</v>
      </c>
      <c r="L1236" t="s">
        <v>23</v>
      </c>
      <c r="M1236" t="str">
        <f>VLOOKUP(D1240,Restaurant_Master!A:B,2,FALSE)</f>
        <v>https://dynamic-media-cdn.tripadvisor.com/media/photo-o/1c/e7/04/0d/front-of-the-local-easily.jpg</v>
      </c>
    </row>
    <row r="1237" spans="1:13" x14ac:dyDescent="0.3">
      <c r="A1237" t="s">
        <v>1267</v>
      </c>
      <c r="B1237" s="1">
        <v>45588</v>
      </c>
      <c r="C1237" t="s">
        <v>36</v>
      </c>
      <c r="D1237" t="s">
        <v>25</v>
      </c>
      <c r="E1237">
        <v>34</v>
      </c>
      <c r="F1237" t="s">
        <v>28</v>
      </c>
      <c r="G1237">
        <v>327.14</v>
      </c>
      <c r="H1237">
        <v>29</v>
      </c>
      <c r="I1237" t="s">
        <v>22</v>
      </c>
      <c r="J1237">
        <v>2.8</v>
      </c>
      <c r="K1237" t="s">
        <v>17</v>
      </c>
      <c r="L1237" t="s">
        <v>18</v>
      </c>
      <c r="M1237" t="str">
        <f>VLOOKUP(D1241,Restaurant_Master!A:B,2,FALSE)</f>
        <v>https://content.jdmagicbox.com/comp/deoria/g6/9999p5568.5568.200119143033.m4g6/catalogue/biryani-house-deoria-ho-deoria-mktc2xph0o.jpg</v>
      </c>
    </row>
    <row r="1238" spans="1:13" x14ac:dyDescent="0.3">
      <c r="A1238" t="s">
        <v>1268</v>
      </c>
      <c r="B1238" s="1">
        <v>45355</v>
      </c>
      <c r="C1238" t="s">
        <v>13</v>
      </c>
      <c r="D1238" t="s">
        <v>14</v>
      </c>
      <c r="E1238">
        <v>59</v>
      </c>
      <c r="F1238" t="s">
        <v>15</v>
      </c>
      <c r="G1238">
        <v>221.96</v>
      </c>
      <c r="H1238">
        <v>36</v>
      </c>
      <c r="I1238" t="s">
        <v>22</v>
      </c>
      <c r="J1238">
        <v>3.4</v>
      </c>
      <c r="K1238" t="s">
        <v>26</v>
      </c>
      <c r="L1238" t="s">
        <v>23</v>
      </c>
      <c r="M1238" t="str">
        <f>VLOOKUP(D1242,Restaurant_Master!A:B,2,FALSE)</f>
        <v>https://dynamic-media-cdn.tripadvisor.com/media/photo-o/1c/e7/04/0d/front-of-the-local-easily.jpg</v>
      </c>
    </row>
    <row r="1239" spans="1:13" x14ac:dyDescent="0.3">
      <c r="A1239" t="s">
        <v>1269</v>
      </c>
      <c r="B1239" s="1">
        <v>45484</v>
      </c>
      <c r="C1239" t="s">
        <v>43</v>
      </c>
      <c r="D1239" t="s">
        <v>32</v>
      </c>
      <c r="E1239">
        <v>21</v>
      </c>
      <c r="F1239" t="s">
        <v>15</v>
      </c>
      <c r="G1239">
        <v>1100.1400000000001</v>
      </c>
      <c r="H1239">
        <v>23</v>
      </c>
      <c r="I1239" t="s">
        <v>22</v>
      </c>
      <c r="J1239">
        <v>4.2</v>
      </c>
      <c r="K1239" t="s">
        <v>29</v>
      </c>
      <c r="L1239" t="s">
        <v>18</v>
      </c>
      <c r="M1239" t="str">
        <f>VLOOKUP(D1243,Restaurant_Master!A:B,2,FALSE)</f>
        <v>https://dynamic-media-cdn.tripadvisor.com/media/photo-o/1c/e7/04/0d/front-of-the-local-easily.jpg</v>
      </c>
    </row>
    <row r="1240" spans="1:13" x14ac:dyDescent="0.3">
      <c r="A1240" t="s">
        <v>1270</v>
      </c>
      <c r="B1240" s="1">
        <v>45374</v>
      </c>
      <c r="C1240" t="s">
        <v>36</v>
      </c>
      <c r="D1240" t="s">
        <v>21</v>
      </c>
      <c r="E1240">
        <v>25</v>
      </c>
      <c r="F1240" t="s">
        <v>28</v>
      </c>
      <c r="G1240">
        <v>687.51</v>
      </c>
      <c r="H1240">
        <v>40</v>
      </c>
      <c r="I1240" t="s">
        <v>22</v>
      </c>
      <c r="J1240">
        <v>3.8</v>
      </c>
      <c r="K1240" t="s">
        <v>17</v>
      </c>
      <c r="L1240" t="s">
        <v>18</v>
      </c>
      <c r="M1240" t="str">
        <f>VLOOKUP(D1244,Restaurant_Master!A:B,2,FALSE)</f>
        <v>https://www.chatswoodinterchange.com/storages/2018/08/Sushi-World_666x448.jpg</v>
      </c>
    </row>
    <row r="1241" spans="1:13" x14ac:dyDescent="0.3">
      <c r="A1241" t="s">
        <v>1271</v>
      </c>
      <c r="B1241" s="1">
        <v>45355</v>
      </c>
      <c r="C1241" t="s">
        <v>36</v>
      </c>
      <c r="D1241" t="s">
        <v>32</v>
      </c>
      <c r="E1241">
        <v>24</v>
      </c>
      <c r="F1241" t="s">
        <v>28</v>
      </c>
      <c r="G1241">
        <v>1043.33</v>
      </c>
      <c r="H1241">
        <v>23</v>
      </c>
      <c r="I1241" t="s">
        <v>22</v>
      </c>
      <c r="J1241">
        <v>2.8</v>
      </c>
      <c r="K1241" t="s">
        <v>41</v>
      </c>
      <c r="L1241" t="s">
        <v>18</v>
      </c>
      <c r="M1241" t="str">
        <f>VLOOKUP(D1245,Restaurant_Master!A:B,2,FALSE)</f>
        <v>https://www.chatswoodinterchange.com/storages/2018/08/Sushi-World_666x448.jpg</v>
      </c>
    </row>
    <row r="1242" spans="1:13" x14ac:dyDescent="0.3">
      <c r="A1242" t="s">
        <v>1272</v>
      </c>
      <c r="B1242" s="1">
        <v>45350</v>
      </c>
      <c r="C1242" t="s">
        <v>20</v>
      </c>
      <c r="D1242" t="s">
        <v>21</v>
      </c>
      <c r="E1242">
        <v>18</v>
      </c>
      <c r="F1242" t="s">
        <v>15</v>
      </c>
      <c r="G1242">
        <v>898.77</v>
      </c>
      <c r="H1242">
        <v>31</v>
      </c>
      <c r="I1242" t="s">
        <v>22</v>
      </c>
      <c r="J1242">
        <v>4.7</v>
      </c>
      <c r="K1242" t="s">
        <v>41</v>
      </c>
      <c r="L1242" t="s">
        <v>23</v>
      </c>
      <c r="M1242" t="str">
        <f>VLOOKUP(D1246,Restaurant_Master!A:B,2,FALSE)</f>
        <v>https://dynamic-media-cdn.tripadvisor.com/media/photo-o/1c/e7/04/0d/front-of-the-local-easily.jpg</v>
      </c>
    </row>
    <row r="1243" spans="1:13" x14ac:dyDescent="0.3">
      <c r="A1243" t="s">
        <v>1273</v>
      </c>
      <c r="B1243" s="1">
        <v>45599</v>
      </c>
      <c r="C1243" t="s">
        <v>20</v>
      </c>
      <c r="D1243" t="s">
        <v>21</v>
      </c>
      <c r="E1243">
        <v>54</v>
      </c>
      <c r="F1243" t="s">
        <v>28</v>
      </c>
      <c r="G1243">
        <v>764.28</v>
      </c>
      <c r="H1243">
        <v>55</v>
      </c>
      <c r="I1243" t="s">
        <v>16</v>
      </c>
      <c r="J1243">
        <v>4.8</v>
      </c>
      <c r="K1243" t="s">
        <v>29</v>
      </c>
      <c r="L1243" t="s">
        <v>18</v>
      </c>
      <c r="M1243" t="str">
        <f>VLOOKUP(D1247,Restaurant_Master!A:B,2,FALSE)</f>
        <v>https://dineout-media-assets.swiggy.com/swiggy/image/upload/fl_lossy,f_auto,q_auto/v1660793737/fdqxvxcxg1wtdwvyv45v.jpg</v>
      </c>
    </row>
    <row r="1244" spans="1:13" x14ac:dyDescent="0.3">
      <c r="A1244" t="s">
        <v>1274</v>
      </c>
      <c r="B1244" s="1">
        <v>45374</v>
      </c>
      <c r="C1244" t="s">
        <v>34</v>
      </c>
      <c r="D1244" t="s">
        <v>38</v>
      </c>
      <c r="E1244">
        <v>49</v>
      </c>
      <c r="F1244" t="s">
        <v>15</v>
      </c>
      <c r="G1244">
        <v>355.68</v>
      </c>
      <c r="H1244">
        <v>21</v>
      </c>
      <c r="I1244" t="s">
        <v>22</v>
      </c>
      <c r="J1244">
        <v>4.8</v>
      </c>
      <c r="K1244" t="s">
        <v>41</v>
      </c>
      <c r="L1244" t="s">
        <v>23</v>
      </c>
      <c r="M1244" t="str">
        <f>VLOOKUP(D1248,Restaurant_Master!A:B,2,FALSE)</f>
        <v>https://www.chatswoodinterchange.com/storages/2018/08/Sushi-World_666x448.jpg</v>
      </c>
    </row>
    <row r="1245" spans="1:13" x14ac:dyDescent="0.3">
      <c r="A1245" t="s">
        <v>1275</v>
      </c>
      <c r="B1245" s="1">
        <v>45489</v>
      </c>
      <c r="C1245" t="s">
        <v>34</v>
      </c>
      <c r="D1245" t="s">
        <v>38</v>
      </c>
      <c r="E1245">
        <v>22</v>
      </c>
      <c r="F1245" t="s">
        <v>28</v>
      </c>
      <c r="G1245">
        <v>1144.51</v>
      </c>
      <c r="H1245">
        <v>30</v>
      </c>
      <c r="I1245" t="s">
        <v>22</v>
      </c>
      <c r="J1245">
        <v>4.9000000000000004</v>
      </c>
      <c r="K1245" t="s">
        <v>17</v>
      </c>
      <c r="L1245" t="s">
        <v>18</v>
      </c>
      <c r="M1245" t="str">
        <f>VLOOKUP(D1249,Restaurant_Master!A:B,2,FALSE)</f>
        <v>https://www.chatswoodinterchange.com/storages/2018/08/Sushi-World_666x448.jpg</v>
      </c>
    </row>
    <row r="1246" spans="1:13" x14ac:dyDescent="0.3">
      <c r="A1246" t="s">
        <v>1276</v>
      </c>
      <c r="B1246" s="1">
        <v>45559</v>
      </c>
      <c r="C1246" t="s">
        <v>20</v>
      </c>
      <c r="D1246" t="s">
        <v>21</v>
      </c>
      <c r="E1246">
        <v>24</v>
      </c>
      <c r="F1246" t="s">
        <v>15</v>
      </c>
      <c r="G1246">
        <v>906.82</v>
      </c>
      <c r="H1246">
        <v>46</v>
      </c>
      <c r="I1246" t="s">
        <v>16</v>
      </c>
      <c r="J1246">
        <v>4.2</v>
      </c>
      <c r="K1246" t="s">
        <v>26</v>
      </c>
      <c r="L1246" t="s">
        <v>18</v>
      </c>
      <c r="M1246" t="str">
        <f>VLOOKUP(D1250,Restaurant_Master!A:B,2,FALSE)</f>
        <v>https://www.chatswoodinterchange.com/storages/2018/08/Sushi-World_666x448.jpg</v>
      </c>
    </row>
    <row r="1247" spans="1:13" x14ac:dyDescent="0.3">
      <c r="A1247" t="s">
        <v>1277</v>
      </c>
      <c r="B1247" s="1">
        <v>45544</v>
      </c>
      <c r="C1247" t="s">
        <v>43</v>
      </c>
      <c r="D1247" t="s">
        <v>14</v>
      </c>
      <c r="E1247">
        <v>22</v>
      </c>
      <c r="F1247" t="s">
        <v>15</v>
      </c>
      <c r="G1247">
        <v>334.29</v>
      </c>
      <c r="H1247">
        <v>54</v>
      </c>
      <c r="I1247" t="s">
        <v>16</v>
      </c>
      <c r="J1247">
        <v>4.8</v>
      </c>
      <c r="K1247" t="s">
        <v>41</v>
      </c>
      <c r="L1247" t="s">
        <v>18</v>
      </c>
      <c r="M1247" t="str">
        <f>VLOOKUP(D1251,Restaurant_Master!A:B,2,FALSE)</f>
        <v>https://dineout-media-assets.swiggy.com/swiggy/image/upload/fl_lossy,f_auto,q_auto/v1660793737/fdqxvxcxg1wtdwvyv45v.jpg</v>
      </c>
    </row>
    <row r="1248" spans="1:13" x14ac:dyDescent="0.3">
      <c r="A1248" t="s">
        <v>1278</v>
      </c>
      <c r="B1248" s="1">
        <v>45537</v>
      </c>
      <c r="C1248" t="s">
        <v>20</v>
      </c>
      <c r="D1248" t="s">
        <v>38</v>
      </c>
      <c r="E1248">
        <v>47</v>
      </c>
      <c r="F1248" t="s">
        <v>15</v>
      </c>
      <c r="G1248">
        <v>954.07</v>
      </c>
      <c r="H1248">
        <v>48</v>
      </c>
      <c r="I1248" t="s">
        <v>16</v>
      </c>
      <c r="J1248">
        <v>2.5</v>
      </c>
      <c r="K1248" t="s">
        <v>29</v>
      </c>
      <c r="L1248" t="s">
        <v>23</v>
      </c>
      <c r="M1248" t="str">
        <f>VLOOKUP(D1252,Restaurant_Master!A:B,2,FALSE)</f>
        <v>https://dineout-media-assets.swiggy.com/swiggy/image/upload/fl_lossy,f_auto,q_auto/v1660793737/fdqxvxcxg1wtdwvyv45v.jpg</v>
      </c>
    </row>
    <row r="1249" spans="1:13" x14ac:dyDescent="0.3">
      <c r="A1249" t="s">
        <v>1279</v>
      </c>
      <c r="B1249" s="1">
        <v>45549</v>
      </c>
      <c r="C1249" t="s">
        <v>20</v>
      </c>
      <c r="D1249" t="s">
        <v>38</v>
      </c>
      <c r="E1249">
        <v>36</v>
      </c>
      <c r="F1249" t="s">
        <v>28</v>
      </c>
      <c r="G1249">
        <v>256.11</v>
      </c>
      <c r="H1249">
        <v>56</v>
      </c>
      <c r="I1249" t="s">
        <v>16</v>
      </c>
      <c r="J1249">
        <v>4.5999999999999996</v>
      </c>
      <c r="K1249" t="s">
        <v>41</v>
      </c>
      <c r="L1249" t="s">
        <v>23</v>
      </c>
      <c r="M1249" t="str">
        <f>VLOOKUP(D1253,Restaurant_Master!A:B,2,FALSE)</f>
        <v>https://www.chatswoodinterchange.com/storages/2018/08/Sushi-World_666x448.jpg</v>
      </c>
    </row>
    <row r="1250" spans="1:13" x14ac:dyDescent="0.3">
      <c r="A1250" t="s">
        <v>1280</v>
      </c>
      <c r="B1250" s="1">
        <v>45545</v>
      </c>
      <c r="C1250" t="s">
        <v>36</v>
      </c>
      <c r="D1250" t="s">
        <v>38</v>
      </c>
      <c r="E1250">
        <v>24</v>
      </c>
      <c r="F1250" t="s">
        <v>28</v>
      </c>
      <c r="G1250">
        <v>632.30999999999995</v>
      </c>
      <c r="H1250">
        <v>32</v>
      </c>
      <c r="I1250" t="s">
        <v>22</v>
      </c>
      <c r="J1250">
        <v>4.9000000000000004</v>
      </c>
      <c r="K1250" t="s">
        <v>17</v>
      </c>
      <c r="L1250" t="s">
        <v>18</v>
      </c>
      <c r="M1250" t="str">
        <f>VLOOKUP(D1254,Restaurant_Master!A:B,2,FALSE)</f>
        <v>https://media-cdn.tripadvisor.com/media/photo-s/1c/c7/97/b6/photo6jpg.jpg</v>
      </c>
    </row>
    <row r="1251" spans="1:13" x14ac:dyDescent="0.3">
      <c r="A1251" t="s">
        <v>1281</v>
      </c>
      <c r="B1251" s="1">
        <v>45426</v>
      </c>
      <c r="C1251" t="s">
        <v>43</v>
      </c>
      <c r="D1251" t="s">
        <v>14</v>
      </c>
      <c r="E1251">
        <v>46</v>
      </c>
      <c r="F1251" t="s">
        <v>15</v>
      </c>
      <c r="G1251">
        <v>597.45000000000005</v>
      </c>
      <c r="H1251">
        <v>50</v>
      </c>
      <c r="I1251" t="s">
        <v>16</v>
      </c>
      <c r="J1251">
        <v>3</v>
      </c>
      <c r="K1251" t="s">
        <v>29</v>
      </c>
      <c r="L1251" t="s">
        <v>18</v>
      </c>
      <c r="M1251" t="str">
        <f>VLOOKUP(D1255,Restaurant_Master!A:B,2,FALSE)</f>
        <v>https://content.jdmagicbox.com/comp/deoria/g6/9999p5568.5568.200119143033.m4g6/catalogue/biryani-house-deoria-ho-deoria-mktc2xph0o.jpg</v>
      </c>
    </row>
    <row r="1252" spans="1:13" x14ac:dyDescent="0.3">
      <c r="A1252" t="s">
        <v>1282</v>
      </c>
      <c r="B1252" s="1">
        <v>45393</v>
      </c>
      <c r="C1252" t="s">
        <v>34</v>
      </c>
      <c r="D1252" t="s">
        <v>14</v>
      </c>
      <c r="E1252">
        <v>46</v>
      </c>
      <c r="F1252" t="s">
        <v>15</v>
      </c>
      <c r="G1252">
        <v>724.17</v>
      </c>
      <c r="H1252">
        <v>50</v>
      </c>
      <c r="I1252" t="s">
        <v>16</v>
      </c>
      <c r="J1252">
        <v>3.2</v>
      </c>
      <c r="K1252" t="s">
        <v>41</v>
      </c>
      <c r="L1252" t="s">
        <v>18</v>
      </c>
      <c r="M1252" t="str">
        <f>VLOOKUP(D1256,Restaurant_Master!A:B,2,FALSE)</f>
        <v>https://www.chatswoodinterchange.com/storages/2018/08/Sushi-World_666x448.jpg</v>
      </c>
    </row>
    <row r="1253" spans="1:13" x14ac:dyDescent="0.3">
      <c r="A1253" t="s">
        <v>1283</v>
      </c>
      <c r="B1253" s="1">
        <v>45634</v>
      </c>
      <c r="C1253" t="s">
        <v>20</v>
      </c>
      <c r="D1253" t="s">
        <v>38</v>
      </c>
      <c r="E1253">
        <v>40</v>
      </c>
      <c r="F1253" t="s">
        <v>15</v>
      </c>
      <c r="G1253">
        <v>940.05</v>
      </c>
      <c r="H1253">
        <v>34</v>
      </c>
      <c r="I1253" t="s">
        <v>22</v>
      </c>
      <c r="J1253">
        <v>4.0999999999999996</v>
      </c>
      <c r="K1253" t="s">
        <v>29</v>
      </c>
      <c r="L1253" t="s">
        <v>18</v>
      </c>
      <c r="M1253" t="str">
        <f>VLOOKUP(D1257,Restaurant_Master!A:B,2,FALSE)</f>
        <v>https://dynamic-media-cdn.tripadvisor.com/media/photo-o/1c/e7/04/0d/front-of-the-local-easily.jpg</v>
      </c>
    </row>
    <row r="1254" spans="1:13" x14ac:dyDescent="0.3">
      <c r="A1254" t="s">
        <v>1284</v>
      </c>
      <c r="B1254" s="1">
        <v>45319</v>
      </c>
      <c r="C1254" t="s">
        <v>43</v>
      </c>
      <c r="D1254" t="s">
        <v>25</v>
      </c>
      <c r="E1254">
        <v>37</v>
      </c>
      <c r="F1254" t="s">
        <v>28</v>
      </c>
      <c r="G1254">
        <v>444.38</v>
      </c>
      <c r="H1254">
        <v>33</v>
      </c>
      <c r="I1254" t="s">
        <v>22</v>
      </c>
      <c r="J1254">
        <v>3.2</v>
      </c>
      <c r="K1254" t="s">
        <v>29</v>
      </c>
      <c r="L1254" t="s">
        <v>23</v>
      </c>
      <c r="M1254" t="str">
        <f>VLOOKUP(D1258,Restaurant_Master!A:B,2,FALSE)</f>
        <v>https://www.chatswoodinterchange.com/storages/2018/08/Sushi-World_666x448.jpg</v>
      </c>
    </row>
    <row r="1255" spans="1:13" x14ac:dyDescent="0.3">
      <c r="A1255" t="s">
        <v>1285</v>
      </c>
      <c r="B1255" s="1">
        <v>45403</v>
      </c>
      <c r="C1255" t="s">
        <v>43</v>
      </c>
      <c r="D1255" t="s">
        <v>32</v>
      </c>
      <c r="E1255">
        <v>55</v>
      </c>
      <c r="F1255" t="s">
        <v>15</v>
      </c>
      <c r="G1255">
        <v>175.71</v>
      </c>
      <c r="H1255">
        <v>31</v>
      </c>
      <c r="I1255" t="s">
        <v>22</v>
      </c>
      <c r="J1255">
        <v>2.8</v>
      </c>
      <c r="K1255" t="s">
        <v>29</v>
      </c>
      <c r="L1255" t="s">
        <v>23</v>
      </c>
      <c r="M1255" t="str">
        <f>VLOOKUP(D1259,Restaurant_Master!A:B,2,FALSE)</f>
        <v>https://dynamic-media-cdn.tripadvisor.com/media/photo-o/1c/e7/04/0d/front-of-the-local-easily.jpg</v>
      </c>
    </row>
    <row r="1256" spans="1:13" x14ac:dyDescent="0.3">
      <c r="A1256" t="s">
        <v>1286</v>
      </c>
      <c r="B1256" s="1">
        <v>45363</v>
      </c>
      <c r="C1256" t="s">
        <v>36</v>
      </c>
      <c r="D1256" t="s">
        <v>38</v>
      </c>
      <c r="E1256">
        <v>26</v>
      </c>
      <c r="F1256" t="s">
        <v>15</v>
      </c>
      <c r="G1256">
        <v>536.95000000000005</v>
      </c>
      <c r="H1256">
        <v>49</v>
      </c>
      <c r="I1256" t="s">
        <v>16</v>
      </c>
      <c r="J1256">
        <v>3.7</v>
      </c>
      <c r="K1256" t="s">
        <v>26</v>
      </c>
      <c r="L1256" t="s">
        <v>18</v>
      </c>
      <c r="M1256" t="str">
        <f>VLOOKUP(D1260,Restaurant_Master!A:B,2,FALSE)</f>
        <v>https://content.jdmagicbox.com/comp/deoria/g6/9999p5568.5568.200119143033.m4g6/catalogue/biryani-house-deoria-ho-deoria-mktc2xph0o.jpg</v>
      </c>
    </row>
    <row r="1257" spans="1:13" x14ac:dyDescent="0.3">
      <c r="A1257" t="s">
        <v>1287</v>
      </c>
      <c r="B1257" s="1">
        <v>45346</v>
      </c>
      <c r="C1257" t="s">
        <v>34</v>
      </c>
      <c r="D1257" t="s">
        <v>21</v>
      </c>
      <c r="E1257">
        <v>31</v>
      </c>
      <c r="F1257" t="s">
        <v>15</v>
      </c>
      <c r="G1257">
        <v>247.52</v>
      </c>
      <c r="H1257">
        <v>21</v>
      </c>
      <c r="I1257" t="s">
        <v>22</v>
      </c>
      <c r="J1257">
        <v>3.3</v>
      </c>
      <c r="K1257" t="s">
        <v>29</v>
      </c>
      <c r="L1257" t="s">
        <v>23</v>
      </c>
      <c r="M1257" t="str">
        <f>VLOOKUP(D1261,Restaurant_Master!A:B,2,FALSE)</f>
        <v>https://media-cdn.tripadvisor.com/media/photo-s/1c/c7/97/b6/photo6jpg.jpg</v>
      </c>
    </row>
    <row r="1258" spans="1:13" x14ac:dyDescent="0.3">
      <c r="A1258" t="s">
        <v>1288</v>
      </c>
      <c r="B1258" s="1">
        <v>45498</v>
      </c>
      <c r="C1258" t="s">
        <v>34</v>
      </c>
      <c r="D1258" t="s">
        <v>38</v>
      </c>
      <c r="E1258">
        <v>44</v>
      </c>
      <c r="F1258" t="s">
        <v>15</v>
      </c>
      <c r="G1258">
        <v>973.72</v>
      </c>
      <c r="H1258">
        <v>42</v>
      </c>
      <c r="I1258" t="s">
        <v>16</v>
      </c>
      <c r="J1258">
        <v>4.0999999999999996</v>
      </c>
      <c r="K1258" t="s">
        <v>41</v>
      </c>
      <c r="L1258" t="s">
        <v>18</v>
      </c>
      <c r="M1258" t="str">
        <f>VLOOKUP(D1262,Restaurant_Master!A:B,2,FALSE)</f>
        <v>https://dineout-media-assets.swiggy.com/swiggy/image/upload/fl_lossy,f_auto,q_auto/v1660793737/fdqxvxcxg1wtdwvyv45v.jpg</v>
      </c>
    </row>
    <row r="1259" spans="1:13" x14ac:dyDescent="0.3">
      <c r="A1259" t="s">
        <v>1289</v>
      </c>
      <c r="B1259" s="1">
        <v>45482</v>
      </c>
      <c r="C1259" t="s">
        <v>34</v>
      </c>
      <c r="D1259" t="s">
        <v>21</v>
      </c>
      <c r="E1259">
        <v>58</v>
      </c>
      <c r="F1259" t="s">
        <v>28</v>
      </c>
      <c r="G1259">
        <v>668.44</v>
      </c>
      <c r="H1259">
        <v>23</v>
      </c>
      <c r="I1259" t="s">
        <v>22</v>
      </c>
      <c r="J1259">
        <v>4.7</v>
      </c>
      <c r="K1259" t="s">
        <v>41</v>
      </c>
      <c r="L1259" t="s">
        <v>18</v>
      </c>
      <c r="M1259" t="str">
        <f>VLOOKUP(D1263,Restaurant_Master!A:B,2,FALSE)</f>
        <v>https://www.chatswoodinterchange.com/storages/2018/08/Sushi-World_666x448.jpg</v>
      </c>
    </row>
    <row r="1260" spans="1:13" x14ac:dyDescent="0.3">
      <c r="A1260" t="s">
        <v>1290</v>
      </c>
      <c r="B1260" s="1">
        <v>45623</v>
      </c>
      <c r="C1260" t="s">
        <v>13</v>
      </c>
      <c r="D1260" t="s">
        <v>32</v>
      </c>
      <c r="E1260">
        <v>49</v>
      </c>
      <c r="F1260" t="s">
        <v>28</v>
      </c>
      <c r="G1260">
        <v>477.81</v>
      </c>
      <c r="H1260">
        <v>42</v>
      </c>
      <c r="I1260" t="s">
        <v>16</v>
      </c>
      <c r="J1260">
        <v>2.6</v>
      </c>
      <c r="K1260" t="s">
        <v>26</v>
      </c>
      <c r="L1260" t="s">
        <v>23</v>
      </c>
      <c r="M1260" t="str">
        <f>VLOOKUP(D1264,Restaurant_Master!A:B,2,FALSE)</f>
        <v>https://content.jdmagicbox.com/comp/deoria/g6/9999p5568.5568.200119143033.m4g6/catalogue/biryani-house-deoria-ho-deoria-mktc2xph0o.jpg</v>
      </c>
    </row>
    <row r="1261" spans="1:13" x14ac:dyDescent="0.3">
      <c r="A1261" t="s">
        <v>1291</v>
      </c>
      <c r="B1261" s="1">
        <v>45340</v>
      </c>
      <c r="C1261" t="s">
        <v>43</v>
      </c>
      <c r="D1261" t="s">
        <v>25</v>
      </c>
      <c r="E1261">
        <v>37</v>
      </c>
      <c r="F1261" t="s">
        <v>15</v>
      </c>
      <c r="G1261">
        <v>1052.49</v>
      </c>
      <c r="H1261">
        <v>56</v>
      </c>
      <c r="I1261" t="s">
        <v>16</v>
      </c>
      <c r="J1261">
        <v>3.5</v>
      </c>
      <c r="K1261" t="s">
        <v>26</v>
      </c>
      <c r="L1261" t="s">
        <v>23</v>
      </c>
      <c r="M1261" t="str">
        <f>VLOOKUP(D1265,Restaurant_Master!A:B,2,FALSE)</f>
        <v>https://dineout-media-assets.swiggy.com/swiggy/image/upload/fl_lossy,f_auto,q_auto/v1660793737/fdqxvxcxg1wtdwvyv45v.jpg</v>
      </c>
    </row>
    <row r="1262" spans="1:13" x14ac:dyDescent="0.3">
      <c r="A1262" t="s">
        <v>1292</v>
      </c>
      <c r="B1262" s="1">
        <v>45377</v>
      </c>
      <c r="C1262" t="s">
        <v>34</v>
      </c>
      <c r="D1262" t="s">
        <v>14</v>
      </c>
      <c r="E1262">
        <v>40</v>
      </c>
      <c r="F1262" t="s">
        <v>15</v>
      </c>
      <c r="G1262">
        <v>433.73</v>
      </c>
      <c r="H1262">
        <v>46</v>
      </c>
      <c r="I1262" t="s">
        <v>16</v>
      </c>
      <c r="J1262">
        <v>4.7</v>
      </c>
      <c r="K1262" t="s">
        <v>41</v>
      </c>
      <c r="L1262" t="s">
        <v>18</v>
      </c>
      <c r="M1262" t="str">
        <f>VLOOKUP(D1266,Restaurant_Master!A:B,2,FALSE)</f>
        <v>https://www.chatswoodinterchange.com/storages/2018/08/Sushi-World_666x448.jpg</v>
      </c>
    </row>
    <row r="1263" spans="1:13" x14ac:dyDescent="0.3">
      <c r="A1263" t="s">
        <v>1293</v>
      </c>
      <c r="B1263" s="1">
        <v>45366</v>
      </c>
      <c r="C1263" t="s">
        <v>43</v>
      </c>
      <c r="D1263" t="s">
        <v>38</v>
      </c>
      <c r="E1263">
        <v>41</v>
      </c>
      <c r="F1263" t="s">
        <v>15</v>
      </c>
      <c r="G1263">
        <v>1145.6300000000001</v>
      </c>
      <c r="H1263">
        <v>44</v>
      </c>
      <c r="I1263" t="s">
        <v>16</v>
      </c>
      <c r="J1263">
        <v>3.5</v>
      </c>
      <c r="K1263" t="s">
        <v>41</v>
      </c>
      <c r="L1263" t="s">
        <v>23</v>
      </c>
      <c r="M1263" t="str">
        <f>VLOOKUP(D1267,Restaurant_Master!A:B,2,FALSE)</f>
        <v>https://media-cdn.tripadvisor.com/media/photo-s/1c/c7/97/b6/photo6jpg.jpg</v>
      </c>
    </row>
    <row r="1264" spans="1:13" x14ac:dyDescent="0.3">
      <c r="A1264" t="s">
        <v>1294</v>
      </c>
      <c r="B1264" s="1">
        <v>45311</v>
      </c>
      <c r="C1264" t="s">
        <v>36</v>
      </c>
      <c r="D1264" t="s">
        <v>32</v>
      </c>
      <c r="E1264">
        <v>35</v>
      </c>
      <c r="F1264" t="s">
        <v>15</v>
      </c>
      <c r="G1264">
        <v>400.17</v>
      </c>
      <c r="H1264">
        <v>28</v>
      </c>
      <c r="I1264" t="s">
        <v>22</v>
      </c>
      <c r="J1264">
        <v>4.8</v>
      </c>
      <c r="K1264" t="s">
        <v>17</v>
      </c>
      <c r="L1264" t="s">
        <v>23</v>
      </c>
      <c r="M1264" t="str">
        <f>VLOOKUP(D1268,Restaurant_Master!A:B,2,FALSE)</f>
        <v>https://dineout-media-assets.swiggy.com/swiggy/image/upload/fl_lossy,f_auto,q_auto/v1660793737/fdqxvxcxg1wtdwvyv45v.jpg</v>
      </c>
    </row>
    <row r="1265" spans="1:13" x14ac:dyDescent="0.3">
      <c r="A1265" t="s">
        <v>1295</v>
      </c>
      <c r="B1265" s="1">
        <v>45328</v>
      </c>
      <c r="C1265" t="s">
        <v>20</v>
      </c>
      <c r="D1265" t="s">
        <v>14</v>
      </c>
      <c r="E1265">
        <v>56</v>
      </c>
      <c r="F1265" t="s">
        <v>28</v>
      </c>
      <c r="G1265">
        <v>723.24</v>
      </c>
      <c r="H1265">
        <v>29</v>
      </c>
      <c r="I1265" t="s">
        <v>22</v>
      </c>
      <c r="J1265">
        <v>3</v>
      </c>
      <c r="K1265" t="s">
        <v>17</v>
      </c>
      <c r="L1265" t="s">
        <v>18</v>
      </c>
      <c r="M1265" t="str">
        <f>VLOOKUP(D1269,Restaurant_Master!A:B,2,FALSE)</f>
        <v>https://www.chatswoodinterchange.com/storages/2018/08/Sushi-World_666x448.jpg</v>
      </c>
    </row>
    <row r="1266" spans="1:13" x14ac:dyDescent="0.3">
      <c r="A1266" t="s">
        <v>1296</v>
      </c>
      <c r="B1266" s="1">
        <v>45616</v>
      </c>
      <c r="C1266" t="s">
        <v>20</v>
      </c>
      <c r="D1266" t="s">
        <v>38</v>
      </c>
      <c r="E1266">
        <v>29</v>
      </c>
      <c r="F1266" t="s">
        <v>28</v>
      </c>
      <c r="G1266">
        <v>555.42999999999995</v>
      </c>
      <c r="H1266">
        <v>59</v>
      </c>
      <c r="I1266" t="s">
        <v>16</v>
      </c>
      <c r="J1266">
        <v>4.7</v>
      </c>
      <c r="K1266" t="s">
        <v>17</v>
      </c>
      <c r="L1266" t="s">
        <v>23</v>
      </c>
      <c r="M1266" t="str">
        <f>VLOOKUP(D1270,Restaurant_Master!A:B,2,FALSE)</f>
        <v>https://content.jdmagicbox.com/comp/deoria/g6/9999p5568.5568.200119143033.m4g6/catalogue/biryani-house-deoria-ho-deoria-mktc2xph0o.jpg</v>
      </c>
    </row>
    <row r="1267" spans="1:13" x14ac:dyDescent="0.3">
      <c r="A1267" t="s">
        <v>1297</v>
      </c>
      <c r="B1267" s="1">
        <v>45451</v>
      </c>
      <c r="C1267" t="s">
        <v>13</v>
      </c>
      <c r="D1267" t="s">
        <v>25</v>
      </c>
      <c r="E1267">
        <v>19</v>
      </c>
      <c r="F1267" t="s">
        <v>15</v>
      </c>
      <c r="G1267">
        <v>263.48</v>
      </c>
      <c r="H1267">
        <v>23</v>
      </c>
      <c r="I1267" t="s">
        <v>22</v>
      </c>
      <c r="J1267">
        <v>4.0999999999999996</v>
      </c>
      <c r="K1267" t="s">
        <v>17</v>
      </c>
      <c r="L1267" t="s">
        <v>23</v>
      </c>
      <c r="M1267" t="str">
        <f>VLOOKUP(D1271,Restaurant_Master!A:B,2,FALSE)</f>
        <v>https://www.chatswoodinterchange.com/storages/2018/08/Sushi-World_666x448.jpg</v>
      </c>
    </row>
    <row r="1268" spans="1:13" x14ac:dyDescent="0.3">
      <c r="A1268" t="s">
        <v>1298</v>
      </c>
      <c r="B1268" s="1">
        <v>45417</v>
      </c>
      <c r="C1268" t="s">
        <v>43</v>
      </c>
      <c r="D1268" t="s">
        <v>14</v>
      </c>
      <c r="E1268">
        <v>59</v>
      </c>
      <c r="F1268" t="s">
        <v>28</v>
      </c>
      <c r="G1268">
        <v>1197.95</v>
      </c>
      <c r="H1268">
        <v>28</v>
      </c>
      <c r="I1268" t="s">
        <v>22</v>
      </c>
      <c r="J1268">
        <v>4.3</v>
      </c>
      <c r="K1268" t="s">
        <v>17</v>
      </c>
      <c r="L1268" t="s">
        <v>23</v>
      </c>
      <c r="M1268" t="str">
        <f>VLOOKUP(D1272,Restaurant_Master!A:B,2,FALSE)</f>
        <v>https://dynamic-media-cdn.tripadvisor.com/media/photo-o/1c/e7/04/0d/front-of-the-local-easily.jpg</v>
      </c>
    </row>
    <row r="1269" spans="1:13" x14ac:dyDescent="0.3">
      <c r="A1269" t="s">
        <v>1299</v>
      </c>
      <c r="B1269" s="1">
        <v>45550</v>
      </c>
      <c r="C1269" t="s">
        <v>13</v>
      </c>
      <c r="D1269" t="s">
        <v>38</v>
      </c>
      <c r="E1269">
        <v>36</v>
      </c>
      <c r="F1269" t="s">
        <v>28</v>
      </c>
      <c r="G1269">
        <v>598.04999999999995</v>
      </c>
      <c r="H1269">
        <v>21</v>
      </c>
      <c r="I1269" t="s">
        <v>22</v>
      </c>
      <c r="J1269">
        <v>3.9</v>
      </c>
      <c r="K1269" t="s">
        <v>29</v>
      </c>
      <c r="L1269" t="s">
        <v>18</v>
      </c>
      <c r="M1269" t="str">
        <f>VLOOKUP(D1273,Restaurant_Master!A:B,2,FALSE)</f>
        <v>https://media-cdn.tripadvisor.com/media/photo-s/1c/c7/97/b6/photo6jpg.jpg</v>
      </c>
    </row>
    <row r="1270" spans="1:13" x14ac:dyDescent="0.3">
      <c r="A1270" t="s">
        <v>1300</v>
      </c>
      <c r="B1270" s="1">
        <v>45455</v>
      </c>
      <c r="C1270" t="s">
        <v>13</v>
      </c>
      <c r="D1270" t="s">
        <v>32</v>
      </c>
      <c r="E1270">
        <v>51</v>
      </c>
      <c r="F1270" t="s">
        <v>15</v>
      </c>
      <c r="G1270">
        <v>243.52</v>
      </c>
      <c r="H1270">
        <v>22</v>
      </c>
      <c r="I1270" t="s">
        <v>22</v>
      </c>
      <c r="J1270">
        <v>4.9000000000000004</v>
      </c>
      <c r="K1270" t="s">
        <v>29</v>
      </c>
      <c r="L1270" t="s">
        <v>23</v>
      </c>
      <c r="M1270" t="str">
        <f>VLOOKUP(D1274,Restaurant_Master!A:B,2,FALSE)</f>
        <v>https://dineout-media-assets.swiggy.com/swiggy/image/upload/fl_lossy,f_auto,q_auto/v1660793737/fdqxvxcxg1wtdwvyv45v.jpg</v>
      </c>
    </row>
    <row r="1271" spans="1:13" x14ac:dyDescent="0.3">
      <c r="A1271" t="s">
        <v>1301</v>
      </c>
      <c r="B1271" s="1">
        <v>45595</v>
      </c>
      <c r="C1271" t="s">
        <v>36</v>
      </c>
      <c r="D1271" t="s">
        <v>38</v>
      </c>
      <c r="E1271">
        <v>31</v>
      </c>
      <c r="F1271" t="s">
        <v>15</v>
      </c>
      <c r="G1271">
        <v>479.45</v>
      </c>
      <c r="H1271">
        <v>58</v>
      </c>
      <c r="I1271" t="s">
        <v>16</v>
      </c>
      <c r="J1271">
        <v>4.8</v>
      </c>
      <c r="K1271" t="s">
        <v>41</v>
      </c>
      <c r="L1271" t="s">
        <v>18</v>
      </c>
      <c r="M1271" t="str">
        <f>VLOOKUP(D1275,Restaurant_Master!A:B,2,FALSE)</f>
        <v>https://dineout-media-assets.swiggy.com/swiggy/image/upload/fl_lossy,f_auto,q_auto/v1660793737/fdqxvxcxg1wtdwvyv45v.jpg</v>
      </c>
    </row>
    <row r="1272" spans="1:13" x14ac:dyDescent="0.3">
      <c r="A1272" t="s">
        <v>1302</v>
      </c>
      <c r="B1272" s="1">
        <v>45339</v>
      </c>
      <c r="C1272" t="s">
        <v>36</v>
      </c>
      <c r="D1272" t="s">
        <v>21</v>
      </c>
      <c r="E1272">
        <v>52</v>
      </c>
      <c r="F1272" t="s">
        <v>28</v>
      </c>
      <c r="G1272">
        <v>309.72000000000003</v>
      </c>
      <c r="H1272">
        <v>38</v>
      </c>
      <c r="I1272" t="s">
        <v>22</v>
      </c>
      <c r="J1272">
        <v>3.8</v>
      </c>
      <c r="K1272" t="s">
        <v>26</v>
      </c>
      <c r="L1272" t="s">
        <v>18</v>
      </c>
      <c r="M1272" t="str">
        <f>VLOOKUP(D1276,Restaurant_Master!A:B,2,FALSE)</f>
        <v>https://dineout-media-assets.swiggy.com/swiggy/image/upload/fl_lossy,f_auto,q_auto/v1660793737/fdqxvxcxg1wtdwvyv45v.jpg</v>
      </c>
    </row>
    <row r="1273" spans="1:13" x14ac:dyDescent="0.3">
      <c r="A1273" t="s">
        <v>1303</v>
      </c>
      <c r="B1273" s="1">
        <v>45484</v>
      </c>
      <c r="C1273" t="s">
        <v>13</v>
      </c>
      <c r="D1273" t="s">
        <v>25</v>
      </c>
      <c r="E1273">
        <v>19</v>
      </c>
      <c r="F1273" t="s">
        <v>28</v>
      </c>
      <c r="G1273">
        <v>1107.22</v>
      </c>
      <c r="H1273">
        <v>44</v>
      </c>
      <c r="I1273" t="s">
        <v>16</v>
      </c>
      <c r="J1273">
        <v>3.3</v>
      </c>
      <c r="K1273" t="s">
        <v>29</v>
      </c>
      <c r="L1273" t="s">
        <v>18</v>
      </c>
      <c r="M1273" t="str">
        <f>VLOOKUP(D1277,Restaurant_Master!A:B,2,FALSE)</f>
        <v>https://media-cdn.tripadvisor.com/media/photo-s/1c/c7/97/b6/photo6jpg.jpg</v>
      </c>
    </row>
    <row r="1274" spans="1:13" x14ac:dyDescent="0.3">
      <c r="A1274" t="s">
        <v>1304</v>
      </c>
      <c r="B1274" s="1">
        <v>45396</v>
      </c>
      <c r="C1274" t="s">
        <v>36</v>
      </c>
      <c r="D1274" t="s">
        <v>14</v>
      </c>
      <c r="E1274">
        <v>34</v>
      </c>
      <c r="F1274" t="s">
        <v>28</v>
      </c>
      <c r="G1274">
        <v>537.96</v>
      </c>
      <c r="H1274">
        <v>45</v>
      </c>
      <c r="I1274" t="s">
        <v>16</v>
      </c>
      <c r="J1274">
        <v>3.3</v>
      </c>
      <c r="K1274" t="s">
        <v>41</v>
      </c>
      <c r="L1274" t="s">
        <v>18</v>
      </c>
      <c r="M1274" t="str">
        <f>VLOOKUP(D1278,Restaurant_Master!A:B,2,FALSE)</f>
        <v>https://dineout-media-assets.swiggy.com/swiggy/image/upload/fl_lossy,f_auto,q_auto/v1660793737/fdqxvxcxg1wtdwvyv45v.jpg</v>
      </c>
    </row>
    <row r="1275" spans="1:13" x14ac:dyDescent="0.3">
      <c r="A1275" t="s">
        <v>1305</v>
      </c>
      <c r="B1275" s="1">
        <v>45569</v>
      </c>
      <c r="C1275" t="s">
        <v>13</v>
      </c>
      <c r="D1275" t="s">
        <v>14</v>
      </c>
      <c r="E1275">
        <v>28</v>
      </c>
      <c r="F1275" t="s">
        <v>15</v>
      </c>
      <c r="G1275">
        <v>1135.18</v>
      </c>
      <c r="H1275">
        <v>46</v>
      </c>
      <c r="I1275" t="s">
        <v>16</v>
      </c>
      <c r="J1275">
        <v>2.8</v>
      </c>
      <c r="K1275" t="s">
        <v>41</v>
      </c>
      <c r="L1275" t="s">
        <v>18</v>
      </c>
      <c r="M1275" t="str">
        <f>VLOOKUP(D1279,Restaurant_Master!A:B,2,FALSE)</f>
        <v>https://www.chatswoodinterchange.com/storages/2018/08/Sushi-World_666x448.jpg</v>
      </c>
    </row>
    <row r="1276" spans="1:13" x14ac:dyDescent="0.3">
      <c r="A1276" t="s">
        <v>1306</v>
      </c>
      <c r="B1276" s="1">
        <v>45516</v>
      </c>
      <c r="C1276" t="s">
        <v>13</v>
      </c>
      <c r="D1276" t="s">
        <v>14</v>
      </c>
      <c r="E1276">
        <v>60</v>
      </c>
      <c r="F1276" t="s">
        <v>28</v>
      </c>
      <c r="G1276">
        <v>182.84</v>
      </c>
      <c r="H1276">
        <v>37</v>
      </c>
      <c r="I1276" t="s">
        <v>22</v>
      </c>
      <c r="J1276">
        <v>4.5999999999999996</v>
      </c>
      <c r="K1276" t="s">
        <v>29</v>
      </c>
      <c r="L1276" t="s">
        <v>23</v>
      </c>
      <c r="M1276" t="str">
        <f>VLOOKUP(D1280,Restaurant_Master!A:B,2,FALSE)</f>
        <v>https://content.jdmagicbox.com/comp/deoria/g6/9999p5568.5568.200119143033.m4g6/catalogue/biryani-house-deoria-ho-deoria-mktc2xph0o.jpg</v>
      </c>
    </row>
    <row r="1277" spans="1:13" x14ac:dyDescent="0.3">
      <c r="A1277" t="s">
        <v>1307</v>
      </c>
      <c r="B1277" s="1">
        <v>45331</v>
      </c>
      <c r="C1277" t="s">
        <v>43</v>
      </c>
      <c r="D1277" t="s">
        <v>25</v>
      </c>
      <c r="E1277">
        <v>32</v>
      </c>
      <c r="F1277" t="s">
        <v>15</v>
      </c>
      <c r="G1277">
        <v>1054.49</v>
      </c>
      <c r="H1277">
        <v>39</v>
      </c>
      <c r="I1277" t="s">
        <v>22</v>
      </c>
      <c r="J1277">
        <v>2.5</v>
      </c>
      <c r="K1277" t="s">
        <v>17</v>
      </c>
      <c r="L1277" t="s">
        <v>18</v>
      </c>
      <c r="M1277" t="str">
        <f>VLOOKUP(D1281,Restaurant_Master!A:B,2,FALSE)</f>
        <v>https://media-cdn.tripadvisor.com/media/photo-s/1c/c7/97/b6/photo6jpg.jpg</v>
      </c>
    </row>
    <row r="1278" spans="1:13" x14ac:dyDescent="0.3">
      <c r="A1278" t="s">
        <v>1308</v>
      </c>
      <c r="B1278" s="1">
        <v>45505</v>
      </c>
      <c r="C1278" t="s">
        <v>36</v>
      </c>
      <c r="D1278" t="s">
        <v>14</v>
      </c>
      <c r="E1278">
        <v>39</v>
      </c>
      <c r="F1278" t="s">
        <v>15</v>
      </c>
      <c r="G1278">
        <v>897.57</v>
      </c>
      <c r="H1278">
        <v>21</v>
      </c>
      <c r="I1278" t="s">
        <v>22</v>
      </c>
      <c r="J1278">
        <v>2.8</v>
      </c>
      <c r="K1278" t="s">
        <v>17</v>
      </c>
      <c r="L1278" t="s">
        <v>23</v>
      </c>
      <c r="M1278" t="str">
        <f>VLOOKUP(D1282,Restaurant_Master!A:B,2,FALSE)</f>
        <v>https://dineout-media-assets.swiggy.com/swiggy/image/upload/fl_lossy,f_auto,q_auto/v1660793737/fdqxvxcxg1wtdwvyv45v.jpg</v>
      </c>
    </row>
    <row r="1279" spans="1:13" x14ac:dyDescent="0.3">
      <c r="A1279" t="s">
        <v>1309</v>
      </c>
      <c r="B1279" s="1">
        <v>45582</v>
      </c>
      <c r="C1279" t="s">
        <v>36</v>
      </c>
      <c r="D1279" t="s">
        <v>38</v>
      </c>
      <c r="E1279">
        <v>51</v>
      </c>
      <c r="F1279" t="s">
        <v>28</v>
      </c>
      <c r="G1279">
        <v>720.94</v>
      </c>
      <c r="H1279">
        <v>27</v>
      </c>
      <c r="I1279" t="s">
        <v>22</v>
      </c>
      <c r="J1279">
        <v>3.3</v>
      </c>
      <c r="K1279" t="s">
        <v>29</v>
      </c>
      <c r="L1279" t="s">
        <v>23</v>
      </c>
      <c r="M1279" t="str">
        <f>VLOOKUP(D1283,Restaurant_Master!A:B,2,FALSE)</f>
        <v>https://dynamic-media-cdn.tripadvisor.com/media/photo-o/1c/e7/04/0d/front-of-the-local-easily.jpg</v>
      </c>
    </row>
    <row r="1280" spans="1:13" x14ac:dyDescent="0.3">
      <c r="A1280" t="s">
        <v>1310</v>
      </c>
      <c r="B1280" s="1">
        <v>45527</v>
      </c>
      <c r="C1280" t="s">
        <v>34</v>
      </c>
      <c r="D1280" t="s">
        <v>32</v>
      </c>
      <c r="E1280">
        <v>40</v>
      </c>
      <c r="F1280" t="s">
        <v>28</v>
      </c>
      <c r="G1280">
        <v>891.26</v>
      </c>
      <c r="H1280">
        <v>40</v>
      </c>
      <c r="I1280" t="s">
        <v>22</v>
      </c>
      <c r="J1280">
        <v>2.8</v>
      </c>
      <c r="K1280" t="s">
        <v>17</v>
      </c>
      <c r="L1280" t="s">
        <v>18</v>
      </c>
      <c r="M1280" t="str">
        <f>VLOOKUP(D1284,Restaurant_Master!A:B,2,FALSE)</f>
        <v>https://dynamic-media-cdn.tripadvisor.com/media/photo-o/1c/e7/04/0d/front-of-the-local-easily.jpg</v>
      </c>
    </row>
    <row r="1281" spans="1:13" x14ac:dyDescent="0.3">
      <c r="A1281" t="s">
        <v>1311</v>
      </c>
      <c r="B1281" s="1">
        <v>45348</v>
      </c>
      <c r="C1281" t="s">
        <v>20</v>
      </c>
      <c r="D1281" t="s">
        <v>25</v>
      </c>
      <c r="E1281">
        <v>33</v>
      </c>
      <c r="F1281" t="s">
        <v>15</v>
      </c>
      <c r="G1281">
        <v>684.63</v>
      </c>
      <c r="H1281">
        <v>48</v>
      </c>
      <c r="I1281" t="s">
        <v>16</v>
      </c>
      <c r="J1281">
        <v>4.0999999999999996</v>
      </c>
      <c r="K1281" t="s">
        <v>26</v>
      </c>
      <c r="L1281" t="s">
        <v>23</v>
      </c>
      <c r="M1281" t="str">
        <f>VLOOKUP(D1285,Restaurant_Master!A:B,2,FALSE)</f>
        <v>https://media-cdn.tripadvisor.com/media/photo-s/1c/c7/97/b6/photo6jpg.jpg</v>
      </c>
    </row>
    <row r="1282" spans="1:13" x14ac:dyDescent="0.3">
      <c r="A1282" t="s">
        <v>1312</v>
      </c>
      <c r="B1282" s="1">
        <v>45566</v>
      </c>
      <c r="C1282" t="s">
        <v>13</v>
      </c>
      <c r="D1282" t="s">
        <v>14</v>
      </c>
      <c r="E1282">
        <v>51</v>
      </c>
      <c r="F1282" t="s">
        <v>28</v>
      </c>
      <c r="G1282">
        <v>755.07</v>
      </c>
      <c r="H1282">
        <v>26</v>
      </c>
      <c r="I1282" t="s">
        <v>22</v>
      </c>
      <c r="J1282">
        <v>4.8</v>
      </c>
      <c r="K1282" t="s">
        <v>17</v>
      </c>
      <c r="L1282" t="s">
        <v>23</v>
      </c>
      <c r="M1282" t="str">
        <f>VLOOKUP(D1286,Restaurant_Master!A:B,2,FALSE)</f>
        <v>https://content.jdmagicbox.com/comp/deoria/g6/9999p5568.5568.200119143033.m4g6/catalogue/biryani-house-deoria-ho-deoria-mktc2xph0o.jpg</v>
      </c>
    </row>
    <row r="1283" spans="1:13" x14ac:dyDescent="0.3">
      <c r="A1283" t="s">
        <v>1313</v>
      </c>
      <c r="B1283" s="1">
        <v>45480</v>
      </c>
      <c r="C1283" t="s">
        <v>13</v>
      </c>
      <c r="D1283" t="s">
        <v>21</v>
      </c>
      <c r="E1283">
        <v>41</v>
      </c>
      <c r="F1283" t="s">
        <v>15</v>
      </c>
      <c r="G1283">
        <v>747.44</v>
      </c>
      <c r="H1283">
        <v>60</v>
      </c>
      <c r="I1283" t="s">
        <v>16</v>
      </c>
      <c r="J1283">
        <v>3.6</v>
      </c>
      <c r="K1283" t="s">
        <v>17</v>
      </c>
      <c r="L1283" t="s">
        <v>23</v>
      </c>
      <c r="M1283" t="str">
        <f>VLOOKUP(D1287,Restaurant_Master!A:B,2,FALSE)</f>
        <v>https://content.jdmagicbox.com/comp/deoria/g6/9999p5568.5568.200119143033.m4g6/catalogue/biryani-house-deoria-ho-deoria-mktc2xph0o.jpg</v>
      </c>
    </row>
    <row r="1284" spans="1:13" x14ac:dyDescent="0.3">
      <c r="A1284" t="s">
        <v>1314</v>
      </c>
      <c r="B1284" s="1">
        <v>45644</v>
      </c>
      <c r="C1284" t="s">
        <v>36</v>
      </c>
      <c r="D1284" t="s">
        <v>21</v>
      </c>
      <c r="E1284">
        <v>60</v>
      </c>
      <c r="F1284" t="s">
        <v>15</v>
      </c>
      <c r="G1284">
        <v>1167.8599999999999</v>
      </c>
      <c r="H1284">
        <v>28</v>
      </c>
      <c r="I1284" t="s">
        <v>22</v>
      </c>
      <c r="J1284">
        <v>4.2</v>
      </c>
      <c r="K1284" t="s">
        <v>41</v>
      </c>
      <c r="L1284" t="s">
        <v>18</v>
      </c>
      <c r="M1284" t="str">
        <f>VLOOKUP(D1288,Restaurant_Master!A:B,2,FALSE)</f>
        <v>https://www.chatswoodinterchange.com/storages/2018/08/Sushi-World_666x448.jpg</v>
      </c>
    </row>
    <row r="1285" spans="1:13" x14ac:dyDescent="0.3">
      <c r="A1285" t="s">
        <v>1315</v>
      </c>
      <c r="B1285" s="1">
        <v>45296</v>
      </c>
      <c r="C1285" t="s">
        <v>20</v>
      </c>
      <c r="D1285" t="s">
        <v>25</v>
      </c>
      <c r="E1285">
        <v>45</v>
      </c>
      <c r="F1285" t="s">
        <v>15</v>
      </c>
      <c r="G1285">
        <v>495.33</v>
      </c>
      <c r="H1285">
        <v>34</v>
      </c>
      <c r="I1285" t="s">
        <v>22</v>
      </c>
      <c r="J1285">
        <v>3.8</v>
      </c>
      <c r="K1285" t="s">
        <v>29</v>
      </c>
      <c r="L1285" t="s">
        <v>18</v>
      </c>
      <c r="M1285" t="str">
        <f>VLOOKUP(D1289,Restaurant_Master!A:B,2,FALSE)</f>
        <v>https://media-cdn.tripadvisor.com/media/photo-s/1c/c7/97/b6/photo6jpg.jpg</v>
      </c>
    </row>
    <row r="1286" spans="1:13" x14ac:dyDescent="0.3">
      <c r="A1286" t="s">
        <v>1316</v>
      </c>
      <c r="B1286" s="1">
        <v>45337</v>
      </c>
      <c r="C1286" t="s">
        <v>20</v>
      </c>
      <c r="D1286" t="s">
        <v>32</v>
      </c>
      <c r="E1286">
        <v>60</v>
      </c>
      <c r="F1286" t="s">
        <v>15</v>
      </c>
      <c r="G1286">
        <v>710.57</v>
      </c>
      <c r="H1286">
        <v>28</v>
      </c>
      <c r="I1286" t="s">
        <v>22</v>
      </c>
      <c r="J1286">
        <v>3.7</v>
      </c>
      <c r="K1286" t="s">
        <v>41</v>
      </c>
      <c r="L1286" t="s">
        <v>23</v>
      </c>
      <c r="M1286" t="str">
        <f>VLOOKUP(D1290,Restaurant_Master!A:B,2,FALSE)</f>
        <v>https://media-cdn.tripadvisor.com/media/photo-s/1c/c7/97/b6/photo6jpg.jpg</v>
      </c>
    </row>
    <row r="1287" spans="1:13" x14ac:dyDescent="0.3">
      <c r="A1287" t="s">
        <v>1317</v>
      </c>
      <c r="B1287" s="1">
        <v>45538</v>
      </c>
      <c r="C1287" t="s">
        <v>43</v>
      </c>
      <c r="D1287" t="s">
        <v>32</v>
      </c>
      <c r="E1287">
        <v>20</v>
      </c>
      <c r="F1287" t="s">
        <v>15</v>
      </c>
      <c r="G1287">
        <v>797.38</v>
      </c>
      <c r="H1287">
        <v>27</v>
      </c>
      <c r="I1287" t="s">
        <v>22</v>
      </c>
      <c r="J1287">
        <v>4.0999999999999996</v>
      </c>
      <c r="K1287" t="s">
        <v>17</v>
      </c>
      <c r="L1287" t="s">
        <v>18</v>
      </c>
      <c r="M1287" t="str">
        <f>VLOOKUP(D1291,Restaurant_Master!A:B,2,FALSE)</f>
        <v>https://media-cdn.tripadvisor.com/media/photo-s/1c/c7/97/b6/photo6jpg.jpg</v>
      </c>
    </row>
    <row r="1288" spans="1:13" x14ac:dyDescent="0.3">
      <c r="A1288" t="s">
        <v>1318</v>
      </c>
      <c r="B1288" s="1">
        <v>45497</v>
      </c>
      <c r="C1288" t="s">
        <v>43</v>
      </c>
      <c r="D1288" t="s">
        <v>38</v>
      </c>
      <c r="E1288">
        <v>30</v>
      </c>
      <c r="F1288" t="s">
        <v>28</v>
      </c>
      <c r="G1288">
        <v>513.22</v>
      </c>
      <c r="H1288">
        <v>32</v>
      </c>
      <c r="I1288" t="s">
        <v>22</v>
      </c>
      <c r="J1288">
        <v>3.4</v>
      </c>
      <c r="K1288" t="s">
        <v>29</v>
      </c>
      <c r="L1288" t="s">
        <v>23</v>
      </c>
      <c r="M1288" t="str">
        <f>VLOOKUP(D1292,Restaurant_Master!A:B,2,FALSE)</f>
        <v>https://dineout-media-assets.swiggy.com/swiggy/image/upload/fl_lossy,f_auto,q_auto/v1660793737/fdqxvxcxg1wtdwvyv45v.jpg</v>
      </c>
    </row>
    <row r="1289" spans="1:13" x14ac:dyDescent="0.3">
      <c r="A1289" t="s">
        <v>1319</v>
      </c>
      <c r="B1289" s="1">
        <v>45568</v>
      </c>
      <c r="C1289" t="s">
        <v>43</v>
      </c>
      <c r="D1289" t="s">
        <v>25</v>
      </c>
      <c r="E1289">
        <v>31</v>
      </c>
      <c r="F1289" t="s">
        <v>15</v>
      </c>
      <c r="G1289">
        <v>633.27</v>
      </c>
      <c r="H1289">
        <v>49</v>
      </c>
      <c r="I1289" t="s">
        <v>16</v>
      </c>
      <c r="J1289">
        <v>3.4</v>
      </c>
      <c r="K1289" t="s">
        <v>17</v>
      </c>
      <c r="L1289" t="s">
        <v>18</v>
      </c>
      <c r="M1289" t="str">
        <f>VLOOKUP(D1293,Restaurant_Master!A:B,2,FALSE)</f>
        <v>https://www.chatswoodinterchange.com/storages/2018/08/Sushi-World_666x448.jpg</v>
      </c>
    </row>
    <row r="1290" spans="1:13" x14ac:dyDescent="0.3">
      <c r="A1290" t="s">
        <v>1320</v>
      </c>
      <c r="B1290" s="1">
        <v>45530</v>
      </c>
      <c r="C1290" t="s">
        <v>34</v>
      </c>
      <c r="D1290" t="s">
        <v>25</v>
      </c>
      <c r="E1290">
        <v>33</v>
      </c>
      <c r="F1290" t="s">
        <v>15</v>
      </c>
      <c r="G1290">
        <v>319.61</v>
      </c>
      <c r="H1290">
        <v>21</v>
      </c>
      <c r="I1290" t="s">
        <v>22</v>
      </c>
      <c r="J1290">
        <v>2.9</v>
      </c>
      <c r="K1290" t="s">
        <v>41</v>
      </c>
      <c r="L1290" t="s">
        <v>23</v>
      </c>
      <c r="M1290" t="str">
        <f>VLOOKUP(D1294,Restaurant_Master!A:B,2,FALSE)</f>
        <v>https://media-cdn.tripadvisor.com/media/photo-s/1c/c7/97/b6/photo6jpg.jpg</v>
      </c>
    </row>
    <row r="1291" spans="1:13" x14ac:dyDescent="0.3">
      <c r="A1291" t="s">
        <v>1321</v>
      </c>
      <c r="B1291" s="1">
        <v>45603</v>
      </c>
      <c r="C1291" t="s">
        <v>20</v>
      </c>
      <c r="D1291" t="s">
        <v>25</v>
      </c>
      <c r="E1291">
        <v>36</v>
      </c>
      <c r="F1291" t="s">
        <v>28</v>
      </c>
      <c r="G1291">
        <v>387.75</v>
      </c>
      <c r="H1291">
        <v>25</v>
      </c>
      <c r="I1291" t="s">
        <v>22</v>
      </c>
      <c r="J1291">
        <v>3</v>
      </c>
      <c r="K1291" t="s">
        <v>17</v>
      </c>
      <c r="L1291" t="s">
        <v>23</v>
      </c>
      <c r="M1291" t="str">
        <f>VLOOKUP(D1295,Restaurant_Master!A:B,2,FALSE)</f>
        <v>https://media-cdn.tripadvisor.com/media/photo-s/1c/c7/97/b6/photo6jpg.jpg</v>
      </c>
    </row>
    <row r="1292" spans="1:13" x14ac:dyDescent="0.3">
      <c r="A1292" t="s">
        <v>1322</v>
      </c>
      <c r="B1292" s="1">
        <v>45578</v>
      </c>
      <c r="C1292" t="s">
        <v>36</v>
      </c>
      <c r="D1292" t="s">
        <v>14</v>
      </c>
      <c r="E1292">
        <v>49</v>
      </c>
      <c r="F1292" t="s">
        <v>28</v>
      </c>
      <c r="G1292">
        <v>363.42</v>
      </c>
      <c r="H1292">
        <v>37</v>
      </c>
      <c r="I1292" t="s">
        <v>22</v>
      </c>
      <c r="J1292">
        <v>4.8</v>
      </c>
      <c r="K1292" t="s">
        <v>29</v>
      </c>
      <c r="L1292" t="s">
        <v>23</v>
      </c>
      <c r="M1292" t="str">
        <f>VLOOKUP(D1296,Restaurant_Master!A:B,2,FALSE)</f>
        <v>https://www.chatswoodinterchange.com/storages/2018/08/Sushi-World_666x448.jpg</v>
      </c>
    </row>
    <row r="1293" spans="1:13" x14ac:dyDescent="0.3">
      <c r="A1293" t="s">
        <v>1323</v>
      </c>
      <c r="B1293" s="1">
        <v>45473</v>
      </c>
      <c r="C1293" t="s">
        <v>20</v>
      </c>
      <c r="D1293" t="s">
        <v>38</v>
      </c>
      <c r="E1293">
        <v>26</v>
      </c>
      <c r="F1293" t="s">
        <v>15</v>
      </c>
      <c r="G1293">
        <v>824.29</v>
      </c>
      <c r="H1293">
        <v>48</v>
      </c>
      <c r="I1293" t="s">
        <v>16</v>
      </c>
      <c r="J1293">
        <v>4.3</v>
      </c>
      <c r="K1293" t="s">
        <v>17</v>
      </c>
      <c r="L1293" t="s">
        <v>18</v>
      </c>
      <c r="M1293" t="str">
        <f>VLOOKUP(D1297,Restaurant_Master!A:B,2,FALSE)</f>
        <v>https://media-cdn.tripadvisor.com/media/photo-s/1c/c7/97/b6/photo6jpg.jpg</v>
      </c>
    </row>
    <row r="1294" spans="1:13" x14ac:dyDescent="0.3">
      <c r="A1294" t="s">
        <v>1324</v>
      </c>
      <c r="B1294" s="1">
        <v>45379</v>
      </c>
      <c r="C1294" t="s">
        <v>34</v>
      </c>
      <c r="D1294" t="s">
        <v>25</v>
      </c>
      <c r="E1294">
        <v>25</v>
      </c>
      <c r="F1294" t="s">
        <v>15</v>
      </c>
      <c r="G1294">
        <v>368.2</v>
      </c>
      <c r="H1294">
        <v>44</v>
      </c>
      <c r="I1294" t="s">
        <v>16</v>
      </c>
      <c r="J1294">
        <v>2.6</v>
      </c>
      <c r="K1294" t="s">
        <v>17</v>
      </c>
      <c r="L1294" t="s">
        <v>18</v>
      </c>
      <c r="M1294" t="str">
        <f>VLOOKUP(D1298,Restaurant_Master!A:B,2,FALSE)</f>
        <v>https://content.jdmagicbox.com/comp/deoria/g6/9999p5568.5568.200119143033.m4g6/catalogue/biryani-house-deoria-ho-deoria-mktc2xph0o.jpg</v>
      </c>
    </row>
    <row r="1295" spans="1:13" x14ac:dyDescent="0.3">
      <c r="A1295" t="s">
        <v>1325</v>
      </c>
      <c r="B1295" s="1">
        <v>45614</v>
      </c>
      <c r="C1295" t="s">
        <v>34</v>
      </c>
      <c r="D1295" t="s">
        <v>25</v>
      </c>
      <c r="E1295">
        <v>56</v>
      </c>
      <c r="F1295" t="s">
        <v>28</v>
      </c>
      <c r="G1295">
        <v>940.54</v>
      </c>
      <c r="H1295">
        <v>42</v>
      </c>
      <c r="I1295" t="s">
        <v>16</v>
      </c>
      <c r="J1295">
        <v>3.5</v>
      </c>
      <c r="K1295" t="s">
        <v>26</v>
      </c>
      <c r="L1295" t="s">
        <v>23</v>
      </c>
      <c r="M1295" t="str">
        <f>VLOOKUP(D1299,Restaurant_Master!A:B,2,FALSE)</f>
        <v>https://dynamic-media-cdn.tripadvisor.com/media/photo-o/1c/e7/04/0d/front-of-the-local-easily.jpg</v>
      </c>
    </row>
    <row r="1296" spans="1:13" x14ac:dyDescent="0.3">
      <c r="A1296" t="s">
        <v>1326</v>
      </c>
      <c r="B1296" s="1">
        <v>45437</v>
      </c>
      <c r="C1296" t="s">
        <v>13</v>
      </c>
      <c r="D1296" t="s">
        <v>38</v>
      </c>
      <c r="E1296">
        <v>58</v>
      </c>
      <c r="F1296" t="s">
        <v>15</v>
      </c>
      <c r="G1296">
        <v>577.51</v>
      </c>
      <c r="H1296">
        <v>56</v>
      </c>
      <c r="I1296" t="s">
        <v>16</v>
      </c>
      <c r="J1296">
        <v>4</v>
      </c>
      <c r="K1296" t="s">
        <v>17</v>
      </c>
      <c r="L1296" t="s">
        <v>23</v>
      </c>
      <c r="M1296" t="str">
        <f>VLOOKUP(D1300,Restaurant_Master!A:B,2,FALSE)</f>
        <v>https://media-cdn.tripadvisor.com/media/photo-s/1c/c7/97/b6/photo6jpg.jpg</v>
      </c>
    </row>
    <row r="1297" spans="1:13" x14ac:dyDescent="0.3">
      <c r="A1297" t="s">
        <v>1327</v>
      </c>
      <c r="B1297" s="1">
        <v>45604</v>
      </c>
      <c r="C1297" t="s">
        <v>20</v>
      </c>
      <c r="D1297" t="s">
        <v>25</v>
      </c>
      <c r="E1297">
        <v>40</v>
      </c>
      <c r="F1297" t="s">
        <v>15</v>
      </c>
      <c r="G1297">
        <v>168.43</v>
      </c>
      <c r="H1297">
        <v>50</v>
      </c>
      <c r="I1297" t="s">
        <v>16</v>
      </c>
      <c r="J1297">
        <v>4</v>
      </c>
      <c r="K1297" t="s">
        <v>26</v>
      </c>
      <c r="L1297" t="s">
        <v>23</v>
      </c>
      <c r="M1297" t="str">
        <f>VLOOKUP(D1301,Restaurant_Master!A:B,2,FALSE)</f>
        <v>https://content.jdmagicbox.com/comp/deoria/g6/9999p5568.5568.200119143033.m4g6/catalogue/biryani-house-deoria-ho-deoria-mktc2xph0o.jpg</v>
      </c>
    </row>
    <row r="1298" spans="1:13" x14ac:dyDescent="0.3">
      <c r="A1298" t="s">
        <v>1328</v>
      </c>
      <c r="B1298" s="1">
        <v>45530</v>
      </c>
      <c r="C1298" t="s">
        <v>36</v>
      </c>
      <c r="D1298" t="s">
        <v>32</v>
      </c>
      <c r="E1298">
        <v>60</v>
      </c>
      <c r="F1298" t="s">
        <v>28</v>
      </c>
      <c r="G1298">
        <v>587.54999999999995</v>
      </c>
      <c r="H1298">
        <v>54</v>
      </c>
      <c r="I1298" t="s">
        <v>16</v>
      </c>
      <c r="J1298">
        <v>2.7</v>
      </c>
      <c r="K1298" t="s">
        <v>17</v>
      </c>
      <c r="L1298" t="s">
        <v>18</v>
      </c>
      <c r="M1298" t="str">
        <f>VLOOKUP(D1302,Restaurant_Master!A:B,2,FALSE)</f>
        <v>https://www.chatswoodinterchange.com/storages/2018/08/Sushi-World_666x448.jpg</v>
      </c>
    </row>
    <row r="1299" spans="1:13" x14ac:dyDescent="0.3">
      <c r="A1299" t="s">
        <v>1329</v>
      </c>
      <c r="B1299" s="1">
        <v>45369</v>
      </c>
      <c r="C1299" t="s">
        <v>13</v>
      </c>
      <c r="D1299" t="s">
        <v>21</v>
      </c>
      <c r="E1299">
        <v>36</v>
      </c>
      <c r="F1299" t="s">
        <v>28</v>
      </c>
      <c r="G1299">
        <v>374.1</v>
      </c>
      <c r="H1299">
        <v>37</v>
      </c>
      <c r="I1299" t="s">
        <v>22</v>
      </c>
      <c r="J1299">
        <v>4.9000000000000004</v>
      </c>
      <c r="K1299" t="s">
        <v>29</v>
      </c>
      <c r="L1299" t="s">
        <v>23</v>
      </c>
      <c r="M1299" t="str">
        <f>VLOOKUP(D1303,Restaurant_Master!A:B,2,FALSE)</f>
        <v>https://www.chatswoodinterchange.com/storages/2018/08/Sushi-World_666x448.jpg</v>
      </c>
    </row>
    <row r="1300" spans="1:13" x14ac:dyDescent="0.3">
      <c r="A1300" t="s">
        <v>1330</v>
      </c>
      <c r="B1300" s="1">
        <v>45624</v>
      </c>
      <c r="C1300" t="s">
        <v>34</v>
      </c>
      <c r="D1300" t="s">
        <v>25</v>
      </c>
      <c r="E1300">
        <v>60</v>
      </c>
      <c r="F1300" t="s">
        <v>28</v>
      </c>
      <c r="G1300">
        <v>957.07</v>
      </c>
      <c r="H1300">
        <v>42</v>
      </c>
      <c r="I1300" t="s">
        <v>16</v>
      </c>
      <c r="J1300">
        <v>3.3</v>
      </c>
      <c r="K1300" t="s">
        <v>29</v>
      </c>
      <c r="L1300" t="s">
        <v>18</v>
      </c>
      <c r="M1300" t="str">
        <f>VLOOKUP(D1304,Restaurant_Master!A:B,2,FALSE)</f>
        <v>https://content.jdmagicbox.com/comp/deoria/g6/9999p5568.5568.200119143033.m4g6/catalogue/biryani-house-deoria-ho-deoria-mktc2xph0o.jpg</v>
      </c>
    </row>
    <row r="1301" spans="1:13" x14ac:dyDescent="0.3">
      <c r="A1301" t="s">
        <v>1331</v>
      </c>
      <c r="B1301" s="1">
        <v>45461</v>
      </c>
      <c r="C1301" t="s">
        <v>34</v>
      </c>
      <c r="D1301" t="s">
        <v>32</v>
      </c>
      <c r="E1301">
        <v>60</v>
      </c>
      <c r="F1301" t="s">
        <v>28</v>
      </c>
      <c r="G1301">
        <v>812.63</v>
      </c>
      <c r="H1301">
        <v>59</v>
      </c>
      <c r="I1301" t="s">
        <v>16</v>
      </c>
      <c r="J1301">
        <v>3.5</v>
      </c>
      <c r="K1301" t="s">
        <v>41</v>
      </c>
      <c r="L1301" t="s">
        <v>23</v>
      </c>
      <c r="M1301" t="str">
        <f>VLOOKUP(D1305,Restaurant_Master!A:B,2,FALSE)</f>
        <v>https://content.jdmagicbox.com/comp/deoria/g6/9999p5568.5568.200119143033.m4g6/catalogue/biryani-house-deoria-ho-deoria-mktc2xph0o.jpg</v>
      </c>
    </row>
    <row r="1302" spans="1:13" x14ac:dyDescent="0.3">
      <c r="A1302" t="s">
        <v>1332</v>
      </c>
      <c r="B1302" s="1">
        <v>45461</v>
      </c>
      <c r="C1302" t="s">
        <v>13</v>
      </c>
      <c r="D1302" t="s">
        <v>38</v>
      </c>
      <c r="E1302">
        <v>43</v>
      </c>
      <c r="F1302" t="s">
        <v>28</v>
      </c>
      <c r="G1302">
        <v>668.2</v>
      </c>
      <c r="H1302">
        <v>46</v>
      </c>
      <c r="I1302" t="s">
        <v>16</v>
      </c>
      <c r="J1302">
        <v>3.8</v>
      </c>
      <c r="K1302" t="s">
        <v>29</v>
      </c>
      <c r="L1302" t="s">
        <v>23</v>
      </c>
      <c r="M1302" t="str">
        <f>VLOOKUP(D1306,Restaurant_Master!A:B,2,FALSE)</f>
        <v>https://media-cdn.tripadvisor.com/media/photo-s/1c/c7/97/b6/photo6jpg.jpg</v>
      </c>
    </row>
    <row r="1303" spans="1:13" x14ac:dyDescent="0.3">
      <c r="A1303" t="s">
        <v>1333</v>
      </c>
      <c r="B1303" s="1">
        <v>45456</v>
      </c>
      <c r="C1303" t="s">
        <v>43</v>
      </c>
      <c r="D1303" t="s">
        <v>38</v>
      </c>
      <c r="E1303">
        <v>53</v>
      </c>
      <c r="F1303" t="s">
        <v>15</v>
      </c>
      <c r="G1303">
        <v>1011.96</v>
      </c>
      <c r="H1303">
        <v>20</v>
      </c>
      <c r="I1303" t="s">
        <v>22</v>
      </c>
      <c r="J1303">
        <v>3.3</v>
      </c>
      <c r="K1303" t="s">
        <v>17</v>
      </c>
      <c r="L1303" t="s">
        <v>23</v>
      </c>
      <c r="M1303" t="str">
        <f>VLOOKUP(D1307,Restaurant_Master!A:B,2,FALSE)</f>
        <v>https://content.jdmagicbox.com/comp/deoria/g6/9999p5568.5568.200119143033.m4g6/catalogue/biryani-house-deoria-ho-deoria-mktc2xph0o.jpg</v>
      </c>
    </row>
    <row r="1304" spans="1:13" x14ac:dyDescent="0.3">
      <c r="A1304" t="s">
        <v>1334</v>
      </c>
      <c r="B1304" s="1">
        <v>45506</v>
      </c>
      <c r="C1304" t="s">
        <v>20</v>
      </c>
      <c r="D1304" t="s">
        <v>32</v>
      </c>
      <c r="E1304">
        <v>30</v>
      </c>
      <c r="F1304" t="s">
        <v>28</v>
      </c>
      <c r="G1304">
        <v>1005.78</v>
      </c>
      <c r="H1304">
        <v>28</v>
      </c>
      <c r="I1304" t="s">
        <v>22</v>
      </c>
      <c r="J1304">
        <v>4.9000000000000004</v>
      </c>
      <c r="K1304" t="s">
        <v>41</v>
      </c>
      <c r="L1304" t="s">
        <v>18</v>
      </c>
      <c r="M1304" t="str">
        <f>VLOOKUP(D1308,Restaurant_Master!A:B,2,FALSE)</f>
        <v>https://www.chatswoodinterchange.com/storages/2018/08/Sushi-World_666x448.jpg</v>
      </c>
    </row>
    <row r="1305" spans="1:13" x14ac:dyDescent="0.3">
      <c r="A1305" t="s">
        <v>1335</v>
      </c>
      <c r="B1305" s="1">
        <v>45412</v>
      </c>
      <c r="C1305" t="s">
        <v>20</v>
      </c>
      <c r="D1305" t="s">
        <v>32</v>
      </c>
      <c r="E1305">
        <v>38</v>
      </c>
      <c r="F1305" t="s">
        <v>28</v>
      </c>
      <c r="G1305">
        <v>653.04999999999995</v>
      </c>
      <c r="H1305">
        <v>22</v>
      </c>
      <c r="I1305" t="s">
        <v>22</v>
      </c>
      <c r="J1305">
        <v>4.5999999999999996</v>
      </c>
      <c r="K1305" t="s">
        <v>26</v>
      </c>
      <c r="L1305" t="s">
        <v>18</v>
      </c>
      <c r="M1305" t="str">
        <f>VLOOKUP(D1309,Restaurant_Master!A:B,2,FALSE)</f>
        <v>https://dineout-media-assets.swiggy.com/swiggy/image/upload/fl_lossy,f_auto,q_auto/v1660793737/fdqxvxcxg1wtdwvyv45v.jpg</v>
      </c>
    </row>
    <row r="1306" spans="1:13" x14ac:dyDescent="0.3">
      <c r="A1306" t="s">
        <v>1336</v>
      </c>
      <c r="B1306" s="1">
        <v>45493</v>
      </c>
      <c r="C1306" t="s">
        <v>20</v>
      </c>
      <c r="D1306" t="s">
        <v>25</v>
      </c>
      <c r="E1306">
        <v>53</v>
      </c>
      <c r="F1306" t="s">
        <v>28</v>
      </c>
      <c r="G1306">
        <v>477.03</v>
      </c>
      <c r="H1306">
        <v>35</v>
      </c>
      <c r="I1306" t="s">
        <v>22</v>
      </c>
      <c r="J1306">
        <v>3.8</v>
      </c>
      <c r="K1306" t="s">
        <v>26</v>
      </c>
      <c r="L1306" t="s">
        <v>23</v>
      </c>
      <c r="M1306" t="str">
        <f>VLOOKUP(D1310,Restaurant_Master!A:B,2,FALSE)</f>
        <v>https://media-cdn.tripadvisor.com/media/photo-s/1c/c7/97/b6/photo6jpg.jpg</v>
      </c>
    </row>
    <row r="1307" spans="1:13" x14ac:dyDescent="0.3">
      <c r="A1307" t="s">
        <v>1337</v>
      </c>
      <c r="B1307" s="1">
        <v>45330</v>
      </c>
      <c r="C1307" t="s">
        <v>43</v>
      </c>
      <c r="D1307" t="s">
        <v>32</v>
      </c>
      <c r="E1307">
        <v>28</v>
      </c>
      <c r="F1307" t="s">
        <v>15</v>
      </c>
      <c r="G1307">
        <v>662.35</v>
      </c>
      <c r="H1307">
        <v>56</v>
      </c>
      <c r="I1307" t="s">
        <v>16</v>
      </c>
      <c r="J1307">
        <v>3.2</v>
      </c>
      <c r="K1307" t="s">
        <v>17</v>
      </c>
      <c r="L1307" t="s">
        <v>18</v>
      </c>
      <c r="M1307" t="str">
        <f>VLOOKUP(D1311,Restaurant_Master!A:B,2,FALSE)</f>
        <v>https://media-cdn.tripadvisor.com/media/photo-s/1c/c7/97/b6/photo6jpg.jpg</v>
      </c>
    </row>
    <row r="1308" spans="1:13" x14ac:dyDescent="0.3">
      <c r="A1308" t="s">
        <v>1338</v>
      </c>
      <c r="B1308" s="1">
        <v>45542</v>
      </c>
      <c r="C1308" t="s">
        <v>20</v>
      </c>
      <c r="D1308" t="s">
        <v>38</v>
      </c>
      <c r="E1308">
        <v>54</v>
      </c>
      <c r="F1308" t="s">
        <v>28</v>
      </c>
      <c r="G1308">
        <v>444.32</v>
      </c>
      <c r="H1308">
        <v>50</v>
      </c>
      <c r="I1308" t="s">
        <v>16</v>
      </c>
      <c r="J1308">
        <v>4</v>
      </c>
      <c r="K1308" t="s">
        <v>41</v>
      </c>
      <c r="L1308" t="s">
        <v>23</v>
      </c>
      <c r="M1308" t="str">
        <f>VLOOKUP(D1312,Restaurant_Master!A:B,2,FALSE)</f>
        <v>https://media-cdn.tripadvisor.com/media/photo-s/1c/c7/97/b6/photo6jpg.jpg</v>
      </c>
    </row>
    <row r="1309" spans="1:13" x14ac:dyDescent="0.3">
      <c r="A1309" t="s">
        <v>1339</v>
      </c>
      <c r="B1309" s="1">
        <v>45470</v>
      </c>
      <c r="C1309" t="s">
        <v>13</v>
      </c>
      <c r="D1309" t="s">
        <v>14</v>
      </c>
      <c r="E1309">
        <v>32</v>
      </c>
      <c r="F1309" t="s">
        <v>15</v>
      </c>
      <c r="G1309">
        <v>465.99</v>
      </c>
      <c r="H1309">
        <v>48</v>
      </c>
      <c r="I1309" t="s">
        <v>16</v>
      </c>
      <c r="J1309">
        <v>4.2</v>
      </c>
      <c r="K1309" t="s">
        <v>29</v>
      </c>
      <c r="L1309" t="s">
        <v>18</v>
      </c>
      <c r="M1309" t="str">
        <f>VLOOKUP(D1313,Restaurant_Master!A:B,2,FALSE)</f>
        <v>https://dineout-media-assets.swiggy.com/swiggy/image/upload/fl_lossy,f_auto,q_auto/v1660793737/fdqxvxcxg1wtdwvyv45v.jpg</v>
      </c>
    </row>
    <row r="1310" spans="1:13" x14ac:dyDescent="0.3">
      <c r="A1310" t="s">
        <v>1340</v>
      </c>
      <c r="B1310" s="1">
        <v>45483</v>
      </c>
      <c r="C1310" t="s">
        <v>43</v>
      </c>
      <c r="D1310" t="s">
        <v>25</v>
      </c>
      <c r="E1310">
        <v>31</v>
      </c>
      <c r="F1310" t="s">
        <v>15</v>
      </c>
      <c r="G1310">
        <v>234.22</v>
      </c>
      <c r="H1310">
        <v>44</v>
      </c>
      <c r="I1310" t="s">
        <v>16</v>
      </c>
      <c r="J1310">
        <v>3.6</v>
      </c>
      <c r="K1310" t="s">
        <v>29</v>
      </c>
      <c r="L1310" t="s">
        <v>23</v>
      </c>
      <c r="M1310" t="str">
        <f>VLOOKUP(D1314,Restaurant_Master!A:B,2,FALSE)</f>
        <v>https://dineout-media-assets.swiggy.com/swiggy/image/upload/fl_lossy,f_auto,q_auto/v1660793737/fdqxvxcxg1wtdwvyv45v.jpg</v>
      </c>
    </row>
    <row r="1311" spans="1:13" x14ac:dyDescent="0.3">
      <c r="A1311" t="s">
        <v>1341</v>
      </c>
      <c r="B1311" s="1">
        <v>45655</v>
      </c>
      <c r="C1311" t="s">
        <v>36</v>
      </c>
      <c r="D1311" t="s">
        <v>25</v>
      </c>
      <c r="E1311">
        <v>37</v>
      </c>
      <c r="F1311" t="s">
        <v>15</v>
      </c>
      <c r="G1311">
        <v>1025.97</v>
      </c>
      <c r="H1311">
        <v>20</v>
      </c>
      <c r="I1311" t="s">
        <v>22</v>
      </c>
      <c r="J1311">
        <v>3.3</v>
      </c>
      <c r="K1311" t="s">
        <v>41</v>
      </c>
      <c r="L1311" t="s">
        <v>23</v>
      </c>
      <c r="M1311" t="str">
        <f>VLOOKUP(D1315,Restaurant_Master!A:B,2,FALSE)</f>
        <v>https://dineout-media-assets.swiggy.com/swiggy/image/upload/fl_lossy,f_auto,q_auto/v1660793737/fdqxvxcxg1wtdwvyv45v.jpg</v>
      </c>
    </row>
    <row r="1312" spans="1:13" x14ac:dyDescent="0.3">
      <c r="A1312" t="s">
        <v>1342</v>
      </c>
      <c r="B1312" s="1">
        <v>45299</v>
      </c>
      <c r="C1312" t="s">
        <v>36</v>
      </c>
      <c r="D1312" t="s">
        <v>25</v>
      </c>
      <c r="E1312">
        <v>18</v>
      </c>
      <c r="F1312" t="s">
        <v>28</v>
      </c>
      <c r="G1312">
        <v>868.88</v>
      </c>
      <c r="H1312">
        <v>49</v>
      </c>
      <c r="I1312" t="s">
        <v>16</v>
      </c>
      <c r="J1312">
        <v>4</v>
      </c>
      <c r="K1312" t="s">
        <v>17</v>
      </c>
      <c r="L1312" t="s">
        <v>23</v>
      </c>
      <c r="M1312" t="str">
        <f>VLOOKUP(D1316,Restaurant_Master!A:B,2,FALSE)</f>
        <v>https://content.jdmagicbox.com/comp/deoria/g6/9999p5568.5568.200119143033.m4g6/catalogue/biryani-house-deoria-ho-deoria-mktc2xph0o.jpg</v>
      </c>
    </row>
    <row r="1313" spans="1:13" x14ac:dyDescent="0.3">
      <c r="A1313" t="s">
        <v>1343</v>
      </c>
      <c r="B1313" s="1">
        <v>45498</v>
      </c>
      <c r="C1313" t="s">
        <v>43</v>
      </c>
      <c r="D1313" t="s">
        <v>14</v>
      </c>
      <c r="E1313">
        <v>50</v>
      </c>
      <c r="F1313" t="s">
        <v>28</v>
      </c>
      <c r="G1313">
        <v>743.41</v>
      </c>
      <c r="H1313">
        <v>39</v>
      </c>
      <c r="I1313" t="s">
        <v>22</v>
      </c>
      <c r="J1313">
        <v>3.4</v>
      </c>
      <c r="K1313" t="s">
        <v>41</v>
      </c>
      <c r="L1313" t="s">
        <v>23</v>
      </c>
      <c r="M1313" t="str">
        <f>VLOOKUP(D1317,Restaurant_Master!A:B,2,FALSE)</f>
        <v>https://dineout-media-assets.swiggy.com/swiggy/image/upload/fl_lossy,f_auto,q_auto/v1660793737/fdqxvxcxg1wtdwvyv45v.jpg</v>
      </c>
    </row>
    <row r="1314" spans="1:13" x14ac:dyDescent="0.3">
      <c r="A1314" t="s">
        <v>1344</v>
      </c>
      <c r="B1314" s="1">
        <v>45423</v>
      </c>
      <c r="C1314" t="s">
        <v>20</v>
      </c>
      <c r="D1314" t="s">
        <v>14</v>
      </c>
      <c r="E1314">
        <v>32</v>
      </c>
      <c r="F1314" t="s">
        <v>28</v>
      </c>
      <c r="G1314">
        <v>725.57</v>
      </c>
      <c r="H1314">
        <v>31</v>
      </c>
      <c r="I1314" t="s">
        <v>22</v>
      </c>
      <c r="J1314">
        <v>4.0999999999999996</v>
      </c>
      <c r="K1314" t="s">
        <v>29</v>
      </c>
      <c r="L1314" t="s">
        <v>18</v>
      </c>
      <c r="M1314" t="str">
        <f>VLOOKUP(D1318,Restaurant_Master!A:B,2,FALSE)</f>
        <v>https://media-cdn.tripadvisor.com/media/photo-s/1c/c7/97/b6/photo6jpg.jpg</v>
      </c>
    </row>
    <row r="1315" spans="1:13" x14ac:dyDescent="0.3">
      <c r="A1315" t="s">
        <v>1345</v>
      </c>
      <c r="B1315" s="1">
        <v>45427</v>
      </c>
      <c r="C1315" t="s">
        <v>34</v>
      </c>
      <c r="D1315" t="s">
        <v>14</v>
      </c>
      <c r="E1315">
        <v>30</v>
      </c>
      <c r="F1315" t="s">
        <v>15</v>
      </c>
      <c r="G1315">
        <v>325.87</v>
      </c>
      <c r="H1315">
        <v>39</v>
      </c>
      <c r="I1315" t="s">
        <v>22</v>
      </c>
      <c r="J1315">
        <v>3.4</v>
      </c>
      <c r="K1315" t="s">
        <v>29</v>
      </c>
      <c r="L1315" t="s">
        <v>23</v>
      </c>
      <c r="M1315" t="str">
        <f>VLOOKUP(D1319,Restaurant_Master!A:B,2,FALSE)</f>
        <v>https://content.jdmagicbox.com/comp/deoria/g6/9999p5568.5568.200119143033.m4g6/catalogue/biryani-house-deoria-ho-deoria-mktc2xph0o.jpg</v>
      </c>
    </row>
    <row r="1316" spans="1:13" x14ac:dyDescent="0.3">
      <c r="A1316" t="s">
        <v>1346</v>
      </c>
      <c r="B1316" s="1">
        <v>45550</v>
      </c>
      <c r="C1316" t="s">
        <v>13</v>
      </c>
      <c r="D1316" t="s">
        <v>32</v>
      </c>
      <c r="E1316">
        <v>46</v>
      </c>
      <c r="F1316" t="s">
        <v>15</v>
      </c>
      <c r="G1316">
        <v>611.36</v>
      </c>
      <c r="H1316">
        <v>21</v>
      </c>
      <c r="I1316" t="s">
        <v>22</v>
      </c>
      <c r="J1316">
        <v>4.3</v>
      </c>
      <c r="K1316" t="s">
        <v>29</v>
      </c>
      <c r="L1316" t="s">
        <v>18</v>
      </c>
      <c r="M1316" t="str">
        <f>VLOOKUP(D1320,Restaurant_Master!A:B,2,FALSE)</f>
        <v>https://dineout-media-assets.swiggy.com/swiggy/image/upload/fl_lossy,f_auto,q_auto/v1660793737/fdqxvxcxg1wtdwvyv45v.jpg</v>
      </c>
    </row>
    <row r="1317" spans="1:13" x14ac:dyDescent="0.3">
      <c r="A1317" t="s">
        <v>1347</v>
      </c>
      <c r="B1317" s="1">
        <v>45358</v>
      </c>
      <c r="C1317" t="s">
        <v>13</v>
      </c>
      <c r="D1317" t="s">
        <v>14</v>
      </c>
      <c r="E1317">
        <v>33</v>
      </c>
      <c r="F1317" t="s">
        <v>28</v>
      </c>
      <c r="G1317">
        <v>576.17999999999995</v>
      </c>
      <c r="H1317">
        <v>39</v>
      </c>
      <c r="I1317" t="s">
        <v>22</v>
      </c>
      <c r="J1317">
        <v>2.7</v>
      </c>
      <c r="K1317" t="s">
        <v>17</v>
      </c>
      <c r="L1317" t="s">
        <v>23</v>
      </c>
      <c r="M1317" t="str">
        <f>VLOOKUP(D1321,Restaurant_Master!A:B,2,FALSE)</f>
        <v>https://dynamic-media-cdn.tripadvisor.com/media/photo-o/1c/e7/04/0d/front-of-the-local-easily.jpg</v>
      </c>
    </row>
    <row r="1318" spans="1:13" x14ac:dyDescent="0.3">
      <c r="A1318" t="s">
        <v>1348</v>
      </c>
      <c r="B1318" s="1">
        <v>45579</v>
      </c>
      <c r="C1318" t="s">
        <v>34</v>
      </c>
      <c r="D1318" t="s">
        <v>25</v>
      </c>
      <c r="E1318">
        <v>30</v>
      </c>
      <c r="F1318" t="s">
        <v>28</v>
      </c>
      <c r="G1318">
        <v>271.41000000000003</v>
      </c>
      <c r="H1318">
        <v>38</v>
      </c>
      <c r="I1318" t="s">
        <v>22</v>
      </c>
      <c r="J1318">
        <v>5</v>
      </c>
      <c r="K1318" t="s">
        <v>26</v>
      </c>
      <c r="L1318" t="s">
        <v>23</v>
      </c>
      <c r="M1318" t="str">
        <f>VLOOKUP(D1322,Restaurant_Master!A:B,2,FALSE)</f>
        <v>https://media-cdn.tripadvisor.com/media/photo-s/1c/c7/97/b6/photo6jpg.jpg</v>
      </c>
    </row>
    <row r="1319" spans="1:13" x14ac:dyDescent="0.3">
      <c r="A1319" t="s">
        <v>1349</v>
      </c>
      <c r="B1319" s="1">
        <v>45503</v>
      </c>
      <c r="C1319" t="s">
        <v>20</v>
      </c>
      <c r="D1319" t="s">
        <v>32</v>
      </c>
      <c r="E1319">
        <v>55</v>
      </c>
      <c r="F1319" t="s">
        <v>15</v>
      </c>
      <c r="G1319">
        <v>323.69</v>
      </c>
      <c r="H1319">
        <v>44</v>
      </c>
      <c r="I1319" t="s">
        <v>16</v>
      </c>
      <c r="J1319">
        <v>3.4</v>
      </c>
      <c r="K1319" t="s">
        <v>17</v>
      </c>
      <c r="L1319" t="s">
        <v>23</v>
      </c>
      <c r="M1319" t="str">
        <f>VLOOKUP(D1323,Restaurant_Master!A:B,2,FALSE)</f>
        <v>https://dineout-media-assets.swiggy.com/swiggy/image/upload/fl_lossy,f_auto,q_auto/v1660793737/fdqxvxcxg1wtdwvyv45v.jpg</v>
      </c>
    </row>
    <row r="1320" spans="1:13" x14ac:dyDescent="0.3">
      <c r="A1320" t="s">
        <v>1350</v>
      </c>
      <c r="B1320" s="1">
        <v>45363</v>
      </c>
      <c r="C1320" t="s">
        <v>36</v>
      </c>
      <c r="D1320" t="s">
        <v>14</v>
      </c>
      <c r="E1320">
        <v>31</v>
      </c>
      <c r="F1320" t="s">
        <v>15</v>
      </c>
      <c r="G1320">
        <v>478.13</v>
      </c>
      <c r="H1320">
        <v>20</v>
      </c>
      <c r="I1320" t="s">
        <v>22</v>
      </c>
      <c r="J1320">
        <v>3.5</v>
      </c>
      <c r="K1320" t="s">
        <v>41</v>
      </c>
      <c r="L1320" t="s">
        <v>23</v>
      </c>
      <c r="M1320" t="str">
        <f>VLOOKUP(D1324,Restaurant_Master!A:B,2,FALSE)</f>
        <v>https://dineout-media-assets.swiggy.com/swiggy/image/upload/fl_lossy,f_auto,q_auto/v1660793737/fdqxvxcxg1wtdwvyv45v.jpg</v>
      </c>
    </row>
    <row r="1321" spans="1:13" x14ac:dyDescent="0.3">
      <c r="A1321" t="s">
        <v>1351</v>
      </c>
      <c r="B1321" s="1">
        <v>45618</v>
      </c>
      <c r="C1321" t="s">
        <v>34</v>
      </c>
      <c r="D1321" t="s">
        <v>21</v>
      </c>
      <c r="E1321">
        <v>46</v>
      </c>
      <c r="F1321" t="s">
        <v>28</v>
      </c>
      <c r="G1321">
        <v>960.43</v>
      </c>
      <c r="H1321">
        <v>26</v>
      </c>
      <c r="I1321" t="s">
        <v>22</v>
      </c>
      <c r="J1321">
        <v>4.4000000000000004</v>
      </c>
      <c r="K1321" t="s">
        <v>41</v>
      </c>
      <c r="L1321" t="s">
        <v>18</v>
      </c>
      <c r="M1321" t="str">
        <f>VLOOKUP(D1325,Restaurant_Master!A:B,2,FALSE)</f>
        <v>https://media-cdn.tripadvisor.com/media/photo-s/1c/c7/97/b6/photo6jpg.jpg</v>
      </c>
    </row>
    <row r="1322" spans="1:13" x14ac:dyDescent="0.3">
      <c r="A1322" t="s">
        <v>1352</v>
      </c>
      <c r="B1322" s="1">
        <v>45477</v>
      </c>
      <c r="C1322" t="s">
        <v>43</v>
      </c>
      <c r="D1322" t="s">
        <v>25</v>
      </c>
      <c r="E1322">
        <v>23</v>
      </c>
      <c r="F1322" t="s">
        <v>15</v>
      </c>
      <c r="G1322">
        <v>404.46</v>
      </c>
      <c r="H1322">
        <v>39</v>
      </c>
      <c r="I1322" t="s">
        <v>22</v>
      </c>
      <c r="J1322">
        <v>3.8</v>
      </c>
      <c r="K1322" t="s">
        <v>29</v>
      </c>
      <c r="L1322" t="s">
        <v>18</v>
      </c>
      <c r="M1322" t="str">
        <f>VLOOKUP(D1326,Restaurant_Master!A:B,2,FALSE)</f>
        <v>https://media-cdn.tripadvisor.com/media/photo-s/1c/c7/97/b6/photo6jpg.jpg</v>
      </c>
    </row>
    <row r="1323" spans="1:13" x14ac:dyDescent="0.3">
      <c r="A1323" t="s">
        <v>1353</v>
      </c>
      <c r="B1323" s="1">
        <v>45343</v>
      </c>
      <c r="C1323" t="s">
        <v>13</v>
      </c>
      <c r="D1323" t="s">
        <v>14</v>
      </c>
      <c r="E1323">
        <v>44</v>
      </c>
      <c r="F1323" t="s">
        <v>15</v>
      </c>
      <c r="G1323">
        <v>592.02</v>
      </c>
      <c r="H1323">
        <v>40</v>
      </c>
      <c r="I1323" t="s">
        <v>22</v>
      </c>
      <c r="J1323">
        <v>4.7</v>
      </c>
      <c r="K1323" t="s">
        <v>17</v>
      </c>
      <c r="L1323" t="s">
        <v>18</v>
      </c>
      <c r="M1323" t="str">
        <f>VLOOKUP(D1327,Restaurant_Master!A:B,2,FALSE)</f>
        <v>https://content.jdmagicbox.com/comp/deoria/g6/9999p5568.5568.200119143033.m4g6/catalogue/biryani-house-deoria-ho-deoria-mktc2xph0o.jpg</v>
      </c>
    </row>
    <row r="1324" spans="1:13" x14ac:dyDescent="0.3">
      <c r="A1324" t="s">
        <v>1354</v>
      </c>
      <c r="B1324" s="1">
        <v>45330</v>
      </c>
      <c r="C1324" t="s">
        <v>36</v>
      </c>
      <c r="D1324" t="s">
        <v>14</v>
      </c>
      <c r="E1324">
        <v>35</v>
      </c>
      <c r="F1324" t="s">
        <v>28</v>
      </c>
      <c r="G1324">
        <v>161.66999999999999</v>
      </c>
      <c r="H1324">
        <v>36</v>
      </c>
      <c r="I1324" t="s">
        <v>22</v>
      </c>
      <c r="J1324">
        <v>4.5999999999999996</v>
      </c>
      <c r="K1324" t="s">
        <v>29</v>
      </c>
      <c r="L1324" t="s">
        <v>23</v>
      </c>
      <c r="M1324" t="str">
        <f>VLOOKUP(D1328,Restaurant_Master!A:B,2,FALSE)</f>
        <v>https://content.jdmagicbox.com/comp/deoria/g6/9999p5568.5568.200119143033.m4g6/catalogue/biryani-house-deoria-ho-deoria-mktc2xph0o.jpg</v>
      </c>
    </row>
    <row r="1325" spans="1:13" x14ac:dyDescent="0.3">
      <c r="A1325" t="s">
        <v>1355</v>
      </c>
      <c r="B1325" s="1">
        <v>45309</v>
      </c>
      <c r="C1325" t="s">
        <v>13</v>
      </c>
      <c r="D1325" t="s">
        <v>25</v>
      </c>
      <c r="E1325">
        <v>35</v>
      </c>
      <c r="F1325" t="s">
        <v>15</v>
      </c>
      <c r="G1325">
        <v>870.42</v>
      </c>
      <c r="H1325">
        <v>40</v>
      </c>
      <c r="I1325" t="s">
        <v>22</v>
      </c>
      <c r="J1325">
        <v>2.9</v>
      </c>
      <c r="K1325" t="s">
        <v>26</v>
      </c>
      <c r="L1325" t="s">
        <v>23</v>
      </c>
      <c r="M1325" t="str">
        <f>VLOOKUP(D1329,Restaurant_Master!A:B,2,FALSE)</f>
        <v>https://content.jdmagicbox.com/comp/deoria/g6/9999p5568.5568.200119143033.m4g6/catalogue/biryani-house-deoria-ho-deoria-mktc2xph0o.jpg</v>
      </c>
    </row>
    <row r="1326" spans="1:13" x14ac:dyDescent="0.3">
      <c r="A1326" t="s">
        <v>1356</v>
      </c>
      <c r="B1326" s="1">
        <v>45642</v>
      </c>
      <c r="C1326" t="s">
        <v>43</v>
      </c>
      <c r="D1326" t="s">
        <v>25</v>
      </c>
      <c r="E1326">
        <v>30</v>
      </c>
      <c r="F1326" t="s">
        <v>28</v>
      </c>
      <c r="G1326">
        <v>1095.1199999999999</v>
      </c>
      <c r="H1326">
        <v>50</v>
      </c>
      <c r="I1326" t="s">
        <v>16</v>
      </c>
      <c r="J1326">
        <v>2.9</v>
      </c>
      <c r="K1326" t="s">
        <v>41</v>
      </c>
      <c r="L1326" t="s">
        <v>18</v>
      </c>
      <c r="M1326" t="str">
        <f>VLOOKUP(D1330,Restaurant_Master!A:B,2,FALSE)</f>
        <v>https://www.chatswoodinterchange.com/storages/2018/08/Sushi-World_666x448.jpg</v>
      </c>
    </row>
    <row r="1327" spans="1:13" x14ac:dyDescent="0.3">
      <c r="A1327" t="s">
        <v>1357</v>
      </c>
      <c r="B1327" s="1">
        <v>45304</v>
      </c>
      <c r="C1327" t="s">
        <v>20</v>
      </c>
      <c r="D1327" t="s">
        <v>32</v>
      </c>
      <c r="E1327">
        <v>59</v>
      </c>
      <c r="F1327" t="s">
        <v>28</v>
      </c>
      <c r="G1327">
        <v>349.67</v>
      </c>
      <c r="H1327">
        <v>50</v>
      </c>
      <c r="I1327" t="s">
        <v>16</v>
      </c>
      <c r="J1327">
        <v>3.3</v>
      </c>
      <c r="K1327" t="s">
        <v>29</v>
      </c>
      <c r="L1327" t="s">
        <v>23</v>
      </c>
      <c r="M1327" t="str">
        <f>VLOOKUP(D1331,Restaurant_Master!A:B,2,FALSE)</f>
        <v>https://dineout-media-assets.swiggy.com/swiggy/image/upload/fl_lossy,f_auto,q_auto/v1660793737/fdqxvxcxg1wtdwvyv45v.jpg</v>
      </c>
    </row>
    <row r="1328" spans="1:13" x14ac:dyDescent="0.3">
      <c r="A1328" t="s">
        <v>1358</v>
      </c>
      <c r="B1328" s="1">
        <v>45607</v>
      </c>
      <c r="C1328" t="s">
        <v>43</v>
      </c>
      <c r="D1328" t="s">
        <v>32</v>
      </c>
      <c r="E1328">
        <v>42</v>
      </c>
      <c r="F1328" t="s">
        <v>15</v>
      </c>
      <c r="G1328">
        <v>931.03</v>
      </c>
      <c r="H1328">
        <v>52</v>
      </c>
      <c r="I1328" t="s">
        <v>16</v>
      </c>
      <c r="J1328">
        <v>4</v>
      </c>
      <c r="K1328" t="s">
        <v>17</v>
      </c>
      <c r="L1328" t="s">
        <v>23</v>
      </c>
      <c r="M1328" t="str">
        <f>VLOOKUP(D1332,Restaurant_Master!A:B,2,FALSE)</f>
        <v>https://www.chatswoodinterchange.com/storages/2018/08/Sushi-World_666x448.jpg</v>
      </c>
    </row>
    <row r="1329" spans="1:13" x14ac:dyDescent="0.3">
      <c r="A1329" t="s">
        <v>1359</v>
      </c>
      <c r="B1329" s="1">
        <v>45423</v>
      </c>
      <c r="C1329" t="s">
        <v>43</v>
      </c>
      <c r="D1329" t="s">
        <v>32</v>
      </c>
      <c r="E1329">
        <v>54</v>
      </c>
      <c r="F1329" t="s">
        <v>15</v>
      </c>
      <c r="G1329">
        <v>479.18</v>
      </c>
      <c r="H1329">
        <v>28</v>
      </c>
      <c r="I1329" t="s">
        <v>22</v>
      </c>
      <c r="J1329">
        <v>4.3</v>
      </c>
      <c r="K1329" t="s">
        <v>29</v>
      </c>
      <c r="L1329" t="s">
        <v>23</v>
      </c>
      <c r="M1329" t="str">
        <f>VLOOKUP(D1333,Restaurant_Master!A:B,2,FALSE)</f>
        <v>https://content.jdmagicbox.com/comp/deoria/g6/9999p5568.5568.200119143033.m4g6/catalogue/biryani-house-deoria-ho-deoria-mktc2xph0o.jpg</v>
      </c>
    </row>
    <row r="1330" spans="1:13" x14ac:dyDescent="0.3">
      <c r="A1330" t="s">
        <v>1360</v>
      </c>
      <c r="B1330" s="1">
        <v>45594</v>
      </c>
      <c r="C1330" t="s">
        <v>43</v>
      </c>
      <c r="D1330" t="s">
        <v>38</v>
      </c>
      <c r="E1330">
        <v>57</v>
      </c>
      <c r="F1330" t="s">
        <v>15</v>
      </c>
      <c r="G1330">
        <v>688.09</v>
      </c>
      <c r="H1330">
        <v>37</v>
      </c>
      <c r="I1330" t="s">
        <v>22</v>
      </c>
      <c r="J1330">
        <v>3.5</v>
      </c>
      <c r="K1330" t="s">
        <v>29</v>
      </c>
      <c r="L1330" t="s">
        <v>23</v>
      </c>
      <c r="M1330" t="str">
        <f>VLOOKUP(D1334,Restaurant_Master!A:B,2,FALSE)</f>
        <v>https://content.jdmagicbox.com/comp/deoria/g6/9999p5568.5568.200119143033.m4g6/catalogue/biryani-house-deoria-ho-deoria-mktc2xph0o.jpg</v>
      </c>
    </row>
    <row r="1331" spans="1:13" x14ac:dyDescent="0.3">
      <c r="A1331" t="s">
        <v>1361</v>
      </c>
      <c r="B1331" s="1">
        <v>45313</v>
      </c>
      <c r="C1331" t="s">
        <v>20</v>
      </c>
      <c r="D1331" t="s">
        <v>14</v>
      </c>
      <c r="E1331">
        <v>49</v>
      </c>
      <c r="F1331" t="s">
        <v>28</v>
      </c>
      <c r="G1331">
        <v>880.83</v>
      </c>
      <c r="H1331">
        <v>49</v>
      </c>
      <c r="I1331" t="s">
        <v>16</v>
      </c>
      <c r="J1331">
        <v>3.8</v>
      </c>
      <c r="K1331" t="s">
        <v>29</v>
      </c>
      <c r="L1331" t="s">
        <v>23</v>
      </c>
      <c r="M1331" t="str">
        <f>VLOOKUP(D1335,Restaurant_Master!A:B,2,FALSE)</f>
        <v>https://dineout-media-assets.swiggy.com/swiggy/image/upload/fl_lossy,f_auto,q_auto/v1660793737/fdqxvxcxg1wtdwvyv45v.jpg</v>
      </c>
    </row>
    <row r="1332" spans="1:13" x14ac:dyDescent="0.3">
      <c r="A1332" t="s">
        <v>1362</v>
      </c>
      <c r="B1332" s="1">
        <v>45514</v>
      </c>
      <c r="C1332" t="s">
        <v>20</v>
      </c>
      <c r="D1332" t="s">
        <v>38</v>
      </c>
      <c r="E1332">
        <v>55</v>
      </c>
      <c r="F1332" t="s">
        <v>15</v>
      </c>
      <c r="G1332">
        <v>420.27</v>
      </c>
      <c r="H1332">
        <v>34</v>
      </c>
      <c r="I1332" t="s">
        <v>22</v>
      </c>
      <c r="J1332">
        <v>4</v>
      </c>
      <c r="K1332" t="s">
        <v>41</v>
      </c>
      <c r="L1332" t="s">
        <v>18</v>
      </c>
      <c r="M1332" t="str">
        <f>VLOOKUP(D1336,Restaurant_Master!A:B,2,FALSE)</f>
        <v>https://www.chatswoodinterchange.com/storages/2018/08/Sushi-World_666x448.jpg</v>
      </c>
    </row>
    <row r="1333" spans="1:13" x14ac:dyDescent="0.3">
      <c r="A1333" t="s">
        <v>1363</v>
      </c>
      <c r="B1333" s="1">
        <v>45644</v>
      </c>
      <c r="C1333" t="s">
        <v>43</v>
      </c>
      <c r="D1333" t="s">
        <v>32</v>
      </c>
      <c r="E1333">
        <v>48</v>
      </c>
      <c r="F1333" t="s">
        <v>15</v>
      </c>
      <c r="G1333">
        <v>399.93</v>
      </c>
      <c r="H1333">
        <v>21</v>
      </c>
      <c r="I1333" t="s">
        <v>22</v>
      </c>
      <c r="J1333">
        <v>3.1</v>
      </c>
      <c r="K1333" t="s">
        <v>17</v>
      </c>
      <c r="L1333" t="s">
        <v>18</v>
      </c>
      <c r="M1333" t="str">
        <f>VLOOKUP(D1337,Restaurant_Master!A:B,2,FALSE)</f>
        <v>https://www.chatswoodinterchange.com/storages/2018/08/Sushi-World_666x448.jpg</v>
      </c>
    </row>
    <row r="1334" spans="1:13" x14ac:dyDescent="0.3">
      <c r="A1334" t="s">
        <v>1364</v>
      </c>
      <c r="B1334" s="1">
        <v>45548</v>
      </c>
      <c r="C1334" t="s">
        <v>20</v>
      </c>
      <c r="D1334" t="s">
        <v>32</v>
      </c>
      <c r="E1334">
        <v>22</v>
      </c>
      <c r="F1334" t="s">
        <v>15</v>
      </c>
      <c r="G1334">
        <v>179.86</v>
      </c>
      <c r="H1334">
        <v>55</v>
      </c>
      <c r="I1334" t="s">
        <v>16</v>
      </c>
      <c r="J1334">
        <v>5</v>
      </c>
      <c r="K1334" t="s">
        <v>17</v>
      </c>
      <c r="L1334" t="s">
        <v>18</v>
      </c>
      <c r="M1334" t="str">
        <f>VLOOKUP(D1338,Restaurant_Master!A:B,2,FALSE)</f>
        <v>https://dineout-media-assets.swiggy.com/swiggy/image/upload/fl_lossy,f_auto,q_auto/v1660793737/fdqxvxcxg1wtdwvyv45v.jpg</v>
      </c>
    </row>
    <row r="1335" spans="1:13" x14ac:dyDescent="0.3">
      <c r="A1335" t="s">
        <v>1365</v>
      </c>
      <c r="B1335" s="1">
        <v>45536</v>
      </c>
      <c r="C1335" t="s">
        <v>13</v>
      </c>
      <c r="D1335" t="s">
        <v>14</v>
      </c>
      <c r="E1335">
        <v>54</v>
      </c>
      <c r="F1335" t="s">
        <v>28</v>
      </c>
      <c r="G1335">
        <v>639.35</v>
      </c>
      <c r="H1335">
        <v>43</v>
      </c>
      <c r="I1335" t="s">
        <v>16</v>
      </c>
      <c r="J1335">
        <v>4.0999999999999996</v>
      </c>
      <c r="K1335" t="s">
        <v>41</v>
      </c>
      <c r="L1335" t="s">
        <v>23</v>
      </c>
      <c r="M1335" t="str">
        <f>VLOOKUP(D1339,Restaurant_Master!A:B,2,FALSE)</f>
        <v>https://media-cdn.tripadvisor.com/media/photo-s/1c/c7/97/b6/photo6jpg.jpg</v>
      </c>
    </row>
    <row r="1336" spans="1:13" x14ac:dyDescent="0.3">
      <c r="A1336" t="s">
        <v>1366</v>
      </c>
      <c r="B1336" s="1">
        <v>45317</v>
      </c>
      <c r="C1336" t="s">
        <v>20</v>
      </c>
      <c r="D1336" t="s">
        <v>38</v>
      </c>
      <c r="E1336">
        <v>37</v>
      </c>
      <c r="F1336" t="s">
        <v>28</v>
      </c>
      <c r="G1336">
        <v>635.73</v>
      </c>
      <c r="H1336">
        <v>56</v>
      </c>
      <c r="I1336" t="s">
        <v>16</v>
      </c>
      <c r="J1336">
        <v>4.2</v>
      </c>
      <c r="K1336" t="s">
        <v>41</v>
      </c>
      <c r="L1336" t="s">
        <v>18</v>
      </c>
      <c r="M1336" t="str">
        <f>VLOOKUP(D1340,Restaurant_Master!A:B,2,FALSE)</f>
        <v>https://dynamic-media-cdn.tripadvisor.com/media/photo-o/1c/e7/04/0d/front-of-the-local-easily.jpg</v>
      </c>
    </row>
    <row r="1337" spans="1:13" x14ac:dyDescent="0.3">
      <c r="A1337" t="s">
        <v>1367</v>
      </c>
      <c r="B1337" s="1">
        <v>45656</v>
      </c>
      <c r="C1337" t="s">
        <v>43</v>
      </c>
      <c r="D1337" t="s">
        <v>38</v>
      </c>
      <c r="E1337">
        <v>47</v>
      </c>
      <c r="F1337" t="s">
        <v>15</v>
      </c>
      <c r="G1337">
        <v>368.74</v>
      </c>
      <c r="H1337">
        <v>32</v>
      </c>
      <c r="I1337" t="s">
        <v>22</v>
      </c>
      <c r="J1337">
        <v>2.8</v>
      </c>
      <c r="K1337" t="s">
        <v>41</v>
      </c>
      <c r="L1337" t="s">
        <v>18</v>
      </c>
      <c r="M1337" t="str">
        <f>VLOOKUP(D1341,Restaurant_Master!A:B,2,FALSE)</f>
        <v>https://www.chatswoodinterchange.com/storages/2018/08/Sushi-World_666x448.jpg</v>
      </c>
    </row>
    <row r="1338" spans="1:13" x14ac:dyDescent="0.3">
      <c r="A1338" t="s">
        <v>1368</v>
      </c>
      <c r="B1338" s="1">
        <v>45500</v>
      </c>
      <c r="C1338" t="s">
        <v>13</v>
      </c>
      <c r="D1338" t="s">
        <v>14</v>
      </c>
      <c r="E1338">
        <v>31</v>
      </c>
      <c r="F1338" t="s">
        <v>15</v>
      </c>
      <c r="G1338">
        <v>768.23</v>
      </c>
      <c r="H1338">
        <v>29</v>
      </c>
      <c r="I1338" t="s">
        <v>22</v>
      </c>
      <c r="J1338">
        <v>2.8</v>
      </c>
      <c r="K1338" t="s">
        <v>17</v>
      </c>
      <c r="L1338" t="s">
        <v>23</v>
      </c>
      <c r="M1338" t="str">
        <f>VLOOKUP(D1342,Restaurant_Master!A:B,2,FALSE)</f>
        <v>https://dineout-media-assets.swiggy.com/swiggy/image/upload/fl_lossy,f_auto,q_auto/v1660793737/fdqxvxcxg1wtdwvyv45v.jpg</v>
      </c>
    </row>
    <row r="1339" spans="1:13" x14ac:dyDescent="0.3">
      <c r="A1339" t="s">
        <v>1369</v>
      </c>
      <c r="B1339" s="1">
        <v>45331</v>
      </c>
      <c r="C1339" t="s">
        <v>34</v>
      </c>
      <c r="D1339" t="s">
        <v>25</v>
      </c>
      <c r="E1339">
        <v>42</v>
      </c>
      <c r="F1339" t="s">
        <v>15</v>
      </c>
      <c r="G1339">
        <v>353.4</v>
      </c>
      <c r="H1339">
        <v>39</v>
      </c>
      <c r="I1339" t="s">
        <v>22</v>
      </c>
      <c r="J1339">
        <v>3.2</v>
      </c>
      <c r="K1339" t="s">
        <v>26</v>
      </c>
      <c r="L1339" t="s">
        <v>23</v>
      </c>
      <c r="M1339" t="str">
        <f>VLOOKUP(D1343,Restaurant_Master!A:B,2,FALSE)</f>
        <v>https://media-cdn.tripadvisor.com/media/photo-s/1c/c7/97/b6/photo6jpg.jpg</v>
      </c>
    </row>
    <row r="1340" spans="1:13" x14ac:dyDescent="0.3">
      <c r="A1340" t="s">
        <v>1370</v>
      </c>
      <c r="B1340" s="1">
        <v>45591</v>
      </c>
      <c r="C1340" t="s">
        <v>36</v>
      </c>
      <c r="D1340" t="s">
        <v>21</v>
      </c>
      <c r="E1340">
        <v>55</v>
      </c>
      <c r="F1340" t="s">
        <v>15</v>
      </c>
      <c r="G1340">
        <v>923.36</v>
      </c>
      <c r="H1340">
        <v>46</v>
      </c>
      <c r="I1340" t="s">
        <v>16</v>
      </c>
      <c r="J1340">
        <v>2.8</v>
      </c>
      <c r="K1340" t="s">
        <v>29</v>
      </c>
      <c r="L1340" t="s">
        <v>23</v>
      </c>
      <c r="M1340" t="str">
        <f>VLOOKUP(D1344,Restaurant_Master!A:B,2,FALSE)</f>
        <v>https://dynamic-media-cdn.tripadvisor.com/media/photo-o/1c/e7/04/0d/front-of-the-local-easily.jpg</v>
      </c>
    </row>
    <row r="1341" spans="1:13" x14ac:dyDescent="0.3">
      <c r="A1341" t="s">
        <v>1371</v>
      </c>
      <c r="B1341" s="1">
        <v>45469</v>
      </c>
      <c r="C1341" t="s">
        <v>34</v>
      </c>
      <c r="D1341" t="s">
        <v>38</v>
      </c>
      <c r="E1341">
        <v>24</v>
      </c>
      <c r="F1341" t="s">
        <v>28</v>
      </c>
      <c r="G1341">
        <v>981.2</v>
      </c>
      <c r="H1341">
        <v>53</v>
      </c>
      <c r="I1341" t="s">
        <v>16</v>
      </c>
      <c r="J1341">
        <v>3.7</v>
      </c>
      <c r="K1341" t="s">
        <v>29</v>
      </c>
      <c r="L1341" t="s">
        <v>18</v>
      </c>
      <c r="M1341" t="str">
        <f>VLOOKUP(D1345,Restaurant_Master!A:B,2,FALSE)</f>
        <v>https://dineout-media-assets.swiggy.com/swiggy/image/upload/fl_lossy,f_auto,q_auto/v1660793737/fdqxvxcxg1wtdwvyv45v.jpg</v>
      </c>
    </row>
    <row r="1342" spans="1:13" x14ac:dyDescent="0.3">
      <c r="A1342" t="s">
        <v>1372</v>
      </c>
      <c r="B1342" s="1">
        <v>45551</v>
      </c>
      <c r="C1342" t="s">
        <v>36</v>
      </c>
      <c r="D1342" t="s">
        <v>14</v>
      </c>
      <c r="E1342">
        <v>54</v>
      </c>
      <c r="F1342" t="s">
        <v>15</v>
      </c>
      <c r="G1342">
        <v>821.27</v>
      </c>
      <c r="H1342">
        <v>32</v>
      </c>
      <c r="I1342" t="s">
        <v>22</v>
      </c>
      <c r="J1342">
        <v>4.9000000000000004</v>
      </c>
      <c r="K1342" t="s">
        <v>17</v>
      </c>
      <c r="L1342" t="s">
        <v>23</v>
      </c>
      <c r="M1342" t="str">
        <f>VLOOKUP(D1346,Restaurant_Master!A:B,2,FALSE)</f>
        <v>https://media-cdn.tripadvisor.com/media/photo-s/1c/c7/97/b6/photo6jpg.jpg</v>
      </c>
    </row>
    <row r="1343" spans="1:13" x14ac:dyDescent="0.3">
      <c r="A1343" t="s">
        <v>1373</v>
      </c>
      <c r="B1343" s="1">
        <v>45535</v>
      </c>
      <c r="C1343" t="s">
        <v>34</v>
      </c>
      <c r="D1343" t="s">
        <v>25</v>
      </c>
      <c r="E1343">
        <v>22</v>
      </c>
      <c r="F1343" t="s">
        <v>28</v>
      </c>
      <c r="G1343">
        <v>875.36</v>
      </c>
      <c r="H1343">
        <v>58</v>
      </c>
      <c r="I1343" t="s">
        <v>16</v>
      </c>
      <c r="J1343">
        <v>3</v>
      </c>
      <c r="K1343" t="s">
        <v>41</v>
      </c>
      <c r="L1343" t="s">
        <v>23</v>
      </c>
      <c r="M1343" t="str">
        <f>VLOOKUP(D1347,Restaurant_Master!A:B,2,FALSE)</f>
        <v>https://dineout-media-assets.swiggy.com/swiggy/image/upload/fl_lossy,f_auto,q_auto/v1660793737/fdqxvxcxg1wtdwvyv45v.jpg</v>
      </c>
    </row>
    <row r="1344" spans="1:13" x14ac:dyDescent="0.3">
      <c r="A1344" t="s">
        <v>1374</v>
      </c>
      <c r="B1344" s="1">
        <v>45599</v>
      </c>
      <c r="C1344" t="s">
        <v>36</v>
      </c>
      <c r="D1344" t="s">
        <v>21</v>
      </c>
      <c r="E1344">
        <v>43</v>
      </c>
      <c r="F1344" t="s">
        <v>15</v>
      </c>
      <c r="G1344">
        <v>202.93</v>
      </c>
      <c r="H1344">
        <v>29</v>
      </c>
      <c r="I1344" t="s">
        <v>22</v>
      </c>
      <c r="J1344">
        <v>4.5</v>
      </c>
      <c r="K1344" t="s">
        <v>26</v>
      </c>
      <c r="L1344" t="s">
        <v>23</v>
      </c>
      <c r="M1344" t="str">
        <f>VLOOKUP(D1348,Restaurant_Master!A:B,2,FALSE)</f>
        <v>https://www.chatswoodinterchange.com/storages/2018/08/Sushi-World_666x448.jpg</v>
      </c>
    </row>
    <row r="1345" spans="1:13" x14ac:dyDescent="0.3">
      <c r="A1345" t="s">
        <v>1375</v>
      </c>
      <c r="B1345" s="1">
        <v>45309</v>
      </c>
      <c r="C1345" t="s">
        <v>34</v>
      </c>
      <c r="D1345" t="s">
        <v>14</v>
      </c>
      <c r="E1345">
        <v>21</v>
      </c>
      <c r="F1345" t="s">
        <v>28</v>
      </c>
      <c r="G1345">
        <v>202.91</v>
      </c>
      <c r="H1345">
        <v>57</v>
      </c>
      <c r="I1345" t="s">
        <v>16</v>
      </c>
      <c r="J1345">
        <v>3.4</v>
      </c>
      <c r="K1345" t="s">
        <v>26</v>
      </c>
      <c r="L1345" t="s">
        <v>23</v>
      </c>
      <c r="M1345" t="str">
        <f>VLOOKUP(D1349,Restaurant_Master!A:B,2,FALSE)</f>
        <v>https://dineout-media-assets.swiggy.com/swiggy/image/upload/fl_lossy,f_auto,q_auto/v1660793737/fdqxvxcxg1wtdwvyv45v.jpg</v>
      </c>
    </row>
    <row r="1346" spans="1:13" x14ac:dyDescent="0.3">
      <c r="A1346" t="s">
        <v>1376</v>
      </c>
      <c r="B1346" s="1">
        <v>45518</v>
      </c>
      <c r="C1346" t="s">
        <v>20</v>
      </c>
      <c r="D1346" t="s">
        <v>25</v>
      </c>
      <c r="E1346">
        <v>60</v>
      </c>
      <c r="F1346" t="s">
        <v>15</v>
      </c>
      <c r="G1346">
        <v>275.08999999999997</v>
      </c>
      <c r="H1346">
        <v>41</v>
      </c>
      <c r="I1346" t="s">
        <v>16</v>
      </c>
      <c r="J1346">
        <v>3.1</v>
      </c>
      <c r="K1346" t="s">
        <v>29</v>
      </c>
      <c r="L1346" t="s">
        <v>18</v>
      </c>
      <c r="M1346" t="str">
        <f>VLOOKUP(D1350,Restaurant_Master!A:B,2,FALSE)</f>
        <v>https://www.chatswoodinterchange.com/storages/2018/08/Sushi-World_666x448.jpg</v>
      </c>
    </row>
    <row r="1347" spans="1:13" x14ac:dyDescent="0.3">
      <c r="A1347" t="s">
        <v>1377</v>
      </c>
      <c r="B1347" s="1">
        <v>45297</v>
      </c>
      <c r="C1347" t="s">
        <v>13</v>
      </c>
      <c r="D1347" t="s">
        <v>14</v>
      </c>
      <c r="E1347">
        <v>53</v>
      </c>
      <c r="F1347" t="s">
        <v>28</v>
      </c>
      <c r="G1347">
        <v>828.98</v>
      </c>
      <c r="H1347">
        <v>30</v>
      </c>
      <c r="I1347" t="s">
        <v>22</v>
      </c>
      <c r="J1347">
        <v>2.5</v>
      </c>
      <c r="K1347" t="s">
        <v>29</v>
      </c>
      <c r="L1347" t="s">
        <v>18</v>
      </c>
      <c r="M1347" t="str">
        <f>VLOOKUP(D1351,Restaurant_Master!A:B,2,FALSE)</f>
        <v>https://dineout-media-assets.swiggy.com/swiggy/image/upload/fl_lossy,f_auto,q_auto/v1660793737/fdqxvxcxg1wtdwvyv45v.jpg</v>
      </c>
    </row>
    <row r="1348" spans="1:13" x14ac:dyDescent="0.3">
      <c r="A1348" t="s">
        <v>1378</v>
      </c>
      <c r="B1348" s="1">
        <v>45426</v>
      </c>
      <c r="C1348" t="s">
        <v>36</v>
      </c>
      <c r="D1348" t="s">
        <v>38</v>
      </c>
      <c r="E1348">
        <v>38</v>
      </c>
      <c r="F1348" t="s">
        <v>28</v>
      </c>
      <c r="G1348">
        <v>536.08000000000004</v>
      </c>
      <c r="H1348">
        <v>50</v>
      </c>
      <c r="I1348" t="s">
        <v>16</v>
      </c>
      <c r="J1348">
        <v>3.8</v>
      </c>
      <c r="K1348" t="s">
        <v>26</v>
      </c>
      <c r="L1348" t="s">
        <v>23</v>
      </c>
      <c r="M1348" t="str">
        <f>VLOOKUP(D1352,Restaurant_Master!A:B,2,FALSE)</f>
        <v>https://dynamic-media-cdn.tripadvisor.com/media/photo-o/1c/e7/04/0d/front-of-the-local-easily.jpg</v>
      </c>
    </row>
    <row r="1349" spans="1:13" x14ac:dyDescent="0.3">
      <c r="A1349" t="s">
        <v>1379</v>
      </c>
      <c r="B1349" s="1">
        <v>45593</v>
      </c>
      <c r="C1349" t="s">
        <v>34</v>
      </c>
      <c r="D1349" t="s">
        <v>14</v>
      </c>
      <c r="E1349">
        <v>50</v>
      </c>
      <c r="F1349" t="s">
        <v>15</v>
      </c>
      <c r="G1349">
        <v>210.97</v>
      </c>
      <c r="H1349">
        <v>37</v>
      </c>
      <c r="I1349" t="s">
        <v>22</v>
      </c>
      <c r="J1349">
        <v>2.5</v>
      </c>
      <c r="K1349" t="s">
        <v>17</v>
      </c>
      <c r="L1349" t="s">
        <v>23</v>
      </c>
      <c r="M1349" t="str">
        <f>VLOOKUP(D1353,Restaurant_Master!A:B,2,FALSE)</f>
        <v>https://dineout-media-assets.swiggy.com/swiggy/image/upload/fl_lossy,f_auto,q_auto/v1660793737/fdqxvxcxg1wtdwvyv45v.jpg</v>
      </c>
    </row>
    <row r="1350" spans="1:13" x14ac:dyDescent="0.3">
      <c r="A1350" t="s">
        <v>1380</v>
      </c>
      <c r="B1350" s="1">
        <v>45608</v>
      </c>
      <c r="C1350" t="s">
        <v>36</v>
      </c>
      <c r="D1350" t="s">
        <v>38</v>
      </c>
      <c r="E1350">
        <v>37</v>
      </c>
      <c r="F1350" t="s">
        <v>28</v>
      </c>
      <c r="G1350">
        <v>552.32000000000005</v>
      </c>
      <c r="H1350">
        <v>34</v>
      </c>
      <c r="I1350" t="s">
        <v>22</v>
      </c>
      <c r="J1350">
        <v>4</v>
      </c>
      <c r="K1350" t="s">
        <v>29</v>
      </c>
      <c r="L1350" t="s">
        <v>23</v>
      </c>
      <c r="M1350" t="str">
        <f>VLOOKUP(D1354,Restaurant_Master!A:B,2,FALSE)</f>
        <v>https://dineout-media-assets.swiggy.com/swiggy/image/upload/fl_lossy,f_auto,q_auto/v1660793737/fdqxvxcxg1wtdwvyv45v.jpg</v>
      </c>
    </row>
    <row r="1351" spans="1:13" x14ac:dyDescent="0.3">
      <c r="A1351" t="s">
        <v>1381</v>
      </c>
      <c r="B1351" s="1">
        <v>45542</v>
      </c>
      <c r="C1351" t="s">
        <v>20</v>
      </c>
      <c r="D1351" t="s">
        <v>14</v>
      </c>
      <c r="E1351">
        <v>47</v>
      </c>
      <c r="F1351" t="s">
        <v>28</v>
      </c>
      <c r="G1351">
        <v>783.45</v>
      </c>
      <c r="H1351">
        <v>47</v>
      </c>
      <c r="I1351" t="s">
        <v>16</v>
      </c>
      <c r="J1351">
        <v>3.9</v>
      </c>
      <c r="K1351" t="s">
        <v>26</v>
      </c>
      <c r="L1351" t="s">
        <v>18</v>
      </c>
      <c r="M1351" t="str">
        <f>VLOOKUP(D1355,Restaurant_Master!A:B,2,FALSE)</f>
        <v>https://content.jdmagicbox.com/comp/deoria/g6/9999p5568.5568.200119143033.m4g6/catalogue/biryani-house-deoria-ho-deoria-mktc2xph0o.jpg</v>
      </c>
    </row>
    <row r="1352" spans="1:13" x14ac:dyDescent="0.3">
      <c r="A1352" t="s">
        <v>1382</v>
      </c>
      <c r="B1352" s="1">
        <v>45599</v>
      </c>
      <c r="C1352" t="s">
        <v>43</v>
      </c>
      <c r="D1352" t="s">
        <v>21</v>
      </c>
      <c r="E1352">
        <v>19</v>
      </c>
      <c r="F1352" t="s">
        <v>15</v>
      </c>
      <c r="G1352">
        <v>711.02</v>
      </c>
      <c r="H1352">
        <v>20</v>
      </c>
      <c r="I1352" t="s">
        <v>22</v>
      </c>
      <c r="J1352">
        <v>3.8</v>
      </c>
      <c r="K1352" t="s">
        <v>26</v>
      </c>
      <c r="L1352" t="s">
        <v>23</v>
      </c>
      <c r="M1352" t="str">
        <f>VLOOKUP(D1356,Restaurant_Master!A:B,2,FALSE)</f>
        <v>https://dynamic-media-cdn.tripadvisor.com/media/photo-o/1c/e7/04/0d/front-of-the-local-easily.jpg</v>
      </c>
    </row>
    <row r="1353" spans="1:13" x14ac:dyDescent="0.3">
      <c r="A1353" t="s">
        <v>1383</v>
      </c>
      <c r="B1353" s="1">
        <v>45511</v>
      </c>
      <c r="C1353" t="s">
        <v>36</v>
      </c>
      <c r="D1353" t="s">
        <v>14</v>
      </c>
      <c r="E1353">
        <v>44</v>
      </c>
      <c r="F1353" t="s">
        <v>28</v>
      </c>
      <c r="G1353">
        <v>231.49</v>
      </c>
      <c r="H1353">
        <v>47</v>
      </c>
      <c r="I1353" t="s">
        <v>16</v>
      </c>
      <c r="J1353">
        <v>4.0999999999999996</v>
      </c>
      <c r="K1353" t="s">
        <v>26</v>
      </c>
      <c r="L1353" t="s">
        <v>18</v>
      </c>
      <c r="M1353" t="str">
        <f>VLOOKUP(D1357,Restaurant_Master!A:B,2,FALSE)</f>
        <v>https://content.jdmagicbox.com/comp/deoria/g6/9999p5568.5568.200119143033.m4g6/catalogue/biryani-house-deoria-ho-deoria-mktc2xph0o.jpg</v>
      </c>
    </row>
    <row r="1354" spans="1:13" x14ac:dyDescent="0.3">
      <c r="A1354" t="s">
        <v>1384</v>
      </c>
      <c r="B1354" s="1">
        <v>45504</v>
      </c>
      <c r="C1354" t="s">
        <v>36</v>
      </c>
      <c r="D1354" t="s">
        <v>14</v>
      </c>
      <c r="E1354">
        <v>20</v>
      </c>
      <c r="F1354" t="s">
        <v>28</v>
      </c>
      <c r="G1354">
        <v>822.9</v>
      </c>
      <c r="H1354">
        <v>58</v>
      </c>
      <c r="I1354" t="s">
        <v>16</v>
      </c>
      <c r="J1354">
        <v>3.5</v>
      </c>
      <c r="K1354" t="s">
        <v>26</v>
      </c>
      <c r="L1354" t="s">
        <v>18</v>
      </c>
      <c r="M1354" t="str">
        <f>VLOOKUP(D1358,Restaurant_Master!A:B,2,FALSE)</f>
        <v>https://dineout-media-assets.swiggy.com/swiggy/image/upload/fl_lossy,f_auto,q_auto/v1660793737/fdqxvxcxg1wtdwvyv45v.jpg</v>
      </c>
    </row>
    <row r="1355" spans="1:13" x14ac:dyDescent="0.3">
      <c r="A1355" t="s">
        <v>1385</v>
      </c>
      <c r="B1355" s="1">
        <v>45368</v>
      </c>
      <c r="C1355" t="s">
        <v>13</v>
      </c>
      <c r="D1355" t="s">
        <v>32</v>
      </c>
      <c r="E1355">
        <v>24</v>
      </c>
      <c r="F1355" t="s">
        <v>15</v>
      </c>
      <c r="G1355">
        <v>972.65</v>
      </c>
      <c r="H1355">
        <v>52</v>
      </c>
      <c r="I1355" t="s">
        <v>16</v>
      </c>
      <c r="J1355">
        <v>3.5</v>
      </c>
      <c r="K1355" t="s">
        <v>26</v>
      </c>
      <c r="L1355" t="s">
        <v>23</v>
      </c>
      <c r="M1355" t="str">
        <f>VLOOKUP(D1359,Restaurant_Master!A:B,2,FALSE)</f>
        <v>https://dineout-media-assets.swiggy.com/swiggy/image/upload/fl_lossy,f_auto,q_auto/v1660793737/fdqxvxcxg1wtdwvyv45v.jpg</v>
      </c>
    </row>
    <row r="1356" spans="1:13" x14ac:dyDescent="0.3">
      <c r="A1356" t="s">
        <v>1386</v>
      </c>
      <c r="B1356" s="1">
        <v>45596</v>
      </c>
      <c r="C1356" t="s">
        <v>20</v>
      </c>
      <c r="D1356" t="s">
        <v>21</v>
      </c>
      <c r="E1356">
        <v>56</v>
      </c>
      <c r="F1356" t="s">
        <v>15</v>
      </c>
      <c r="G1356">
        <v>1159.43</v>
      </c>
      <c r="H1356">
        <v>50</v>
      </c>
      <c r="I1356" t="s">
        <v>16</v>
      </c>
      <c r="J1356">
        <v>4</v>
      </c>
      <c r="K1356" t="s">
        <v>29</v>
      </c>
      <c r="L1356" t="s">
        <v>23</v>
      </c>
      <c r="M1356" t="str">
        <f>VLOOKUP(D1360,Restaurant_Master!A:B,2,FALSE)</f>
        <v>https://dineout-media-assets.swiggy.com/swiggy/image/upload/fl_lossy,f_auto,q_auto/v1660793737/fdqxvxcxg1wtdwvyv45v.jpg</v>
      </c>
    </row>
    <row r="1357" spans="1:13" x14ac:dyDescent="0.3">
      <c r="A1357" t="s">
        <v>1387</v>
      </c>
      <c r="B1357" s="1">
        <v>45321</v>
      </c>
      <c r="C1357" t="s">
        <v>20</v>
      </c>
      <c r="D1357" t="s">
        <v>32</v>
      </c>
      <c r="E1357">
        <v>57</v>
      </c>
      <c r="F1357" t="s">
        <v>15</v>
      </c>
      <c r="G1357">
        <v>1061.44</v>
      </c>
      <c r="H1357">
        <v>53</v>
      </c>
      <c r="I1357" t="s">
        <v>16</v>
      </c>
      <c r="J1357">
        <v>4.9000000000000004</v>
      </c>
      <c r="K1357" t="s">
        <v>17</v>
      </c>
      <c r="L1357" t="s">
        <v>18</v>
      </c>
      <c r="M1357" t="str">
        <f>VLOOKUP(D1361,Restaurant_Master!A:B,2,FALSE)</f>
        <v>https://www.chatswoodinterchange.com/storages/2018/08/Sushi-World_666x448.jpg</v>
      </c>
    </row>
    <row r="1358" spans="1:13" x14ac:dyDescent="0.3">
      <c r="A1358" t="s">
        <v>1388</v>
      </c>
      <c r="B1358" s="1">
        <v>45601</v>
      </c>
      <c r="C1358" t="s">
        <v>43</v>
      </c>
      <c r="D1358" t="s">
        <v>14</v>
      </c>
      <c r="E1358">
        <v>29</v>
      </c>
      <c r="F1358" t="s">
        <v>15</v>
      </c>
      <c r="G1358">
        <v>264.57</v>
      </c>
      <c r="H1358">
        <v>29</v>
      </c>
      <c r="I1358" t="s">
        <v>22</v>
      </c>
      <c r="J1358">
        <v>3.1</v>
      </c>
      <c r="K1358" t="s">
        <v>17</v>
      </c>
      <c r="L1358" t="s">
        <v>23</v>
      </c>
      <c r="M1358" t="str">
        <f>VLOOKUP(D1362,Restaurant_Master!A:B,2,FALSE)</f>
        <v>https://www.chatswoodinterchange.com/storages/2018/08/Sushi-World_666x448.jpg</v>
      </c>
    </row>
    <row r="1359" spans="1:13" x14ac:dyDescent="0.3">
      <c r="A1359" t="s">
        <v>1389</v>
      </c>
      <c r="B1359" s="1">
        <v>45606</v>
      </c>
      <c r="C1359" t="s">
        <v>20</v>
      </c>
      <c r="D1359" t="s">
        <v>14</v>
      </c>
      <c r="E1359">
        <v>51</v>
      </c>
      <c r="F1359" t="s">
        <v>28</v>
      </c>
      <c r="G1359">
        <v>1152.3900000000001</v>
      </c>
      <c r="H1359">
        <v>50</v>
      </c>
      <c r="I1359" t="s">
        <v>16</v>
      </c>
      <c r="J1359">
        <v>3.6</v>
      </c>
      <c r="K1359" t="s">
        <v>29</v>
      </c>
      <c r="L1359" t="s">
        <v>18</v>
      </c>
      <c r="M1359" t="str">
        <f>VLOOKUP(D1363,Restaurant_Master!A:B,2,FALSE)</f>
        <v>https://dynamic-media-cdn.tripadvisor.com/media/photo-o/1c/e7/04/0d/front-of-the-local-easily.jpg</v>
      </c>
    </row>
    <row r="1360" spans="1:13" x14ac:dyDescent="0.3">
      <c r="A1360" t="s">
        <v>1390</v>
      </c>
      <c r="B1360" s="1">
        <v>45524</v>
      </c>
      <c r="C1360" t="s">
        <v>13</v>
      </c>
      <c r="D1360" t="s">
        <v>14</v>
      </c>
      <c r="E1360">
        <v>29</v>
      </c>
      <c r="F1360" t="s">
        <v>28</v>
      </c>
      <c r="G1360">
        <v>260.24</v>
      </c>
      <c r="H1360">
        <v>49</v>
      </c>
      <c r="I1360" t="s">
        <v>16</v>
      </c>
      <c r="J1360">
        <v>4.5999999999999996</v>
      </c>
      <c r="K1360" t="s">
        <v>41</v>
      </c>
      <c r="L1360" t="s">
        <v>18</v>
      </c>
      <c r="M1360" t="str">
        <f>VLOOKUP(D1364,Restaurant_Master!A:B,2,FALSE)</f>
        <v>https://dynamic-media-cdn.tripadvisor.com/media/photo-o/1c/e7/04/0d/front-of-the-local-easily.jpg</v>
      </c>
    </row>
    <row r="1361" spans="1:13" x14ac:dyDescent="0.3">
      <c r="A1361" t="s">
        <v>1391</v>
      </c>
      <c r="B1361" s="1">
        <v>45479</v>
      </c>
      <c r="C1361" t="s">
        <v>36</v>
      </c>
      <c r="D1361" t="s">
        <v>38</v>
      </c>
      <c r="E1361">
        <v>55</v>
      </c>
      <c r="F1361" t="s">
        <v>28</v>
      </c>
      <c r="G1361">
        <v>517.44000000000005</v>
      </c>
      <c r="H1361">
        <v>50</v>
      </c>
      <c r="I1361" t="s">
        <v>16</v>
      </c>
      <c r="J1361">
        <v>3.6</v>
      </c>
      <c r="K1361" t="s">
        <v>29</v>
      </c>
      <c r="L1361" t="s">
        <v>23</v>
      </c>
      <c r="M1361" t="str">
        <f>VLOOKUP(D1365,Restaurant_Master!A:B,2,FALSE)</f>
        <v>https://media-cdn.tripadvisor.com/media/photo-s/1c/c7/97/b6/photo6jpg.jpg</v>
      </c>
    </row>
    <row r="1362" spans="1:13" x14ac:dyDescent="0.3">
      <c r="A1362" t="s">
        <v>1392</v>
      </c>
      <c r="B1362" s="1">
        <v>45488</v>
      </c>
      <c r="C1362" t="s">
        <v>13</v>
      </c>
      <c r="D1362" t="s">
        <v>38</v>
      </c>
      <c r="E1362">
        <v>60</v>
      </c>
      <c r="F1362" t="s">
        <v>28</v>
      </c>
      <c r="G1362">
        <v>460.82</v>
      </c>
      <c r="H1362">
        <v>54</v>
      </c>
      <c r="I1362" t="s">
        <v>16</v>
      </c>
      <c r="J1362">
        <v>4.0999999999999996</v>
      </c>
      <c r="K1362" t="s">
        <v>17</v>
      </c>
      <c r="L1362" t="s">
        <v>18</v>
      </c>
      <c r="M1362" t="str">
        <f>VLOOKUP(D1366,Restaurant_Master!A:B,2,FALSE)</f>
        <v>https://dineout-media-assets.swiggy.com/swiggy/image/upload/fl_lossy,f_auto,q_auto/v1660793737/fdqxvxcxg1wtdwvyv45v.jpg</v>
      </c>
    </row>
    <row r="1363" spans="1:13" x14ac:dyDescent="0.3">
      <c r="A1363" t="s">
        <v>1393</v>
      </c>
      <c r="B1363" s="1">
        <v>45575</v>
      </c>
      <c r="C1363" t="s">
        <v>43</v>
      </c>
      <c r="D1363" t="s">
        <v>21</v>
      </c>
      <c r="E1363">
        <v>36</v>
      </c>
      <c r="F1363" t="s">
        <v>15</v>
      </c>
      <c r="G1363">
        <v>196.32</v>
      </c>
      <c r="H1363">
        <v>59</v>
      </c>
      <c r="I1363" t="s">
        <v>16</v>
      </c>
      <c r="J1363">
        <v>2.7</v>
      </c>
      <c r="K1363" t="s">
        <v>41</v>
      </c>
      <c r="L1363" t="s">
        <v>18</v>
      </c>
      <c r="M1363" t="str">
        <f>VLOOKUP(D1367,Restaurant_Master!A:B,2,FALSE)</f>
        <v>https://www.chatswoodinterchange.com/storages/2018/08/Sushi-World_666x448.jpg</v>
      </c>
    </row>
    <row r="1364" spans="1:13" x14ac:dyDescent="0.3">
      <c r="A1364" t="s">
        <v>1394</v>
      </c>
      <c r="B1364" s="1">
        <v>45652</v>
      </c>
      <c r="C1364" t="s">
        <v>43</v>
      </c>
      <c r="D1364" t="s">
        <v>21</v>
      </c>
      <c r="E1364">
        <v>41</v>
      </c>
      <c r="F1364" t="s">
        <v>15</v>
      </c>
      <c r="G1364">
        <v>382.17</v>
      </c>
      <c r="H1364">
        <v>48</v>
      </c>
      <c r="I1364" t="s">
        <v>16</v>
      </c>
      <c r="J1364">
        <v>2.9</v>
      </c>
      <c r="K1364" t="s">
        <v>26</v>
      </c>
      <c r="L1364" t="s">
        <v>18</v>
      </c>
      <c r="M1364" t="str">
        <f>VLOOKUP(D1368,Restaurant_Master!A:B,2,FALSE)</f>
        <v>https://www.chatswoodinterchange.com/storages/2018/08/Sushi-World_666x448.jpg</v>
      </c>
    </row>
    <row r="1365" spans="1:13" x14ac:dyDescent="0.3">
      <c r="A1365" t="s">
        <v>1395</v>
      </c>
      <c r="B1365" s="1">
        <v>45378</v>
      </c>
      <c r="C1365" t="s">
        <v>36</v>
      </c>
      <c r="D1365" t="s">
        <v>25</v>
      </c>
      <c r="E1365">
        <v>34</v>
      </c>
      <c r="F1365" t="s">
        <v>15</v>
      </c>
      <c r="G1365">
        <v>290.77</v>
      </c>
      <c r="H1365">
        <v>48</v>
      </c>
      <c r="I1365" t="s">
        <v>16</v>
      </c>
      <c r="J1365">
        <v>3.6</v>
      </c>
      <c r="K1365" t="s">
        <v>41</v>
      </c>
      <c r="L1365" t="s">
        <v>23</v>
      </c>
      <c r="M1365" t="str">
        <f>VLOOKUP(D1369,Restaurant_Master!A:B,2,FALSE)</f>
        <v>https://www.chatswoodinterchange.com/storages/2018/08/Sushi-World_666x448.jpg</v>
      </c>
    </row>
    <row r="1366" spans="1:13" x14ac:dyDescent="0.3">
      <c r="A1366" t="s">
        <v>1396</v>
      </c>
      <c r="B1366" s="1">
        <v>45300</v>
      </c>
      <c r="C1366" t="s">
        <v>34</v>
      </c>
      <c r="D1366" t="s">
        <v>14</v>
      </c>
      <c r="E1366">
        <v>24</v>
      </c>
      <c r="F1366" t="s">
        <v>28</v>
      </c>
      <c r="G1366">
        <v>546.94000000000005</v>
      </c>
      <c r="H1366">
        <v>24</v>
      </c>
      <c r="I1366" t="s">
        <v>22</v>
      </c>
      <c r="J1366">
        <v>3.4</v>
      </c>
      <c r="K1366" t="s">
        <v>17</v>
      </c>
      <c r="L1366" t="s">
        <v>23</v>
      </c>
      <c r="M1366" t="str">
        <f>VLOOKUP(D1370,Restaurant_Master!A:B,2,FALSE)</f>
        <v>https://content.jdmagicbox.com/comp/deoria/g6/9999p5568.5568.200119143033.m4g6/catalogue/biryani-house-deoria-ho-deoria-mktc2xph0o.jpg</v>
      </c>
    </row>
    <row r="1367" spans="1:13" x14ac:dyDescent="0.3">
      <c r="A1367" t="s">
        <v>1397</v>
      </c>
      <c r="B1367" s="1">
        <v>45366</v>
      </c>
      <c r="C1367" t="s">
        <v>20</v>
      </c>
      <c r="D1367" t="s">
        <v>38</v>
      </c>
      <c r="E1367">
        <v>60</v>
      </c>
      <c r="F1367" t="s">
        <v>15</v>
      </c>
      <c r="G1367">
        <v>376.33</v>
      </c>
      <c r="H1367">
        <v>57</v>
      </c>
      <c r="I1367" t="s">
        <v>16</v>
      </c>
      <c r="J1367">
        <v>3.2</v>
      </c>
      <c r="K1367" t="s">
        <v>26</v>
      </c>
      <c r="L1367" t="s">
        <v>18</v>
      </c>
      <c r="M1367" t="str">
        <f>VLOOKUP(D1371,Restaurant_Master!A:B,2,FALSE)</f>
        <v>https://www.chatswoodinterchange.com/storages/2018/08/Sushi-World_666x448.jpg</v>
      </c>
    </row>
    <row r="1368" spans="1:13" x14ac:dyDescent="0.3">
      <c r="A1368" t="s">
        <v>1398</v>
      </c>
      <c r="B1368" s="1">
        <v>45436</v>
      </c>
      <c r="C1368" t="s">
        <v>13</v>
      </c>
      <c r="D1368" t="s">
        <v>38</v>
      </c>
      <c r="E1368">
        <v>35</v>
      </c>
      <c r="F1368" t="s">
        <v>28</v>
      </c>
      <c r="G1368">
        <v>1130.1500000000001</v>
      </c>
      <c r="H1368">
        <v>29</v>
      </c>
      <c r="I1368" t="s">
        <v>22</v>
      </c>
      <c r="J1368">
        <v>4.5999999999999996</v>
      </c>
      <c r="K1368" t="s">
        <v>41</v>
      </c>
      <c r="L1368" t="s">
        <v>18</v>
      </c>
      <c r="M1368" t="str">
        <f>VLOOKUP(D1372,Restaurant_Master!A:B,2,FALSE)</f>
        <v>https://dineout-media-assets.swiggy.com/swiggy/image/upload/fl_lossy,f_auto,q_auto/v1660793737/fdqxvxcxg1wtdwvyv45v.jpg</v>
      </c>
    </row>
    <row r="1369" spans="1:13" x14ac:dyDescent="0.3">
      <c r="A1369" t="s">
        <v>1399</v>
      </c>
      <c r="B1369" s="1">
        <v>45400</v>
      </c>
      <c r="C1369" t="s">
        <v>36</v>
      </c>
      <c r="D1369" t="s">
        <v>38</v>
      </c>
      <c r="E1369">
        <v>19</v>
      </c>
      <c r="F1369" t="s">
        <v>15</v>
      </c>
      <c r="G1369">
        <v>1041.74</v>
      </c>
      <c r="H1369">
        <v>33</v>
      </c>
      <c r="I1369" t="s">
        <v>22</v>
      </c>
      <c r="J1369">
        <v>3.6</v>
      </c>
      <c r="K1369" t="s">
        <v>29</v>
      </c>
      <c r="L1369" t="s">
        <v>18</v>
      </c>
      <c r="M1369" t="str">
        <f>VLOOKUP(D1373,Restaurant_Master!A:B,2,FALSE)</f>
        <v>https://media-cdn.tripadvisor.com/media/photo-s/1c/c7/97/b6/photo6jpg.jpg</v>
      </c>
    </row>
    <row r="1370" spans="1:13" x14ac:dyDescent="0.3">
      <c r="A1370" t="s">
        <v>1400</v>
      </c>
      <c r="B1370" s="1">
        <v>45515</v>
      </c>
      <c r="C1370" t="s">
        <v>20</v>
      </c>
      <c r="D1370" t="s">
        <v>32</v>
      </c>
      <c r="E1370">
        <v>37</v>
      </c>
      <c r="F1370" t="s">
        <v>15</v>
      </c>
      <c r="G1370">
        <v>798.87</v>
      </c>
      <c r="H1370">
        <v>29</v>
      </c>
      <c r="I1370" t="s">
        <v>22</v>
      </c>
      <c r="J1370">
        <v>2.7</v>
      </c>
      <c r="K1370" t="s">
        <v>26</v>
      </c>
      <c r="L1370" t="s">
        <v>23</v>
      </c>
      <c r="M1370" t="str">
        <f>VLOOKUP(D1374,Restaurant_Master!A:B,2,FALSE)</f>
        <v>https://www.chatswoodinterchange.com/storages/2018/08/Sushi-World_666x448.jpg</v>
      </c>
    </row>
    <row r="1371" spans="1:13" x14ac:dyDescent="0.3">
      <c r="A1371" t="s">
        <v>1401</v>
      </c>
      <c r="B1371" s="1">
        <v>45522</v>
      </c>
      <c r="C1371" t="s">
        <v>20</v>
      </c>
      <c r="D1371" t="s">
        <v>38</v>
      </c>
      <c r="E1371">
        <v>28</v>
      </c>
      <c r="F1371" t="s">
        <v>28</v>
      </c>
      <c r="G1371">
        <v>253.94</v>
      </c>
      <c r="H1371">
        <v>36</v>
      </c>
      <c r="I1371" t="s">
        <v>22</v>
      </c>
      <c r="J1371">
        <v>4.5999999999999996</v>
      </c>
      <c r="K1371" t="s">
        <v>17</v>
      </c>
      <c r="L1371" t="s">
        <v>23</v>
      </c>
      <c r="M1371" t="str">
        <f>VLOOKUP(D1375,Restaurant_Master!A:B,2,FALSE)</f>
        <v>https://dineout-media-assets.swiggy.com/swiggy/image/upload/fl_lossy,f_auto,q_auto/v1660793737/fdqxvxcxg1wtdwvyv45v.jpg</v>
      </c>
    </row>
    <row r="1372" spans="1:13" x14ac:dyDescent="0.3">
      <c r="A1372" t="s">
        <v>1402</v>
      </c>
      <c r="B1372" s="1">
        <v>45396</v>
      </c>
      <c r="C1372" t="s">
        <v>43</v>
      </c>
      <c r="D1372" t="s">
        <v>14</v>
      </c>
      <c r="E1372">
        <v>54</v>
      </c>
      <c r="F1372" t="s">
        <v>15</v>
      </c>
      <c r="G1372">
        <v>1024.5999999999999</v>
      </c>
      <c r="H1372">
        <v>34</v>
      </c>
      <c r="I1372" t="s">
        <v>22</v>
      </c>
      <c r="J1372">
        <v>3.4</v>
      </c>
      <c r="K1372" t="s">
        <v>17</v>
      </c>
      <c r="L1372" t="s">
        <v>23</v>
      </c>
      <c r="M1372" t="str">
        <f>VLOOKUP(D1376,Restaurant_Master!A:B,2,FALSE)</f>
        <v>https://dynamic-media-cdn.tripadvisor.com/media/photo-o/1c/e7/04/0d/front-of-the-local-easily.jpg</v>
      </c>
    </row>
    <row r="1373" spans="1:13" x14ac:dyDescent="0.3">
      <c r="A1373" t="s">
        <v>1403</v>
      </c>
      <c r="B1373" s="1">
        <v>45637</v>
      </c>
      <c r="C1373" t="s">
        <v>36</v>
      </c>
      <c r="D1373" t="s">
        <v>25</v>
      </c>
      <c r="E1373">
        <v>31</v>
      </c>
      <c r="F1373" t="s">
        <v>15</v>
      </c>
      <c r="G1373">
        <v>855.98</v>
      </c>
      <c r="H1373">
        <v>23</v>
      </c>
      <c r="I1373" t="s">
        <v>22</v>
      </c>
      <c r="J1373">
        <v>3.3</v>
      </c>
      <c r="K1373" t="s">
        <v>29</v>
      </c>
      <c r="L1373" t="s">
        <v>23</v>
      </c>
      <c r="M1373" t="str">
        <f>VLOOKUP(D1377,Restaurant_Master!A:B,2,FALSE)</f>
        <v>https://media-cdn.tripadvisor.com/media/photo-s/1c/c7/97/b6/photo6jpg.jpg</v>
      </c>
    </row>
    <row r="1374" spans="1:13" x14ac:dyDescent="0.3">
      <c r="A1374" t="s">
        <v>1404</v>
      </c>
      <c r="B1374" s="1">
        <v>45414</v>
      </c>
      <c r="C1374" t="s">
        <v>36</v>
      </c>
      <c r="D1374" t="s">
        <v>38</v>
      </c>
      <c r="E1374">
        <v>48</v>
      </c>
      <c r="F1374" t="s">
        <v>15</v>
      </c>
      <c r="G1374">
        <v>566.29999999999995</v>
      </c>
      <c r="H1374">
        <v>41</v>
      </c>
      <c r="I1374" t="s">
        <v>16</v>
      </c>
      <c r="J1374">
        <v>4.3</v>
      </c>
      <c r="K1374" t="s">
        <v>41</v>
      </c>
      <c r="L1374" t="s">
        <v>23</v>
      </c>
      <c r="M1374" t="str">
        <f>VLOOKUP(D1378,Restaurant_Master!A:B,2,FALSE)</f>
        <v>https://www.chatswoodinterchange.com/storages/2018/08/Sushi-World_666x448.jpg</v>
      </c>
    </row>
    <row r="1375" spans="1:13" x14ac:dyDescent="0.3">
      <c r="A1375" t="s">
        <v>1405</v>
      </c>
      <c r="B1375" s="1">
        <v>45579</v>
      </c>
      <c r="C1375" t="s">
        <v>34</v>
      </c>
      <c r="D1375" t="s">
        <v>14</v>
      </c>
      <c r="E1375">
        <v>52</v>
      </c>
      <c r="F1375" t="s">
        <v>15</v>
      </c>
      <c r="G1375">
        <v>547.37</v>
      </c>
      <c r="H1375">
        <v>34</v>
      </c>
      <c r="I1375" t="s">
        <v>22</v>
      </c>
      <c r="J1375">
        <v>2.7</v>
      </c>
      <c r="K1375" t="s">
        <v>26</v>
      </c>
      <c r="L1375" t="s">
        <v>18</v>
      </c>
      <c r="M1375" t="str">
        <f>VLOOKUP(D1379,Restaurant_Master!A:B,2,FALSE)</f>
        <v>https://www.chatswoodinterchange.com/storages/2018/08/Sushi-World_666x448.jpg</v>
      </c>
    </row>
    <row r="1376" spans="1:13" x14ac:dyDescent="0.3">
      <c r="A1376" t="s">
        <v>1406</v>
      </c>
      <c r="B1376" s="1">
        <v>45483</v>
      </c>
      <c r="C1376" t="s">
        <v>13</v>
      </c>
      <c r="D1376" t="s">
        <v>21</v>
      </c>
      <c r="E1376">
        <v>57</v>
      </c>
      <c r="F1376" t="s">
        <v>28</v>
      </c>
      <c r="G1376">
        <v>320.77999999999997</v>
      </c>
      <c r="H1376">
        <v>27</v>
      </c>
      <c r="I1376" t="s">
        <v>22</v>
      </c>
      <c r="J1376">
        <v>4.5</v>
      </c>
      <c r="K1376" t="s">
        <v>41</v>
      </c>
      <c r="L1376" t="s">
        <v>23</v>
      </c>
      <c r="M1376" t="str">
        <f>VLOOKUP(D1380,Restaurant_Master!A:B,2,FALSE)</f>
        <v>https://media-cdn.tripadvisor.com/media/photo-s/1c/c7/97/b6/photo6jpg.jpg</v>
      </c>
    </row>
    <row r="1377" spans="1:13" x14ac:dyDescent="0.3">
      <c r="A1377" t="s">
        <v>1407</v>
      </c>
      <c r="B1377" s="1">
        <v>45647</v>
      </c>
      <c r="C1377" t="s">
        <v>43</v>
      </c>
      <c r="D1377" t="s">
        <v>25</v>
      </c>
      <c r="E1377">
        <v>52</v>
      </c>
      <c r="F1377" t="s">
        <v>28</v>
      </c>
      <c r="G1377">
        <v>465.46</v>
      </c>
      <c r="H1377">
        <v>58</v>
      </c>
      <c r="I1377" t="s">
        <v>16</v>
      </c>
      <c r="J1377">
        <v>4</v>
      </c>
      <c r="K1377" t="s">
        <v>26</v>
      </c>
      <c r="L1377" t="s">
        <v>23</v>
      </c>
      <c r="M1377" t="str">
        <f>VLOOKUP(D1381,Restaurant_Master!A:B,2,FALSE)</f>
        <v>https://www.chatswoodinterchange.com/storages/2018/08/Sushi-World_666x448.jpg</v>
      </c>
    </row>
    <row r="1378" spans="1:13" x14ac:dyDescent="0.3">
      <c r="A1378" t="s">
        <v>1408</v>
      </c>
      <c r="B1378" s="1">
        <v>45399</v>
      </c>
      <c r="C1378" t="s">
        <v>34</v>
      </c>
      <c r="D1378" t="s">
        <v>38</v>
      </c>
      <c r="E1378">
        <v>34</v>
      </c>
      <c r="F1378" t="s">
        <v>15</v>
      </c>
      <c r="G1378">
        <v>856.31</v>
      </c>
      <c r="H1378">
        <v>33</v>
      </c>
      <c r="I1378" t="s">
        <v>22</v>
      </c>
      <c r="J1378">
        <v>2.8</v>
      </c>
      <c r="K1378" t="s">
        <v>41</v>
      </c>
      <c r="L1378" t="s">
        <v>18</v>
      </c>
      <c r="M1378" t="str">
        <f>VLOOKUP(D1382,Restaurant_Master!A:B,2,FALSE)</f>
        <v>https://media-cdn.tripadvisor.com/media/photo-s/1c/c7/97/b6/photo6jpg.jpg</v>
      </c>
    </row>
    <row r="1379" spans="1:13" x14ac:dyDescent="0.3">
      <c r="A1379" t="s">
        <v>1409</v>
      </c>
      <c r="B1379" s="1">
        <v>45449</v>
      </c>
      <c r="C1379" t="s">
        <v>13</v>
      </c>
      <c r="D1379" t="s">
        <v>38</v>
      </c>
      <c r="E1379">
        <v>31</v>
      </c>
      <c r="F1379" t="s">
        <v>15</v>
      </c>
      <c r="G1379">
        <v>832.43</v>
      </c>
      <c r="H1379">
        <v>41</v>
      </c>
      <c r="I1379" t="s">
        <v>16</v>
      </c>
      <c r="J1379">
        <v>4.4000000000000004</v>
      </c>
      <c r="K1379" t="s">
        <v>29</v>
      </c>
      <c r="L1379" t="s">
        <v>23</v>
      </c>
      <c r="M1379" t="str">
        <f>VLOOKUP(D1383,Restaurant_Master!A:B,2,FALSE)</f>
        <v>https://dynamic-media-cdn.tripadvisor.com/media/photo-o/1c/e7/04/0d/front-of-the-local-easily.jpg</v>
      </c>
    </row>
    <row r="1380" spans="1:13" x14ac:dyDescent="0.3">
      <c r="A1380" t="s">
        <v>1410</v>
      </c>
      <c r="B1380" s="1">
        <v>45647</v>
      </c>
      <c r="C1380" t="s">
        <v>20</v>
      </c>
      <c r="D1380" t="s">
        <v>25</v>
      </c>
      <c r="E1380">
        <v>19</v>
      </c>
      <c r="F1380" t="s">
        <v>15</v>
      </c>
      <c r="G1380">
        <v>598.26</v>
      </c>
      <c r="H1380">
        <v>49</v>
      </c>
      <c r="I1380" t="s">
        <v>16</v>
      </c>
      <c r="J1380">
        <v>3</v>
      </c>
      <c r="K1380" t="s">
        <v>41</v>
      </c>
      <c r="L1380" t="s">
        <v>18</v>
      </c>
      <c r="M1380" t="str">
        <f>VLOOKUP(D1384,Restaurant_Master!A:B,2,FALSE)</f>
        <v>https://dynamic-media-cdn.tripadvisor.com/media/photo-o/1c/e7/04/0d/front-of-the-local-easily.jpg</v>
      </c>
    </row>
    <row r="1381" spans="1:13" x14ac:dyDescent="0.3">
      <c r="A1381" t="s">
        <v>1411</v>
      </c>
      <c r="B1381" s="1">
        <v>45362</v>
      </c>
      <c r="C1381" t="s">
        <v>34</v>
      </c>
      <c r="D1381" t="s">
        <v>38</v>
      </c>
      <c r="E1381">
        <v>20</v>
      </c>
      <c r="F1381" t="s">
        <v>15</v>
      </c>
      <c r="G1381">
        <v>200.09</v>
      </c>
      <c r="H1381">
        <v>44</v>
      </c>
      <c r="I1381" t="s">
        <v>16</v>
      </c>
      <c r="J1381">
        <v>4.7</v>
      </c>
      <c r="K1381" t="s">
        <v>29</v>
      </c>
      <c r="L1381" t="s">
        <v>23</v>
      </c>
      <c r="M1381" t="str">
        <f>VLOOKUP(D1385,Restaurant_Master!A:B,2,FALSE)</f>
        <v>https://www.chatswoodinterchange.com/storages/2018/08/Sushi-World_666x448.jpg</v>
      </c>
    </row>
    <row r="1382" spans="1:13" x14ac:dyDescent="0.3">
      <c r="A1382" t="s">
        <v>1412</v>
      </c>
      <c r="B1382" s="1">
        <v>45585</v>
      </c>
      <c r="C1382" t="s">
        <v>13</v>
      </c>
      <c r="D1382" t="s">
        <v>25</v>
      </c>
      <c r="E1382">
        <v>50</v>
      </c>
      <c r="F1382" t="s">
        <v>28</v>
      </c>
      <c r="G1382">
        <v>859.25</v>
      </c>
      <c r="H1382">
        <v>26</v>
      </c>
      <c r="I1382" t="s">
        <v>22</v>
      </c>
      <c r="J1382">
        <v>2.9</v>
      </c>
      <c r="K1382" t="s">
        <v>41</v>
      </c>
      <c r="L1382" t="s">
        <v>18</v>
      </c>
      <c r="M1382" t="str">
        <f>VLOOKUP(D1386,Restaurant_Master!A:B,2,FALSE)</f>
        <v>https://dineout-media-assets.swiggy.com/swiggy/image/upload/fl_lossy,f_auto,q_auto/v1660793737/fdqxvxcxg1wtdwvyv45v.jpg</v>
      </c>
    </row>
    <row r="1383" spans="1:13" x14ac:dyDescent="0.3">
      <c r="A1383" t="s">
        <v>1413</v>
      </c>
      <c r="B1383" s="1">
        <v>45490</v>
      </c>
      <c r="C1383" t="s">
        <v>13</v>
      </c>
      <c r="D1383" t="s">
        <v>21</v>
      </c>
      <c r="E1383">
        <v>30</v>
      </c>
      <c r="F1383" t="s">
        <v>15</v>
      </c>
      <c r="G1383">
        <v>820.54</v>
      </c>
      <c r="H1383">
        <v>42</v>
      </c>
      <c r="I1383" t="s">
        <v>16</v>
      </c>
      <c r="J1383">
        <v>2.8</v>
      </c>
      <c r="K1383" t="s">
        <v>29</v>
      </c>
      <c r="L1383" t="s">
        <v>18</v>
      </c>
      <c r="M1383" t="str">
        <f>VLOOKUP(D1387,Restaurant_Master!A:B,2,FALSE)</f>
        <v>https://dineout-media-assets.swiggy.com/swiggy/image/upload/fl_lossy,f_auto,q_auto/v1660793737/fdqxvxcxg1wtdwvyv45v.jpg</v>
      </c>
    </row>
    <row r="1384" spans="1:13" x14ac:dyDescent="0.3">
      <c r="A1384" t="s">
        <v>1414</v>
      </c>
      <c r="B1384" s="1">
        <v>45391</v>
      </c>
      <c r="C1384" t="s">
        <v>13</v>
      </c>
      <c r="D1384" t="s">
        <v>21</v>
      </c>
      <c r="E1384">
        <v>53</v>
      </c>
      <c r="F1384" t="s">
        <v>28</v>
      </c>
      <c r="G1384">
        <v>1195.7</v>
      </c>
      <c r="H1384">
        <v>47</v>
      </c>
      <c r="I1384" t="s">
        <v>16</v>
      </c>
      <c r="J1384">
        <v>3.4</v>
      </c>
      <c r="K1384" t="s">
        <v>29</v>
      </c>
      <c r="L1384" t="s">
        <v>23</v>
      </c>
      <c r="M1384" t="str">
        <f>VLOOKUP(D1388,Restaurant_Master!A:B,2,FALSE)</f>
        <v>https://www.chatswoodinterchange.com/storages/2018/08/Sushi-World_666x448.jpg</v>
      </c>
    </row>
    <row r="1385" spans="1:13" x14ac:dyDescent="0.3">
      <c r="A1385" t="s">
        <v>1415</v>
      </c>
      <c r="B1385" s="1">
        <v>45516</v>
      </c>
      <c r="C1385" t="s">
        <v>13</v>
      </c>
      <c r="D1385" t="s">
        <v>38</v>
      </c>
      <c r="E1385">
        <v>30</v>
      </c>
      <c r="F1385" t="s">
        <v>28</v>
      </c>
      <c r="G1385">
        <v>403.17</v>
      </c>
      <c r="H1385">
        <v>41</v>
      </c>
      <c r="I1385" t="s">
        <v>16</v>
      </c>
      <c r="J1385">
        <v>4.7</v>
      </c>
      <c r="K1385" t="s">
        <v>17</v>
      </c>
      <c r="L1385" t="s">
        <v>18</v>
      </c>
      <c r="M1385" t="str">
        <f>VLOOKUP(D1389,Restaurant_Master!A:B,2,FALSE)</f>
        <v>https://dineout-media-assets.swiggy.com/swiggy/image/upload/fl_lossy,f_auto,q_auto/v1660793737/fdqxvxcxg1wtdwvyv45v.jpg</v>
      </c>
    </row>
    <row r="1386" spans="1:13" x14ac:dyDescent="0.3">
      <c r="A1386" t="s">
        <v>1416</v>
      </c>
      <c r="B1386" s="1">
        <v>45536</v>
      </c>
      <c r="C1386" t="s">
        <v>43</v>
      </c>
      <c r="D1386" t="s">
        <v>14</v>
      </c>
      <c r="E1386">
        <v>21</v>
      </c>
      <c r="F1386" t="s">
        <v>15</v>
      </c>
      <c r="G1386">
        <v>644.80999999999995</v>
      </c>
      <c r="H1386">
        <v>26</v>
      </c>
      <c r="I1386" t="s">
        <v>22</v>
      </c>
      <c r="J1386">
        <v>4.7</v>
      </c>
      <c r="K1386" t="s">
        <v>29</v>
      </c>
      <c r="L1386" t="s">
        <v>18</v>
      </c>
      <c r="M1386" t="str">
        <f>VLOOKUP(D1390,Restaurant_Master!A:B,2,FALSE)</f>
        <v>https://content.jdmagicbox.com/comp/deoria/g6/9999p5568.5568.200119143033.m4g6/catalogue/biryani-house-deoria-ho-deoria-mktc2xph0o.jpg</v>
      </c>
    </row>
    <row r="1387" spans="1:13" x14ac:dyDescent="0.3">
      <c r="A1387" t="s">
        <v>1417</v>
      </c>
      <c r="B1387" s="1">
        <v>45610</v>
      </c>
      <c r="C1387" t="s">
        <v>34</v>
      </c>
      <c r="D1387" t="s">
        <v>14</v>
      </c>
      <c r="E1387">
        <v>21</v>
      </c>
      <c r="F1387" t="s">
        <v>15</v>
      </c>
      <c r="G1387">
        <v>931.58</v>
      </c>
      <c r="H1387">
        <v>44</v>
      </c>
      <c r="I1387" t="s">
        <v>16</v>
      </c>
      <c r="J1387">
        <v>3.3</v>
      </c>
      <c r="K1387" t="s">
        <v>26</v>
      </c>
      <c r="L1387" t="s">
        <v>18</v>
      </c>
      <c r="M1387" t="str">
        <f>VLOOKUP(D1391,Restaurant_Master!A:B,2,FALSE)</f>
        <v>https://content.jdmagicbox.com/comp/deoria/g6/9999p5568.5568.200119143033.m4g6/catalogue/biryani-house-deoria-ho-deoria-mktc2xph0o.jpg</v>
      </c>
    </row>
    <row r="1388" spans="1:13" x14ac:dyDescent="0.3">
      <c r="A1388" t="s">
        <v>1418</v>
      </c>
      <c r="B1388" s="1">
        <v>45609</v>
      </c>
      <c r="C1388" t="s">
        <v>20</v>
      </c>
      <c r="D1388" t="s">
        <v>38</v>
      </c>
      <c r="E1388">
        <v>49</v>
      </c>
      <c r="F1388" t="s">
        <v>28</v>
      </c>
      <c r="G1388">
        <v>908.5</v>
      </c>
      <c r="H1388">
        <v>44</v>
      </c>
      <c r="I1388" t="s">
        <v>16</v>
      </c>
      <c r="J1388">
        <v>3.3</v>
      </c>
      <c r="K1388" t="s">
        <v>17</v>
      </c>
      <c r="L1388" t="s">
        <v>18</v>
      </c>
      <c r="M1388" t="str">
        <f>VLOOKUP(D1392,Restaurant_Master!A:B,2,FALSE)</f>
        <v>https://dynamic-media-cdn.tripadvisor.com/media/photo-o/1c/e7/04/0d/front-of-the-local-easily.jpg</v>
      </c>
    </row>
    <row r="1389" spans="1:13" x14ac:dyDescent="0.3">
      <c r="A1389" t="s">
        <v>1419</v>
      </c>
      <c r="B1389" s="1">
        <v>45576</v>
      </c>
      <c r="C1389" t="s">
        <v>36</v>
      </c>
      <c r="D1389" t="s">
        <v>14</v>
      </c>
      <c r="E1389">
        <v>48</v>
      </c>
      <c r="F1389" t="s">
        <v>28</v>
      </c>
      <c r="G1389">
        <v>256.49</v>
      </c>
      <c r="H1389">
        <v>36</v>
      </c>
      <c r="I1389" t="s">
        <v>22</v>
      </c>
      <c r="J1389">
        <v>3.5</v>
      </c>
      <c r="K1389" t="s">
        <v>41</v>
      </c>
      <c r="L1389" t="s">
        <v>23</v>
      </c>
      <c r="M1389" t="str">
        <f>VLOOKUP(D1393,Restaurant_Master!A:B,2,FALSE)</f>
        <v>https://media-cdn.tripadvisor.com/media/photo-s/1c/c7/97/b6/photo6jpg.jpg</v>
      </c>
    </row>
    <row r="1390" spans="1:13" x14ac:dyDescent="0.3">
      <c r="A1390" t="s">
        <v>1420</v>
      </c>
      <c r="B1390" s="1">
        <v>45307</v>
      </c>
      <c r="C1390" t="s">
        <v>20</v>
      </c>
      <c r="D1390" t="s">
        <v>32</v>
      </c>
      <c r="E1390">
        <v>34</v>
      </c>
      <c r="F1390" t="s">
        <v>28</v>
      </c>
      <c r="G1390">
        <v>839.93</v>
      </c>
      <c r="H1390">
        <v>37</v>
      </c>
      <c r="I1390" t="s">
        <v>22</v>
      </c>
      <c r="J1390">
        <v>2.9</v>
      </c>
      <c r="K1390" t="s">
        <v>17</v>
      </c>
      <c r="L1390" t="s">
        <v>18</v>
      </c>
      <c r="M1390" t="str">
        <f>VLOOKUP(D1394,Restaurant_Master!A:B,2,FALSE)</f>
        <v>https://dineout-media-assets.swiggy.com/swiggy/image/upload/fl_lossy,f_auto,q_auto/v1660793737/fdqxvxcxg1wtdwvyv45v.jpg</v>
      </c>
    </row>
    <row r="1391" spans="1:13" x14ac:dyDescent="0.3">
      <c r="A1391" t="s">
        <v>1421</v>
      </c>
      <c r="B1391" s="1">
        <v>45501</v>
      </c>
      <c r="C1391" t="s">
        <v>34</v>
      </c>
      <c r="D1391" t="s">
        <v>32</v>
      </c>
      <c r="E1391">
        <v>44</v>
      </c>
      <c r="F1391" t="s">
        <v>15</v>
      </c>
      <c r="G1391">
        <v>838.11</v>
      </c>
      <c r="H1391">
        <v>39</v>
      </c>
      <c r="I1391" t="s">
        <v>22</v>
      </c>
      <c r="J1391">
        <v>4.7</v>
      </c>
      <c r="K1391" t="s">
        <v>29</v>
      </c>
      <c r="L1391" t="s">
        <v>23</v>
      </c>
      <c r="M1391" t="str">
        <f>VLOOKUP(D1395,Restaurant_Master!A:B,2,FALSE)</f>
        <v>https://content.jdmagicbox.com/comp/deoria/g6/9999p5568.5568.200119143033.m4g6/catalogue/biryani-house-deoria-ho-deoria-mktc2xph0o.jpg</v>
      </c>
    </row>
    <row r="1392" spans="1:13" x14ac:dyDescent="0.3">
      <c r="A1392" t="s">
        <v>1422</v>
      </c>
      <c r="B1392" s="1">
        <v>45452</v>
      </c>
      <c r="C1392" t="s">
        <v>43</v>
      </c>
      <c r="D1392" t="s">
        <v>21</v>
      </c>
      <c r="E1392">
        <v>55</v>
      </c>
      <c r="F1392" t="s">
        <v>28</v>
      </c>
      <c r="G1392">
        <v>692.3</v>
      </c>
      <c r="H1392">
        <v>56</v>
      </c>
      <c r="I1392" t="s">
        <v>16</v>
      </c>
      <c r="J1392">
        <v>3.8</v>
      </c>
      <c r="K1392" t="s">
        <v>29</v>
      </c>
      <c r="L1392" t="s">
        <v>18</v>
      </c>
      <c r="M1392" t="str">
        <f>VLOOKUP(D1396,Restaurant_Master!A:B,2,FALSE)</f>
        <v>https://dynamic-media-cdn.tripadvisor.com/media/photo-o/1c/e7/04/0d/front-of-the-local-easily.jpg</v>
      </c>
    </row>
    <row r="1393" spans="1:13" x14ac:dyDescent="0.3">
      <c r="A1393" t="s">
        <v>1423</v>
      </c>
      <c r="B1393" s="1">
        <v>45373</v>
      </c>
      <c r="C1393" t="s">
        <v>13</v>
      </c>
      <c r="D1393" t="s">
        <v>25</v>
      </c>
      <c r="E1393">
        <v>58</v>
      </c>
      <c r="F1393" t="s">
        <v>15</v>
      </c>
      <c r="G1393">
        <v>309.14</v>
      </c>
      <c r="H1393">
        <v>44</v>
      </c>
      <c r="I1393" t="s">
        <v>16</v>
      </c>
      <c r="J1393">
        <v>3.9</v>
      </c>
      <c r="K1393" t="s">
        <v>29</v>
      </c>
      <c r="L1393" t="s">
        <v>23</v>
      </c>
      <c r="M1393" t="str">
        <f>VLOOKUP(D1397,Restaurant_Master!A:B,2,FALSE)</f>
        <v>https://dineout-media-assets.swiggy.com/swiggy/image/upload/fl_lossy,f_auto,q_auto/v1660793737/fdqxvxcxg1wtdwvyv45v.jpg</v>
      </c>
    </row>
    <row r="1394" spans="1:13" x14ac:dyDescent="0.3">
      <c r="A1394" t="s">
        <v>1424</v>
      </c>
      <c r="B1394" s="1">
        <v>45426</v>
      </c>
      <c r="C1394" t="s">
        <v>43</v>
      </c>
      <c r="D1394" t="s">
        <v>14</v>
      </c>
      <c r="E1394">
        <v>38</v>
      </c>
      <c r="F1394" t="s">
        <v>28</v>
      </c>
      <c r="G1394">
        <v>1183.1099999999999</v>
      </c>
      <c r="H1394">
        <v>35</v>
      </c>
      <c r="I1394" t="s">
        <v>22</v>
      </c>
      <c r="J1394">
        <v>3.3</v>
      </c>
      <c r="K1394" t="s">
        <v>26</v>
      </c>
      <c r="L1394" t="s">
        <v>18</v>
      </c>
      <c r="M1394" t="str">
        <f>VLOOKUP(D1398,Restaurant_Master!A:B,2,FALSE)</f>
        <v>https://www.chatswoodinterchange.com/storages/2018/08/Sushi-World_666x448.jpg</v>
      </c>
    </row>
    <row r="1395" spans="1:13" x14ac:dyDescent="0.3">
      <c r="A1395" t="s">
        <v>1425</v>
      </c>
      <c r="B1395" s="1">
        <v>45610</v>
      </c>
      <c r="C1395" t="s">
        <v>36</v>
      </c>
      <c r="D1395" t="s">
        <v>32</v>
      </c>
      <c r="E1395">
        <v>40</v>
      </c>
      <c r="F1395" t="s">
        <v>15</v>
      </c>
      <c r="G1395">
        <v>912.86</v>
      </c>
      <c r="H1395">
        <v>40</v>
      </c>
      <c r="I1395" t="s">
        <v>22</v>
      </c>
      <c r="J1395">
        <v>3.9</v>
      </c>
      <c r="K1395" t="s">
        <v>29</v>
      </c>
      <c r="L1395" t="s">
        <v>23</v>
      </c>
      <c r="M1395" t="str">
        <f>VLOOKUP(D1399,Restaurant_Master!A:B,2,FALSE)</f>
        <v>https://www.chatswoodinterchange.com/storages/2018/08/Sushi-World_666x448.jpg</v>
      </c>
    </row>
    <row r="1396" spans="1:13" x14ac:dyDescent="0.3">
      <c r="A1396" t="s">
        <v>1426</v>
      </c>
      <c r="B1396" s="1">
        <v>45417</v>
      </c>
      <c r="C1396" t="s">
        <v>36</v>
      </c>
      <c r="D1396" t="s">
        <v>21</v>
      </c>
      <c r="E1396">
        <v>29</v>
      </c>
      <c r="F1396" t="s">
        <v>28</v>
      </c>
      <c r="G1396">
        <v>196.86</v>
      </c>
      <c r="H1396">
        <v>43</v>
      </c>
      <c r="I1396" t="s">
        <v>16</v>
      </c>
      <c r="J1396">
        <v>3.4</v>
      </c>
      <c r="K1396" t="s">
        <v>26</v>
      </c>
      <c r="L1396" t="s">
        <v>23</v>
      </c>
      <c r="M1396" t="str">
        <f>VLOOKUP(D1400,Restaurant_Master!A:B,2,FALSE)</f>
        <v>https://media-cdn.tripadvisor.com/media/photo-s/1c/c7/97/b6/photo6jpg.jpg</v>
      </c>
    </row>
    <row r="1397" spans="1:13" x14ac:dyDescent="0.3">
      <c r="A1397" t="s">
        <v>1427</v>
      </c>
      <c r="B1397" s="1">
        <v>45457</v>
      </c>
      <c r="C1397" t="s">
        <v>13</v>
      </c>
      <c r="D1397" t="s">
        <v>14</v>
      </c>
      <c r="E1397">
        <v>29</v>
      </c>
      <c r="F1397" t="s">
        <v>28</v>
      </c>
      <c r="G1397">
        <v>529.62</v>
      </c>
      <c r="H1397">
        <v>26</v>
      </c>
      <c r="I1397" t="s">
        <v>22</v>
      </c>
      <c r="J1397">
        <v>3.1</v>
      </c>
      <c r="K1397" t="s">
        <v>41</v>
      </c>
      <c r="L1397" t="s">
        <v>23</v>
      </c>
      <c r="M1397" t="str">
        <f>VLOOKUP(D1401,Restaurant_Master!A:B,2,FALSE)</f>
        <v>https://dynamic-media-cdn.tripadvisor.com/media/photo-o/1c/e7/04/0d/front-of-the-local-easily.jpg</v>
      </c>
    </row>
    <row r="1398" spans="1:13" x14ac:dyDescent="0.3">
      <c r="A1398" t="s">
        <v>1428</v>
      </c>
      <c r="B1398" s="1">
        <v>45446</v>
      </c>
      <c r="C1398" t="s">
        <v>13</v>
      </c>
      <c r="D1398" t="s">
        <v>38</v>
      </c>
      <c r="E1398">
        <v>47</v>
      </c>
      <c r="F1398" t="s">
        <v>28</v>
      </c>
      <c r="G1398">
        <v>1099.82</v>
      </c>
      <c r="H1398">
        <v>31</v>
      </c>
      <c r="I1398" t="s">
        <v>22</v>
      </c>
      <c r="J1398">
        <v>4.3</v>
      </c>
      <c r="K1398" t="s">
        <v>29</v>
      </c>
      <c r="L1398" t="s">
        <v>23</v>
      </c>
      <c r="M1398" t="str">
        <f>VLOOKUP(D1402,Restaurant_Master!A:B,2,FALSE)</f>
        <v>https://dynamic-media-cdn.tripadvisor.com/media/photo-o/1c/e7/04/0d/front-of-the-local-easily.jpg</v>
      </c>
    </row>
    <row r="1399" spans="1:13" x14ac:dyDescent="0.3">
      <c r="A1399" t="s">
        <v>1429</v>
      </c>
      <c r="B1399" s="1">
        <v>45299</v>
      </c>
      <c r="C1399" t="s">
        <v>34</v>
      </c>
      <c r="D1399" t="s">
        <v>38</v>
      </c>
      <c r="E1399">
        <v>29</v>
      </c>
      <c r="F1399" t="s">
        <v>15</v>
      </c>
      <c r="G1399">
        <v>323.72000000000003</v>
      </c>
      <c r="H1399">
        <v>36</v>
      </c>
      <c r="I1399" t="s">
        <v>22</v>
      </c>
      <c r="J1399">
        <v>3.5</v>
      </c>
      <c r="K1399" t="s">
        <v>17</v>
      </c>
      <c r="L1399" t="s">
        <v>18</v>
      </c>
      <c r="M1399" t="str">
        <f>VLOOKUP(D1403,Restaurant_Master!A:B,2,FALSE)</f>
        <v>https://media-cdn.tripadvisor.com/media/photo-s/1c/c7/97/b6/photo6jpg.jpg</v>
      </c>
    </row>
    <row r="1400" spans="1:13" x14ac:dyDescent="0.3">
      <c r="A1400" t="s">
        <v>1430</v>
      </c>
      <c r="B1400" s="1">
        <v>45438</v>
      </c>
      <c r="C1400" t="s">
        <v>13</v>
      </c>
      <c r="D1400" t="s">
        <v>25</v>
      </c>
      <c r="E1400">
        <v>48</v>
      </c>
      <c r="F1400" t="s">
        <v>28</v>
      </c>
      <c r="G1400">
        <v>1114.51</v>
      </c>
      <c r="H1400">
        <v>38</v>
      </c>
      <c r="I1400" t="s">
        <v>22</v>
      </c>
      <c r="J1400">
        <v>3.8</v>
      </c>
      <c r="K1400" t="s">
        <v>17</v>
      </c>
      <c r="L1400" t="s">
        <v>18</v>
      </c>
      <c r="M1400" t="str">
        <f>VLOOKUP(D1404,Restaurant_Master!A:B,2,FALSE)</f>
        <v>https://www.chatswoodinterchange.com/storages/2018/08/Sushi-World_666x448.jpg</v>
      </c>
    </row>
    <row r="1401" spans="1:13" x14ac:dyDescent="0.3">
      <c r="A1401" t="s">
        <v>1431</v>
      </c>
      <c r="B1401" s="1">
        <v>45651</v>
      </c>
      <c r="C1401" t="s">
        <v>20</v>
      </c>
      <c r="D1401" t="s">
        <v>21</v>
      </c>
      <c r="E1401">
        <v>43</v>
      </c>
      <c r="F1401" t="s">
        <v>28</v>
      </c>
      <c r="G1401">
        <v>692.36</v>
      </c>
      <c r="H1401">
        <v>22</v>
      </c>
      <c r="I1401" t="s">
        <v>22</v>
      </c>
      <c r="J1401">
        <v>3.1</v>
      </c>
      <c r="K1401" t="s">
        <v>17</v>
      </c>
      <c r="L1401" t="s">
        <v>23</v>
      </c>
      <c r="M1401" t="str">
        <f>VLOOKUP(D1405,Restaurant_Master!A:B,2,FALSE)</f>
        <v>https://content.jdmagicbox.com/comp/deoria/g6/9999p5568.5568.200119143033.m4g6/catalogue/biryani-house-deoria-ho-deoria-mktc2xph0o.jpg</v>
      </c>
    </row>
    <row r="1402" spans="1:13" x14ac:dyDescent="0.3">
      <c r="A1402" t="s">
        <v>1432</v>
      </c>
      <c r="B1402" s="1">
        <v>45335</v>
      </c>
      <c r="C1402" t="s">
        <v>36</v>
      </c>
      <c r="D1402" t="s">
        <v>21</v>
      </c>
      <c r="E1402">
        <v>48</v>
      </c>
      <c r="F1402" t="s">
        <v>28</v>
      </c>
      <c r="G1402">
        <v>933.96</v>
      </c>
      <c r="H1402">
        <v>53</v>
      </c>
      <c r="I1402" t="s">
        <v>16</v>
      </c>
      <c r="J1402">
        <v>2.7</v>
      </c>
      <c r="K1402" t="s">
        <v>17</v>
      </c>
      <c r="L1402" t="s">
        <v>18</v>
      </c>
      <c r="M1402" t="str">
        <f>VLOOKUP(D1406,Restaurant_Master!A:B,2,FALSE)</f>
        <v>https://www.chatswoodinterchange.com/storages/2018/08/Sushi-World_666x448.jpg</v>
      </c>
    </row>
    <row r="1403" spans="1:13" x14ac:dyDescent="0.3">
      <c r="A1403" t="s">
        <v>1433</v>
      </c>
      <c r="B1403" s="1">
        <v>45293</v>
      </c>
      <c r="C1403" t="s">
        <v>34</v>
      </c>
      <c r="D1403" t="s">
        <v>25</v>
      </c>
      <c r="E1403">
        <v>49</v>
      </c>
      <c r="F1403" t="s">
        <v>15</v>
      </c>
      <c r="G1403">
        <v>740.15</v>
      </c>
      <c r="H1403">
        <v>42</v>
      </c>
      <c r="I1403" t="s">
        <v>16</v>
      </c>
      <c r="J1403">
        <v>2.9</v>
      </c>
      <c r="K1403" t="s">
        <v>41</v>
      </c>
      <c r="L1403" t="s">
        <v>23</v>
      </c>
      <c r="M1403" t="str">
        <f>VLOOKUP(D1407,Restaurant_Master!A:B,2,FALSE)</f>
        <v>https://content.jdmagicbox.com/comp/deoria/g6/9999p5568.5568.200119143033.m4g6/catalogue/biryani-house-deoria-ho-deoria-mktc2xph0o.jpg</v>
      </c>
    </row>
    <row r="1404" spans="1:13" x14ac:dyDescent="0.3">
      <c r="A1404" t="s">
        <v>1434</v>
      </c>
      <c r="B1404" s="1">
        <v>45379</v>
      </c>
      <c r="C1404" t="s">
        <v>36</v>
      </c>
      <c r="D1404" t="s">
        <v>38</v>
      </c>
      <c r="E1404">
        <v>49</v>
      </c>
      <c r="F1404" t="s">
        <v>15</v>
      </c>
      <c r="G1404">
        <v>821.4</v>
      </c>
      <c r="H1404">
        <v>33</v>
      </c>
      <c r="I1404" t="s">
        <v>22</v>
      </c>
      <c r="J1404">
        <v>2.5</v>
      </c>
      <c r="K1404" t="s">
        <v>29</v>
      </c>
      <c r="L1404" t="s">
        <v>18</v>
      </c>
      <c r="M1404" t="str">
        <f>VLOOKUP(D1408,Restaurant_Master!A:B,2,FALSE)</f>
        <v>https://www.chatswoodinterchange.com/storages/2018/08/Sushi-World_666x448.jpg</v>
      </c>
    </row>
    <row r="1405" spans="1:13" x14ac:dyDescent="0.3">
      <c r="A1405" t="s">
        <v>1435</v>
      </c>
      <c r="B1405" s="1">
        <v>45295</v>
      </c>
      <c r="C1405" t="s">
        <v>20</v>
      </c>
      <c r="D1405" t="s">
        <v>32</v>
      </c>
      <c r="E1405">
        <v>27</v>
      </c>
      <c r="F1405" t="s">
        <v>15</v>
      </c>
      <c r="G1405">
        <v>455.93</v>
      </c>
      <c r="H1405">
        <v>46</v>
      </c>
      <c r="I1405" t="s">
        <v>16</v>
      </c>
      <c r="J1405">
        <v>3.3</v>
      </c>
      <c r="K1405" t="s">
        <v>41</v>
      </c>
      <c r="L1405" t="s">
        <v>23</v>
      </c>
      <c r="M1405" t="str">
        <f>VLOOKUP(D1409,Restaurant_Master!A:B,2,FALSE)</f>
        <v>https://dineout-media-assets.swiggy.com/swiggy/image/upload/fl_lossy,f_auto,q_auto/v1660793737/fdqxvxcxg1wtdwvyv45v.jpg</v>
      </c>
    </row>
    <row r="1406" spans="1:13" x14ac:dyDescent="0.3">
      <c r="A1406" t="s">
        <v>1436</v>
      </c>
      <c r="B1406" s="1">
        <v>45593</v>
      </c>
      <c r="C1406" t="s">
        <v>13</v>
      </c>
      <c r="D1406" t="s">
        <v>38</v>
      </c>
      <c r="E1406">
        <v>57</v>
      </c>
      <c r="F1406" t="s">
        <v>28</v>
      </c>
      <c r="G1406">
        <v>520.96</v>
      </c>
      <c r="H1406">
        <v>57</v>
      </c>
      <c r="I1406" t="s">
        <v>16</v>
      </c>
      <c r="J1406">
        <v>2.8</v>
      </c>
      <c r="K1406" t="s">
        <v>41</v>
      </c>
      <c r="L1406" t="s">
        <v>23</v>
      </c>
      <c r="M1406" t="str">
        <f>VLOOKUP(D1410,Restaurant_Master!A:B,2,FALSE)</f>
        <v>https://dynamic-media-cdn.tripadvisor.com/media/photo-o/1c/e7/04/0d/front-of-the-local-easily.jpg</v>
      </c>
    </row>
    <row r="1407" spans="1:13" x14ac:dyDescent="0.3">
      <c r="A1407" t="s">
        <v>1437</v>
      </c>
      <c r="B1407" s="1">
        <v>45371</v>
      </c>
      <c r="C1407" t="s">
        <v>43</v>
      </c>
      <c r="D1407" t="s">
        <v>32</v>
      </c>
      <c r="E1407">
        <v>52</v>
      </c>
      <c r="F1407" t="s">
        <v>15</v>
      </c>
      <c r="G1407">
        <v>993.38</v>
      </c>
      <c r="H1407">
        <v>55</v>
      </c>
      <c r="I1407" t="s">
        <v>16</v>
      </c>
      <c r="J1407">
        <v>4.5999999999999996</v>
      </c>
      <c r="K1407" t="s">
        <v>26</v>
      </c>
      <c r="L1407" t="s">
        <v>23</v>
      </c>
      <c r="M1407" t="str">
        <f>VLOOKUP(D1411,Restaurant_Master!A:B,2,FALSE)</f>
        <v>https://dynamic-media-cdn.tripadvisor.com/media/photo-o/1c/e7/04/0d/front-of-the-local-easily.jpg</v>
      </c>
    </row>
    <row r="1408" spans="1:13" x14ac:dyDescent="0.3">
      <c r="A1408" t="s">
        <v>1438</v>
      </c>
      <c r="B1408" s="1">
        <v>45620</v>
      </c>
      <c r="C1408" t="s">
        <v>20</v>
      </c>
      <c r="D1408" t="s">
        <v>38</v>
      </c>
      <c r="E1408">
        <v>47</v>
      </c>
      <c r="F1408" t="s">
        <v>15</v>
      </c>
      <c r="G1408">
        <v>708.04</v>
      </c>
      <c r="H1408">
        <v>32</v>
      </c>
      <c r="I1408" t="s">
        <v>22</v>
      </c>
      <c r="J1408">
        <v>3.3</v>
      </c>
      <c r="K1408" t="s">
        <v>29</v>
      </c>
      <c r="L1408" t="s">
        <v>23</v>
      </c>
      <c r="M1408" t="str">
        <f>VLOOKUP(D1412,Restaurant_Master!A:B,2,FALSE)</f>
        <v>https://www.chatswoodinterchange.com/storages/2018/08/Sushi-World_666x448.jpg</v>
      </c>
    </row>
    <row r="1409" spans="1:13" x14ac:dyDescent="0.3">
      <c r="A1409" t="s">
        <v>1439</v>
      </c>
      <c r="B1409" s="1">
        <v>45439</v>
      </c>
      <c r="C1409" t="s">
        <v>36</v>
      </c>
      <c r="D1409" t="s">
        <v>14</v>
      </c>
      <c r="E1409">
        <v>44</v>
      </c>
      <c r="F1409" t="s">
        <v>28</v>
      </c>
      <c r="G1409">
        <v>242.05</v>
      </c>
      <c r="H1409">
        <v>57</v>
      </c>
      <c r="I1409" t="s">
        <v>16</v>
      </c>
      <c r="J1409">
        <v>4.9000000000000004</v>
      </c>
      <c r="K1409" t="s">
        <v>17</v>
      </c>
      <c r="L1409" t="s">
        <v>18</v>
      </c>
      <c r="M1409" t="str">
        <f>VLOOKUP(D1413,Restaurant_Master!A:B,2,FALSE)</f>
        <v>https://media-cdn.tripadvisor.com/media/photo-s/1c/c7/97/b6/photo6jpg.jpg</v>
      </c>
    </row>
    <row r="1410" spans="1:13" x14ac:dyDescent="0.3">
      <c r="A1410" t="s">
        <v>1440</v>
      </c>
      <c r="B1410" s="1">
        <v>45392</v>
      </c>
      <c r="C1410" t="s">
        <v>20</v>
      </c>
      <c r="D1410" t="s">
        <v>21</v>
      </c>
      <c r="E1410">
        <v>31</v>
      </c>
      <c r="F1410" t="s">
        <v>28</v>
      </c>
      <c r="G1410">
        <v>1127.68</v>
      </c>
      <c r="H1410">
        <v>26</v>
      </c>
      <c r="I1410" t="s">
        <v>22</v>
      </c>
      <c r="J1410">
        <v>4.4000000000000004</v>
      </c>
      <c r="K1410" t="s">
        <v>41</v>
      </c>
      <c r="L1410" t="s">
        <v>18</v>
      </c>
      <c r="M1410" t="str">
        <f>VLOOKUP(D1414,Restaurant_Master!A:B,2,FALSE)</f>
        <v>https://content.jdmagicbox.com/comp/deoria/g6/9999p5568.5568.200119143033.m4g6/catalogue/biryani-house-deoria-ho-deoria-mktc2xph0o.jpg</v>
      </c>
    </row>
    <row r="1411" spans="1:13" x14ac:dyDescent="0.3">
      <c r="A1411" t="s">
        <v>1441</v>
      </c>
      <c r="B1411" s="1">
        <v>45538</v>
      </c>
      <c r="C1411" t="s">
        <v>20</v>
      </c>
      <c r="D1411" t="s">
        <v>21</v>
      </c>
      <c r="E1411">
        <v>20</v>
      </c>
      <c r="F1411" t="s">
        <v>15</v>
      </c>
      <c r="G1411">
        <v>173.91</v>
      </c>
      <c r="H1411">
        <v>47</v>
      </c>
      <c r="I1411" t="s">
        <v>16</v>
      </c>
      <c r="J1411">
        <v>3.8</v>
      </c>
      <c r="K1411" t="s">
        <v>41</v>
      </c>
      <c r="L1411" t="s">
        <v>23</v>
      </c>
      <c r="M1411" t="str">
        <f>VLOOKUP(D1415,Restaurant_Master!A:B,2,FALSE)</f>
        <v>https://content.jdmagicbox.com/comp/deoria/g6/9999p5568.5568.200119143033.m4g6/catalogue/biryani-house-deoria-ho-deoria-mktc2xph0o.jpg</v>
      </c>
    </row>
    <row r="1412" spans="1:13" x14ac:dyDescent="0.3">
      <c r="A1412" t="s">
        <v>1442</v>
      </c>
      <c r="B1412" s="1">
        <v>45597</v>
      </c>
      <c r="C1412" t="s">
        <v>43</v>
      </c>
      <c r="D1412" t="s">
        <v>38</v>
      </c>
      <c r="E1412">
        <v>52</v>
      </c>
      <c r="F1412" t="s">
        <v>15</v>
      </c>
      <c r="G1412">
        <v>1069.52</v>
      </c>
      <c r="H1412">
        <v>45</v>
      </c>
      <c r="I1412" t="s">
        <v>16</v>
      </c>
      <c r="J1412">
        <v>4.9000000000000004</v>
      </c>
      <c r="K1412" t="s">
        <v>26</v>
      </c>
      <c r="L1412" t="s">
        <v>18</v>
      </c>
      <c r="M1412" t="str">
        <f>VLOOKUP(D1416,Restaurant_Master!A:B,2,FALSE)</f>
        <v>https://media-cdn.tripadvisor.com/media/photo-s/1c/c7/97/b6/photo6jpg.jpg</v>
      </c>
    </row>
    <row r="1413" spans="1:13" x14ac:dyDescent="0.3">
      <c r="A1413" t="s">
        <v>1443</v>
      </c>
      <c r="B1413" s="1">
        <v>45554</v>
      </c>
      <c r="C1413" t="s">
        <v>34</v>
      </c>
      <c r="D1413" t="s">
        <v>25</v>
      </c>
      <c r="E1413">
        <v>33</v>
      </c>
      <c r="F1413" t="s">
        <v>15</v>
      </c>
      <c r="G1413">
        <v>447.04</v>
      </c>
      <c r="H1413">
        <v>59</v>
      </c>
      <c r="I1413" t="s">
        <v>16</v>
      </c>
      <c r="J1413">
        <v>4.5999999999999996</v>
      </c>
      <c r="K1413" t="s">
        <v>26</v>
      </c>
      <c r="L1413" t="s">
        <v>23</v>
      </c>
      <c r="M1413" t="str">
        <f>VLOOKUP(D1417,Restaurant_Master!A:B,2,FALSE)</f>
        <v>https://content.jdmagicbox.com/comp/deoria/g6/9999p5568.5568.200119143033.m4g6/catalogue/biryani-house-deoria-ho-deoria-mktc2xph0o.jpg</v>
      </c>
    </row>
    <row r="1414" spans="1:13" x14ac:dyDescent="0.3">
      <c r="A1414" t="s">
        <v>1444</v>
      </c>
      <c r="B1414" s="1">
        <v>45468</v>
      </c>
      <c r="C1414" t="s">
        <v>34</v>
      </c>
      <c r="D1414" t="s">
        <v>32</v>
      </c>
      <c r="E1414">
        <v>58</v>
      </c>
      <c r="F1414" t="s">
        <v>15</v>
      </c>
      <c r="G1414">
        <v>1116.31</v>
      </c>
      <c r="H1414">
        <v>40</v>
      </c>
      <c r="I1414" t="s">
        <v>22</v>
      </c>
      <c r="J1414">
        <v>2.9</v>
      </c>
      <c r="K1414" t="s">
        <v>41</v>
      </c>
      <c r="L1414" t="s">
        <v>23</v>
      </c>
      <c r="M1414" t="str">
        <f>VLOOKUP(D1418,Restaurant_Master!A:B,2,FALSE)</f>
        <v>https://dynamic-media-cdn.tripadvisor.com/media/photo-o/1c/e7/04/0d/front-of-the-local-easily.jpg</v>
      </c>
    </row>
    <row r="1415" spans="1:13" x14ac:dyDescent="0.3">
      <c r="A1415" t="s">
        <v>1445</v>
      </c>
      <c r="B1415" s="1">
        <v>45556</v>
      </c>
      <c r="C1415" t="s">
        <v>13</v>
      </c>
      <c r="D1415" t="s">
        <v>32</v>
      </c>
      <c r="E1415">
        <v>37</v>
      </c>
      <c r="F1415" t="s">
        <v>15</v>
      </c>
      <c r="G1415">
        <v>521.44000000000005</v>
      </c>
      <c r="H1415">
        <v>24</v>
      </c>
      <c r="I1415" t="s">
        <v>22</v>
      </c>
      <c r="J1415">
        <v>3.4</v>
      </c>
      <c r="K1415" t="s">
        <v>41</v>
      </c>
      <c r="L1415" t="s">
        <v>18</v>
      </c>
      <c r="M1415" t="str">
        <f>VLOOKUP(D1419,Restaurant_Master!A:B,2,FALSE)</f>
        <v>https://www.chatswoodinterchange.com/storages/2018/08/Sushi-World_666x448.jpg</v>
      </c>
    </row>
    <row r="1416" spans="1:13" x14ac:dyDescent="0.3">
      <c r="A1416" t="s">
        <v>1446</v>
      </c>
      <c r="B1416" s="1">
        <v>45342</v>
      </c>
      <c r="C1416" t="s">
        <v>20</v>
      </c>
      <c r="D1416" t="s">
        <v>25</v>
      </c>
      <c r="E1416">
        <v>59</v>
      </c>
      <c r="F1416" t="s">
        <v>15</v>
      </c>
      <c r="G1416">
        <v>900.66</v>
      </c>
      <c r="H1416">
        <v>39</v>
      </c>
      <c r="I1416" t="s">
        <v>22</v>
      </c>
      <c r="J1416">
        <v>3.7</v>
      </c>
      <c r="K1416" t="s">
        <v>29</v>
      </c>
      <c r="L1416" t="s">
        <v>23</v>
      </c>
      <c r="M1416" t="str">
        <f>VLOOKUP(D1420,Restaurant_Master!A:B,2,FALSE)</f>
        <v>https://dynamic-media-cdn.tripadvisor.com/media/photo-o/1c/e7/04/0d/front-of-the-local-easily.jpg</v>
      </c>
    </row>
    <row r="1417" spans="1:13" x14ac:dyDescent="0.3">
      <c r="A1417" t="s">
        <v>1447</v>
      </c>
      <c r="B1417" s="1">
        <v>45421</v>
      </c>
      <c r="C1417" t="s">
        <v>13</v>
      </c>
      <c r="D1417" t="s">
        <v>32</v>
      </c>
      <c r="E1417">
        <v>31</v>
      </c>
      <c r="F1417" t="s">
        <v>15</v>
      </c>
      <c r="G1417">
        <v>471.93</v>
      </c>
      <c r="H1417">
        <v>35</v>
      </c>
      <c r="I1417" t="s">
        <v>22</v>
      </c>
      <c r="J1417">
        <v>3.3</v>
      </c>
      <c r="K1417" t="s">
        <v>41</v>
      </c>
      <c r="L1417" t="s">
        <v>23</v>
      </c>
      <c r="M1417" t="str">
        <f>VLOOKUP(D1421,Restaurant_Master!A:B,2,FALSE)</f>
        <v>https://content.jdmagicbox.com/comp/deoria/g6/9999p5568.5568.200119143033.m4g6/catalogue/biryani-house-deoria-ho-deoria-mktc2xph0o.jpg</v>
      </c>
    </row>
    <row r="1418" spans="1:13" x14ac:dyDescent="0.3">
      <c r="A1418" t="s">
        <v>1448</v>
      </c>
      <c r="B1418" s="1">
        <v>45354</v>
      </c>
      <c r="C1418" t="s">
        <v>36</v>
      </c>
      <c r="D1418" t="s">
        <v>21</v>
      </c>
      <c r="E1418">
        <v>40</v>
      </c>
      <c r="F1418" t="s">
        <v>15</v>
      </c>
      <c r="G1418">
        <v>748.23</v>
      </c>
      <c r="H1418">
        <v>38</v>
      </c>
      <c r="I1418" t="s">
        <v>22</v>
      </c>
      <c r="J1418">
        <v>4.4000000000000004</v>
      </c>
      <c r="K1418" t="s">
        <v>17</v>
      </c>
      <c r="L1418" t="s">
        <v>23</v>
      </c>
      <c r="M1418" t="str">
        <f>VLOOKUP(D1422,Restaurant_Master!A:B,2,FALSE)</f>
        <v>https://dynamic-media-cdn.tripadvisor.com/media/photo-o/1c/e7/04/0d/front-of-the-local-easily.jpg</v>
      </c>
    </row>
    <row r="1419" spans="1:13" x14ac:dyDescent="0.3">
      <c r="A1419" t="s">
        <v>1449</v>
      </c>
      <c r="B1419" s="1">
        <v>45388</v>
      </c>
      <c r="C1419" t="s">
        <v>20</v>
      </c>
      <c r="D1419" t="s">
        <v>38</v>
      </c>
      <c r="E1419">
        <v>20</v>
      </c>
      <c r="F1419" t="s">
        <v>15</v>
      </c>
      <c r="G1419">
        <v>1055.3499999999999</v>
      </c>
      <c r="H1419">
        <v>35</v>
      </c>
      <c r="I1419" t="s">
        <v>22</v>
      </c>
      <c r="J1419">
        <v>2.8</v>
      </c>
      <c r="K1419" t="s">
        <v>41</v>
      </c>
      <c r="L1419" t="s">
        <v>23</v>
      </c>
      <c r="M1419" t="str">
        <f>VLOOKUP(D1423,Restaurant_Master!A:B,2,FALSE)</f>
        <v>https://dynamic-media-cdn.tripadvisor.com/media/photo-o/1c/e7/04/0d/front-of-the-local-easily.jpg</v>
      </c>
    </row>
    <row r="1420" spans="1:13" x14ac:dyDescent="0.3">
      <c r="A1420" t="s">
        <v>1450</v>
      </c>
      <c r="B1420" s="1">
        <v>45370</v>
      </c>
      <c r="C1420" t="s">
        <v>13</v>
      </c>
      <c r="D1420" t="s">
        <v>21</v>
      </c>
      <c r="E1420">
        <v>18</v>
      </c>
      <c r="F1420" t="s">
        <v>15</v>
      </c>
      <c r="G1420">
        <v>1109.56</v>
      </c>
      <c r="H1420">
        <v>29</v>
      </c>
      <c r="I1420" t="s">
        <v>22</v>
      </c>
      <c r="J1420">
        <v>3.3</v>
      </c>
      <c r="K1420" t="s">
        <v>17</v>
      </c>
      <c r="L1420" t="s">
        <v>23</v>
      </c>
      <c r="M1420" t="str">
        <f>VLOOKUP(D1424,Restaurant_Master!A:B,2,FALSE)</f>
        <v>https://content.jdmagicbox.com/comp/deoria/g6/9999p5568.5568.200119143033.m4g6/catalogue/biryani-house-deoria-ho-deoria-mktc2xph0o.jpg</v>
      </c>
    </row>
    <row r="1421" spans="1:13" x14ac:dyDescent="0.3">
      <c r="A1421" t="s">
        <v>1451</v>
      </c>
      <c r="B1421" s="1">
        <v>45447</v>
      </c>
      <c r="C1421" t="s">
        <v>36</v>
      </c>
      <c r="D1421" t="s">
        <v>32</v>
      </c>
      <c r="E1421">
        <v>27</v>
      </c>
      <c r="F1421" t="s">
        <v>15</v>
      </c>
      <c r="G1421">
        <v>445.53</v>
      </c>
      <c r="H1421">
        <v>41</v>
      </c>
      <c r="I1421" t="s">
        <v>16</v>
      </c>
      <c r="J1421">
        <v>3.5</v>
      </c>
      <c r="K1421" t="s">
        <v>29</v>
      </c>
      <c r="L1421" t="s">
        <v>23</v>
      </c>
      <c r="M1421" t="str">
        <f>VLOOKUP(D1425,Restaurant_Master!A:B,2,FALSE)</f>
        <v>https://media-cdn.tripadvisor.com/media/photo-s/1c/c7/97/b6/photo6jpg.jpg</v>
      </c>
    </row>
    <row r="1422" spans="1:13" x14ac:dyDescent="0.3">
      <c r="A1422" t="s">
        <v>1452</v>
      </c>
      <c r="B1422" s="1">
        <v>45569</v>
      </c>
      <c r="C1422" t="s">
        <v>43</v>
      </c>
      <c r="D1422" t="s">
        <v>21</v>
      </c>
      <c r="E1422">
        <v>35</v>
      </c>
      <c r="F1422" t="s">
        <v>15</v>
      </c>
      <c r="G1422">
        <v>1064.58</v>
      </c>
      <c r="H1422">
        <v>35</v>
      </c>
      <c r="I1422" t="s">
        <v>22</v>
      </c>
      <c r="J1422">
        <v>4.4000000000000004</v>
      </c>
      <c r="K1422" t="s">
        <v>17</v>
      </c>
      <c r="L1422" t="s">
        <v>23</v>
      </c>
      <c r="M1422" t="str">
        <f>VLOOKUP(D1426,Restaurant_Master!A:B,2,FALSE)</f>
        <v>https://content.jdmagicbox.com/comp/deoria/g6/9999p5568.5568.200119143033.m4g6/catalogue/biryani-house-deoria-ho-deoria-mktc2xph0o.jpg</v>
      </c>
    </row>
    <row r="1423" spans="1:13" x14ac:dyDescent="0.3">
      <c r="A1423" t="s">
        <v>1453</v>
      </c>
      <c r="B1423" s="1">
        <v>45484</v>
      </c>
      <c r="C1423" t="s">
        <v>13</v>
      </c>
      <c r="D1423" t="s">
        <v>21</v>
      </c>
      <c r="E1423">
        <v>58</v>
      </c>
      <c r="F1423" t="s">
        <v>15</v>
      </c>
      <c r="G1423">
        <v>336.13</v>
      </c>
      <c r="H1423">
        <v>20</v>
      </c>
      <c r="I1423" t="s">
        <v>22</v>
      </c>
      <c r="J1423">
        <v>3.4</v>
      </c>
      <c r="K1423" t="s">
        <v>17</v>
      </c>
      <c r="L1423" t="s">
        <v>18</v>
      </c>
      <c r="M1423" t="str">
        <f>VLOOKUP(D1427,Restaurant_Master!A:B,2,FALSE)</f>
        <v>https://content.jdmagicbox.com/comp/deoria/g6/9999p5568.5568.200119143033.m4g6/catalogue/biryani-house-deoria-ho-deoria-mktc2xph0o.jpg</v>
      </c>
    </row>
    <row r="1424" spans="1:13" x14ac:dyDescent="0.3">
      <c r="A1424" t="s">
        <v>1454</v>
      </c>
      <c r="B1424" s="1">
        <v>45529</v>
      </c>
      <c r="C1424" t="s">
        <v>43</v>
      </c>
      <c r="D1424" t="s">
        <v>32</v>
      </c>
      <c r="E1424">
        <v>57</v>
      </c>
      <c r="F1424" t="s">
        <v>28</v>
      </c>
      <c r="G1424">
        <v>288.14</v>
      </c>
      <c r="H1424">
        <v>39</v>
      </c>
      <c r="I1424" t="s">
        <v>22</v>
      </c>
      <c r="J1424">
        <v>4.3</v>
      </c>
      <c r="K1424" t="s">
        <v>29</v>
      </c>
      <c r="L1424" t="s">
        <v>23</v>
      </c>
      <c r="M1424" t="str">
        <f>VLOOKUP(D1428,Restaurant_Master!A:B,2,FALSE)</f>
        <v>https://content.jdmagicbox.com/comp/deoria/g6/9999p5568.5568.200119143033.m4g6/catalogue/biryani-house-deoria-ho-deoria-mktc2xph0o.jpg</v>
      </c>
    </row>
    <row r="1425" spans="1:13" x14ac:dyDescent="0.3">
      <c r="A1425" t="s">
        <v>1455</v>
      </c>
      <c r="B1425" s="1">
        <v>45351</v>
      </c>
      <c r="C1425" t="s">
        <v>36</v>
      </c>
      <c r="D1425" t="s">
        <v>25</v>
      </c>
      <c r="E1425">
        <v>33</v>
      </c>
      <c r="F1425" t="s">
        <v>28</v>
      </c>
      <c r="G1425">
        <v>574.84</v>
      </c>
      <c r="H1425">
        <v>28</v>
      </c>
      <c r="I1425" t="s">
        <v>22</v>
      </c>
      <c r="J1425">
        <v>4.9000000000000004</v>
      </c>
      <c r="K1425" t="s">
        <v>26</v>
      </c>
      <c r="L1425" t="s">
        <v>18</v>
      </c>
      <c r="M1425" t="str">
        <f>VLOOKUP(D1429,Restaurant_Master!A:B,2,FALSE)</f>
        <v>https://dynamic-media-cdn.tripadvisor.com/media/photo-o/1c/e7/04/0d/front-of-the-local-easily.jpg</v>
      </c>
    </row>
    <row r="1426" spans="1:13" x14ac:dyDescent="0.3">
      <c r="A1426" t="s">
        <v>1456</v>
      </c>
      <c r="B1426" s="1">
        <v>45317</v>
      </c>
      <c r="C1426" t="s">
        <v>36</v>
      </c>
      <c r="D1426" t="s">
        <v>32</v>
      </c>
      <c r="E1426">
        <v>33</v>
      </c>
      <c r="F1426" t="s">
        <v>15</v>
      </c>
      <c r="G1426">
        <v>621.27</v>
      </c>
      <c r="H1426">
        <v>39</v>
      </c>
      <c r="I1426" t="s">
        <v>22</v>
      </c>
      <c r="J1426">
        <v>3.9</v>
      </c>
      <c r="K1426" t="s">
        <v>41</v>
      </c>
      <c r="L1426" t="s">
        <v>18</v>
      </c>
      <c r="M1426" t="str">
        <f>VLOOKUP(D1430,Restaurant_Master!A:B,2,FALSE)</f>
        <v>https://media-cdn.tripadvisor.com/media/photo-s/1c/c7/97/b6/photo6jpg.jpg</v>
      </c>
    </row>
    <row r="1427" spans="1:13" x14ac:dyDescent="0.3">
      <c r="A1427" t="s">
        <v>1457</v>
      </c>
      <c r="B1427" s="1">
        <v>45503</v>
      </c>
      <c r="C1427" t="s">
        <v>20</v>
      </c>
      <c r="D1427" t="s">
        <v>32</v>
      </c>
      <c r="E1427">
        <v>38</v>
      </c>
      <c r="F1427" t="s">
        <v>15</v>
      </c>
      <c r="G1427">
        <v>1095.1099999999999</v>
      </c>
      <c r="H1427">
        <v>25</v>
      </c>
      <c r="I1427" t="s">
        <v>22</v>
      </c>
      <c r="J1427">
        <v>2.9</v>
      </c>
      <c r="K1427" t="s">
        <v>41</v>
      </c>
      <c r="L1427" t="s">
        <v>23</v>
      </c>
      <c r="M1427" t="str">
        <f>VLOOKUP(D1431,Restaurant_Master!A:B,2,FALSE)</f>
        <v>https://www.chatswoodinterchange.com/storages/2018/08/Sushi-World_666x448.jpg</v>
      </c>
    </row>
    <row r="1428" spans="1:13" x14ac:dyDescent="0.3">
      <c r="A1428" t="s">
        <v>1458</v>
      </c>
      <c r="B1428" s="1">
        <v>45579</v>
      </c>
      <c r="C1428" t="s">
        <v>43</v>
      </c>
      <c r="D1428" t="s">
        <v>32</v>
      </c>
      <c r="E1428">
        <v>23</v>
      </c>
      <c r="F1428" t="s">
        <v>28</v>
      </c>
      <c r="G1428">
        <v>238.68</v>
      </c>
      <c r="H1428">
        <v>44</v>
      </c>
      <c r="I1428" t="s">
        <v>16</v>
      </c>
      <c r="J1428">
        <v>4.5999999999999996</v>
      </c>
      <c r="K1428" t="s">
        <v>26</v>
      </c>
      <c r="L1428" t="s">
        <v>23</v>
      </c>
      <c r="M1428" t="str">
        <f>VLOOKUP(D1432,Restaurant_Master!A:B,2,FALSE)</f>
        <v>https://dineout-media-assets.swiggy.com/swiggy/image/upload/fl_lossy,f_auto,q_auto/v1660793737/fdqxvxcxg1wtdwvyv45v.jpg</v>
      </c>
    </row>
    <row r="1429" spans="1:13" x14ac:dyDescent="0.3">
      <c r="A1429" t="s">
        <v>1459</v>
      </c>
      <c r="B1429" s="1">
        <v>45344</v>
      </c>
      <c r="C1429" t="s">
        <v>34</v>
      </c>
      <c r="D1429" t="s">
        <v>21</v>
      </c>
      <c r="E1429">
        <v>32</v>
      </c>
      <c r="F1429" t="s">
        <v>15</v>
      </c>
      <c r="G1429">
        <v>774.52</v>
      </c>
      <c r="H1429">
        <v>53</v>
      </c>
      <c r="I1429" t="s">
        <v>16</v>
      </c>
      <c r="J1429">
        <v>2.9</v>
      </c>
      <c r="K1429" t="s">
        <v>17</v>
      </c>
      <c r="L1429" t="s">
        <v>18</v>
      </c>
      <c r="M1429" t="str">
        <f>VLOOKUP(D1433,Restaurant_Master!A:B,2,FALSE)</f>
        <v>https://media-cdn.tripadvisor.com/media/photo-s/1c/c7/97/b6/photo6jpg.jpg</v>
      </c>
    </row>
    <row r="1430" spans="1:13" x14ac:dyDescent="0.3">
      <c r="A1430" t="s">
        <v>1460</v>
      </c>
      <c r="B1430" s="1">
        <v>45356</v>
      </c>
      <c r="C1430" t="s">
        <v>43</v>
      </c>
      <c r="D1430" t="s">
        <v>25</v>
      </c>
      <c r="E1430">
        <v>41</v>
      </c>
      <c r="F1430" t="s">
        <v>28</v>
      </c>
      <c r="G1430">
        <v>711.42</v>
      </c>
      <c r="H1430">
        <v>40</v>
      </c>
      <c r="I1430" t="s">
        <v>22</v>
      </c>
      <c r="J1430">
        <v>3.3</v>
      </c>
      <c r="K1430" t="s">
        <v>41</v>
      </c>
      <c r="L1430" t="s">
        <v>23</v>
      </c>
      <c r="M1430" t="str">
        <f>VLOOKUP(D1434,Restaurant_Master!A:B,2,FALSE)</f>
        <v>https://www.chatswoodinterchange.com/storages/2018/08/Sushi-World_666x448.jpg</v>
      </c>
    </row>
    <row r="1431" spans="1:13" x14ac:dyDescent="0.3">
      <c r="A1431" t="s">
        <v>1461</v>
      </c>
      <c r="B1431" s="1">
        <v>45459</v>
      </c>
      <c r="C1431" t="s">
        <v>34</v>
      </c>
      <c r="D1431" t="s">
        <v>38</v>
      </c>
      <c r="E1431">
        <v>41</v>
      </c>
      <c r="F1431" t="s">
        <v>28</v>
      </c>
      <c r="G1431">
        <v>665.07</v>
      </c>
      <c r="H1431">
        <v>59</v>
      </c>
      <c r="I1431" t="s">
        <v>16</v>
      </c>
      <c r="J1431">
        <v>4.0999999999999996</v>
      </c>
      <c r="K1431" t="s">
        <v>26</v>
      </c>
      <c r="L1431" t="s">
        <v>23</v>
      </c>
      <c r="M1431" t="str">
        <f>VLOOKUP(D1435,Restaurant_Master!A:B,2,FALSE)</f>
        <v>https://dynamic-media-cdn.tripadvisor.com/media/photo-o/1c/e7/04/0d/front-of-the-local-easily.jpg</v>
      </c>
    </row>
    <row r="1432" spans="1:13" x14ac:dyDescent="0.3">
      <c r="A1432" t="s">
        <v>1462</v>
      </c>
      <c r="B1432" s="1">
        <v>45393</v>
      </c>
      <c r="C1432" t="s">
        <v>13</v>
      </c>
      <c r="D1432" t="s">
        <v>14</v>
      </c>
      <c r="E1432">
        <v>36</v>
      </c>
      <c r="F1432" t="s">
        <v>28</v>
      </c>
      <c r="G1432">
        <v>795.36</v>
      </c>
      <c r="H1432">
        <v>24</v>
      </c>
      <c r="I1432" t="s">
        <v>22</v>
      </c>
      <c r="J1432">
        <v>3.2</v>
      </c>
      <c r="K1432" t="s">
        <v>29</v>
      </c>
      <c r="L1432" t="s">
        <v>18</v>
      </c>
      <c r="M1432" t="str">
        <f>VLOOKUP(D1436,Restaurant_Master!A:B,2,FALSE)</f>
        <v>https://content.jdmagicbox.com/comp/deoria/g6/9999p5568.5568.200119143033.m4g6/catalogue/biryani-house-deoria-ho-deoria-mktc2xph0o.jpg</v>
      </c>
    </row>
    <row r="1433" spans="1:13" x14ac:dyDescent="0.3">
      <c r="A1433" t="s">
        <v>1463</v>
      </c>
      <c r="B1433" s="1">
        <v>45482</v>
      </c>
      <c r="C1433" t="s">
        <v>20</v>
      </c>
      <c r="D1433" t="s">
        <v>25</v>
      </c>
      <c r="E1433">
        <v>25</v>
      </c>
      <c r="F1433" t="s">
        <v>15</v>
      </c>
      <c r="G1433">
        <v>615.85</v>
      </c>
      <c r="H1433">
        <v>23</v>
      </c>
      <c r="I1433" t="s">
        <v>22</v>
      </c>
      <c r="J1433">
        <v>3.8</v>
      </c>
      <c r="K1433" t="s">
        <v>17</v>
      </c>
      <c r="L1433" t="s">
        <v>18</v>
      </c>
      <c r="M1433" t="str">
        <f>VLOOKUP(D1437,Restaurant_Master!A:B,2,FALSE)</f>
        <v>https://dynamic-media-cdn.tripadvisor.com/media/photo-o/1c/e7/04/0d/front-of-the-local-easily.jpg</v>
      </c>
    </row>
    <row r="1434" spans="1:13" x14ac:dyDescent="0.3">
      <c r="A1434" t="s">
        <v>1464</v>
      </c>
      <c r="B1434" s="1">
        <v>45351</v>
      </c>
      <c r="C1434" t="s">
        <v>34</v>
      </c>
      <c r="D1434" t="s">
        <v>38</v>
      </c>
      <c r="E1434">
        <v>47</v>
      </c>
      <c r="F1434" t="s">
        <v>28</v>
      </c>
      <c r="G1434">
        <v>1179.6500000000001</v>
      </c>
      <c r="H1434">
        <v>40</v>
      </c>
      <c r="I1434" t="s">
        <v>22</v>
      </c>
      <c r="J1434">
        <v>3.3</v>
      </c>
      <c r="K1434" t="s">
        <v>26</v>
      </c>
      <c r="L1434" t="s">
        <v>18</v>
      </c>
      <c r="M1434" t="str">
        <f>VLOOKUP(D1438,Restaurant_Master!A:B,2,FALSE)</f>
        <v>https://dineout-media-assets.swiggy.com/swiggy/image/upload/fl_lossy,f_auto,q_auto/v1660793737/fdqxvxcxg1wtdwvyv45v.jpg</v>
      </c>
    </row>
    <row r="1435" spans="1:13" x14ac:dyDescent="0.3">
      <c r="A1435" t="s">
        <v>1465</v>
      </c>
      <c r="B1435" s="1">
        <v>45477</v>
      </c>
      <c r="C1435" t="s">
        <v>13</v>
      </c>
      <c r="D1435" t="s">
        <v>21</v>
      </c>
      <c r="E1435">
        <v>42</v>
      </c>
      <c r="F1435" t="s">
        <v>15</v>
      </c>
      <c r="G1435">
        <v>946.53</v>
      </c>
      <c r="H1435">
        <v>23</v>
      </c>
      <c r="I1435" t="s">
        <v>22</v>
      </c>
      <c r="J1435">
        <v>3.5</v>
      </c>
      <c r="K1435" t="s">
        <v>17</v>
      </c>
      <c r="L1435" t="s">
        <v>18</v>
      </c>
      <c r="M1435" t="str">
        <f>VLOOKUP(D1439,Restaurant_Master!A:B,2,FALSE)</f>
        <v>https://www.chatswoodinterchange.com/storages/2018/08/Sushi-World_666x448.jpg</v>
      </c>
    </row>
    <row r="1436" spans="1:13" x14ac:dyDescent="0.3">
      <c r="A1436" t="s">
        <v>1466</v>
      </c>
      <c r="B1436" s="1">
        <v>45435</v>
      </c>
      <c r="C1436" t="s">
        <v>36</v>
      </c>
      <c r="D1436" t="s">
        <v>32</v>
      </c>
      <c r="E1436">
        <v>38</v>
      </c>
      <c r="F1436" t="s">
        <v>15</v>
      </c>
      <c r="G1436">
        <v>503.26</v>
      </c>
      <c r="H1436">
        <v>28</v>
      </c>
      <c r="I1436" t="s">
        <v>22</v>
      </c>
      <c r="J1436">
        <v>4.5999999999999996</v>
      </c>
      <c r="K1436" t="s">
        <v>17</v>
      </c>
      <c r="L1436" t="s">
        <v>18</v>
      </c>
      <c r="M1436" t="str">
        <f>VLOOKUP(D1440,Restaurant_Master!A:B,2,FALSE)</f>
        <v>https://dynamic-media-cdn.tripadvisor.com/media/photo-o/1c/e7/04/0d/front-of-the-local-easily.jpg</v>
      </c>
    </row>
    <row r="1437" spans="1:13" x14ac:dyDescent="0.3">
      <c r="A1437" t="s">
        <v>1467</v>
      </c>
      <c r="B1437" s="1">
        <v>45526</v>
      </c>
      <c r="C1437" t="s">
        <v>34</v>
      </c>
      <c r="D1437" t="s">
        <v>21</v>
      </c>
      <c r="E1437">
        <v>26</v>
      </c>
      <c r="F1437" t="s">
        <v>28</v>
      </c>
      <c r="G1437">
        <v>1095.43</v>
      </c>
      <c r="H1437">
        <v>31</v>
      </c>
      <c r="I1437" t="s">
        <v>22</v>
      </c>
      <c r="J1437">
        <v>3.2</v>
      </c>
      <c r="K1437" t="s">
        <v>29</v>
      </c>
      <c r="L1437" t="s">
        <v>18</v>
      </c>
      <c r="M1437" t="str">
        <f>VLOOKUP(D1441,Restaurant_Master!A:B,2,FALSE)</f>
        <v>https://dineout-media-assets.swiggy.com/swiggy/image/upload/fl_lossy,f_auto,q_auto/v1660793737/fdqxvxcxg1wtdwvyv45v.jpg</v>
      </c>
    </row>
    <row r="1438" spans="1:13" x14ac:dyDescent="0.3">
      <c r="A1438" t="s">
        <v>1468</v>
      </c>
      <c r="B1438" s="1">
        <v>45417</v>
      </c>
      <c r="C1438" t="s">
        <v>36</v>
      </c>
      <c r="D1438" t="s">
        <v>14</v>
      </c>
      <c r="E1438">
        <v>31</v>
      </c>
      <c r="F1438" t="s">
        <v>15</v>
      </c>
      <c r="G1438">
        <v>394.8</v>
      </c>
      <c r="H1438">
        <v>35</v>
      </c>
      <c r="I1438" t="s">
        <v>22</v>
      </c>
      <c r="J1438">
        <v>4.0999999999999996</v>
      </c>
      <c r="K1438" t="s">
        <v>41</v>
      </c>
      <c r="L1438" t="s">
        <v>18</v>
      </c>
      <c r="M1438" t="str">
        <f>VLOOKUP(D1442,Restaurant_Master!A:B,2,FALSE)</f>
        <v>https://media-cdn.tripadvisor.com/media/photo-s/1c/c7/97/b6/photo6jpg.jpg</v>
      </c>
    </row>
    <row r="1439" spans="1:13" x14ac:dyDescent="0.3">
      <c r="A1439" t="s">
        <v>1469</v>
      </c>
      <c r="B1439" s="1">
        <v>45319</v>
      </c>
      <c r="C1439" t="s">
        <v>20</v>
      </c>
      <c r="D1439" t="s">
        <v>38</v>
      </c>
      <c r="E1439">
        <v>43</v>
      </c>
      <c r="F1439" t="s">
        <v>15</v>
      </c>
      <c r="G1439">
        <v>256.5</v>
      </c>
      <c r="H1439">
        <v>35</v>
      </c>
      <c r="I1439" t="s">
        <v>22</v>
      </c>
      <c r="J1439">
        <v>4.0999999999999996</v>
      </c>
      <c r="K1439" t="s">
        <v>29</v>
      </c>
      <c r="L1439" t="s">
        <v>23</v>
      </c>
      <c r="M1439" t="str">
        <f>VLOOKUP(D1443,Restaurant_Master!A:B,2,FALSE)</f>
        <v>https://content.jdmagicbox.com/comp/deoria/g6/9999p5568.5568.200119143033.m4g6/catalogue/biryani-house-deoria-ho-deoria-mktc2xph0o.jpg</v>
      </c>
    </row>
    <row r="1440" spans="1:13" x14ac:dyDescent="0.3">
      <c r="A1440" t="s">
        <v>1470</v>
      </c>
      <c r="B1440" s="1">
        <v>45632</v>
      </c>
      <c r="C1440" t="s">
        <v>13</v>
      </c>
      <c r="D1440" t="s">
        <v>21</v>
      </c>
      <c r="E1440">
        <v>40</v>
      </c>
      <c r="F1440" t="s">
        <v>15</v>
      </c>
      <c r="G1440">
        <v>364.57</v>
      </c>
      <c r="H1440">
        <v>25</v>
      </c>
      <c r="I1440" t="s">
        <v>22</v>
      </c>
      <c r="J1440">
        <v>4.5</v>
      </c>
      <c r="K1440" t="s">
        <v>29</v>
      </c>
      <c r="L1440" t="s">
        <v>23</v>
      </c>
      <c r="M1440" t="str">
        <f>VLOOKUP(D1444,Restaurant_Master!A:B,2,FALSE)</f>
        <v>https://www.chatswoodinterchange.com/storages/2018/08/Sushi-World_666x448.jpg</v>
      </c>
    </row>
    <row r="1441" spans="1:13" x14ac:dyDescent="0.3">
      <c r="A1441" t="s">
        <v>1471</v>
      </c>
      <c r="B1441" s="1">
        <v>45554</v>
      </c>
      <c r="C1441" t="s">
        <v>13</v>
      </c>
      <c r="D1441" t="s">
        <v>14</v>
      </c>
      <c r="E1441">
        <v>45</v>
      </c>
      <c r="F1441" t="s">
        <v>28</v>
      </c>
      <c r="G1441">
        <v>500.5</v>
      </c>
      <c r="H1441">
        <v>54</v>
      </c>
      <c r="I1441" t="s">
        <v>16</v>
      </c>
      <c r="J1441">
        <v>4.8</v>
      </c>
      <c r="K1441" t="s">
        <v>41</v>
      </c>
      <c r="L1441" t="s">
        <v>23</v>
      </c>
      <c r="M1441" t="str">
        <f>VLOOKUP(D1445,Restaurant_Master!A:B,2,FALSE)</f>
        <v>https://dineout-media-assets.swiggy.com/swiggy/image/upload/fl_lossy,f_auto,q_auto/v1660793737/fdqxvxcxg1wtdwvyv45v.jpg</v>
      </c>
    </row>
    <row r="1442" spans="1:13" x14ac:dyDescent="0.3">
      <c r="A1442" t="s">
        <v>1472</v>
      </c>
      <c r="B1442" s="1">
        <v>45540</v>
      </c>
      <c r="C1442" t="s">
        <v>36</v>
      </c>
      <c r="D1442" t="s">
        <v>25</v>
      </c>
      <c r="E1442">
        <v>55</v>
      </c>
      <c r="F1442" t="s">
        <v>28</v>
      </c>
      <c r="G1442">
        <v>838.31</v>
      </c>
      <c r="H1442">
        <v>40</v>
      </c>
      <c r="I1442" t="s">
        <v>22</v>
      </c>
      <c r="J1442">
        <v>3.3</v>
      </c>
      <c r="K1442" t="s">
        <v>29</v>
      </c>
      <c r="L1442" t="s">
        <v>23</v>
      </c>
      <c r="M1442" t="str">
        <f>VLOOKUP(D1446,Restaurant_Master!A:B,2,FALSE)</f>
        <v>https://dynamic-media-cdn.tripadvisor.com/media/photo-o/1c/e7/04/0d/front-of-the-local-easily.jpg</v>
      </c>
    </row>
    <row r="1443" spans="1:13" x14ac:dyDescent="0.3">
      <c r="A1443" t="s">
        <v>1473</v>
      </c>
      <c r="B1443" s="1">
        <v>45508</v>
      </c>
      <c r="C1443" t="s">
        <v>34</v>
      </c>
      <c r="D1443" t="s">
        <v>32</v>
      </c>
      <c r="E1443">
        <v>23</v>
      </c>
      <c r="F1443" t="s">
        <v>15</v>
      </c>
      <c r="G1443">
        <v>1040.0899999999999</v>
      </c>
      <c r="H1443">
        <v>60</v>
      </c>
      <c r="I1443" t="s">
        <v>16</v>
      </c>
      <c r="J1443">
        <v>3.5</v>
      </c>
      <c r="K1443" t="s">
        <v>41</v>
      </c>
      <c r="L1443" t="s">
        <v>18</v>
      </c>
      <c r="M1443" t="str">
        <f>VLOOKUP(D1447,Restaurant_Master!A:B,2,FALSE)</f>
        <v>https://dynamic-media-cdn.tripadvisor.com/media/photo-o/1c/e7/04/0d/front-of-the-local-easily.jpg</v>
      </c>
    </row>
    <row r="1444" spans="1:13" x14ac:dyDescent="0.3">
      <c r="A1444" t="s">
        <v>1474</v>
      </c>
      <c r="B1444" s="1">
        <v>45309</v>
      </c>
      <c r="C1444" t="s">
        <v>20</v>
      </c>
      <c r="D1444" t="s">
        <v>38</v>
      </c>
      <c r="E1444">
        <v>26</v>
      </c>
      <c r="F1444" t="s">
        <v>28</v>
      </c>
      <c r="G1444">
        <v>184.01</v>
      </c>
      <c r="H1444">
        <v>58</v>
      </c>
      <c r="I1444" t="s">
        <v>16</v>
      </c>
      <c r="J1444">
        <v>2.9</v>
      </c>
      <c r="K1444" t="s">
        <v>29</v>
      </c>
      <c r="L1444" t="s">
        <v>18</v>
      </c>
      <c r="M1444" t="str">
        <f>VLOOKUP(D1448,Restaurant_Master!A:B,2,FALSE)</f>
        <v>https://content.jdmagicbox.com/comp/deoria/g6/9999p5568.5568.200119143033.m4g6/catalogue/biryani-house-deoria-ho-deoria-mktc2xph0o.jpg</v>
      </c>
    </row>
    <row r="1445" spans="1:13" x14ac:dyDescent="0.3">
      <c r="A1445" t="s">
        <v>1475</v>
      </c>
      <c r="B1445" s="1">
        <v>45641</v>
      </c>
      <c r="C1445" t="s">
        <v>36</v>
      </c>
      <c r="D1445" t="s">
        <v>14</v>
      </c>
      <c r="E1445">
        <v>25</v>
      </c>
      <c r="F1445" t="s">
        <v>15</v>
      </c>
      <c r="G1445">
        <v>1177.93</v>
      </c>
      <c r="H1445">
        <v>46</v>
      </c>
      <c r="I1445" t="s">
        <v>16</v>
      </c>
      <c r="J1445">
        <v>3.3</v>
      </c>
      <c r="K1445" t="s">
        <v>41</v>
      </c>
      <c r="L1445" t="s">
        <v>18</v>
      </c>
      <c r="M1445" t="str">
        <f>VLOOKUP(D1449,Restaurant_Master!A:B,2,FALSE)</f>
        <v>https://content.jdmagicbox.com/comp/deoria/g6/9999p5568.5568.200119143033.m4g6/catalogue/biryani-house-deoria-ho-deoria-mktc2xph0o.jpg</v>
      </c>
    </row>
    <row r="1446" spans="1:13" x14ac:dyDescent="0.3">
      <c r="A1446" t="s">
        <v>1476</v>
      </c>
      <c r="B1446" s="1">
        <v>45399</v>
      </c>
      <c r="C1446" t="s">
        <v>34</v>
      </c>
      <c r="D1446" t="s">
        <v>21</v>
      </c>
      <c r="E1446">
        <v>18</v>
      </c>
      <c r="F1446" t="s">
        <v>15</v>
      </c>
      <c r="G1446">
        <v>636.96</v>
      </c>
      <c r="H1446">
        <v>27</v>
      </c>
      <c r="I1446" t="s">
        <v>22</v>
      </c>
      <c r="J1446">
        <v>4</v>
      </c>
      <c r="K1446" t="s">
        <v>41</v>
      </c>
      <c r="L1446" t="s">
        <v>18</v>
      </c>
      <c r="M1446" t="str">
        <f>VLOOKUP(D1450,Restaurant_Master!A:B,2,FALSE)</f>
        <v>https://content.jdmagicbox.com/comp/deoria/g6/9999p5568.5568.200119143033.m4g6/catalogue/biryani-house-deoria-ho-deoria-mktc2xph0o.jpg</v>
      </c>
    </row>
    <row r="1447" spans="1:13" x14ac:dyDescent="0.3">
      <c r="A1447" t="s">
        <v>1477</v>
      </c>
      <c r="B1447" s="1">
        <v>45327</v>
      </c>
      <c r="C1447" t="s">
        <v>43</v>
      </c>
      <c r="D1447" t="s">
        <v>21</v>
      </c>
      <c r="E1447">
        <v>57</v>
      </c>
      <c r="F1447" t="s">
        <v>28</v>
      </c>
      <c r="G1447">
        <v>1192.79</v>
      </c>
      <c r="H1447">
        <v>43</v>
      </c>
      <c r="I1447" t="s">
        <v>16</v>
      </c>
      <c r="J1447">
        <v>3.8</v>
      </c>
      <c r="K1447" t="s">
        <v>41</v>
      </c>
      <c r="L1447" t="s">
        <v>23</v>
      </c>
      <c r="M1447" t="str">
        <f>VLOOKUP(D1451,Restaurant_Master!A:B,2,FALSE)</f>
        <v>https://dineout-media-assets.swiggy.com/swiggy/image/upload/fl_lossy,f_auto,q_auto/v1660793737/fdqxvxcxg1wtdwvyv45v.jpg</v>
      </c>
    </row>
    <row r="1448" spans="1:13" x14ac:dyDescent="0.3">
      <c r="A1448" t="s">
        <v>1478</v>
      </c>
      <c r="B1448" s="1">
        <v>45592</v>
      </c>
      <c r="C1448" t="s">
        <v>34</v>
      </c>
      <c r="D1448" t="s">
        <v>32</v>
      </c>
      <c r="E1448">
        <v>39</v>
      </c>
      <c r="F1448" t="s">
        <v>28</v>
      </c>
      <c r="G1448">
        <v>687.05</v>
      </c>
      <c r="H1448">
        <v>20</v>
      </c>
      <c r="I1448" t="s">
        <v>22</v>
      </c>
      <c r="J1448">
        <v>3.4</v>
      </c>
      <c r="K1448" t="s">
        <v>29</v>
      </c>
      <c r="L1448" t="s">
        <v>18</v>
      </c>
      <c r="M1448" t="str">
        <f>VLOOKUP(D1452,Restaurant_Master!A:B,2,FALSE)</f>
        <v>https://dineout-media-assets.swiggy.com/swiggy/image/upload/fl_lossy,f_auto,q_auto/v1660793737/fdqxvxcxg1wtdwvyv45v.jpg</v>
      </c>
    </row>
    <row r="1449" spans="1:13" x14ac:dyDescent="0.3">
      <c r="A1449" t="s">
        <v>1479</v>
      </c>
      <c r="B1449" s="1">
        <v>45342</v>
      </c>
      <c r="C1449" t="s">
        <v>20</v>
      </c>
      <c r="D1449" t="s">
        <v>32</v>
      </c>
      <c r="E1449">
        <v>56</v>
      </c>
      <c r="F1449" t="s">
        <v>28</v>
      </c>
      <c r="G1449">
        <v>893</v>
      </c>
      <c r="H1449">
        <v>26</v>
      </c>
      <c r="I1449" t="s">
        <v>22</v>
      </c>
      <c r="J1449">
        <v>3.7</v>
      </c>
      <c r="K1449" t="s">
        <v>41</v>
      </c>
      <c r="L1449" t="s">
        <v>23</v>
      </c>
      <c r="M1449" t="str">
        <f>VLOOKUP(D1453,Restaurant_Master!A:B,2,FALSE)</f>
        <v>https://www.chatswoodinterchange.com/storages/2018/08/Sushi-World_666x448.jpg</v>
      </c>
    </row>
    <row r="1450" spans="1:13" x14ac:dyDescent="0.3">
      <c r="A1450" t="s">
        <v>1480</v>
      </c>
      <c r="B1450" s="1">
        <v>45560</v>
      </c>
      <c r="C1450" t="s">
        <v>36</v>
      </c>
      <c r="D1450" t="s">
        <v>32</v>
      </c>
      <c r="E1450">
        <v>34</v>
      </c>
      <c r="F1450" t="s">
        <v>28</v>
      </c>
      <c r="G1450">
        <v>395.94</v>
      </c>
      <c r="H1450">
        <v>28</v>
      </c>
      <c r="I1450" t="s">
        <v>22</v>
      </c>
      <c r="J1450">
        <v>3.9</v>
      </c>
      <c r="K1450" t="s">
        <v>26</v>
      </c>
      <c r="L1450" t="s">
        <v>23</v>
      </c>
      <c r="M1450" t="str">
        <f>VLOOKUP(D1454,Restaurant_Master!A:B,2,FALSE)</f>
        <v>https://content.jdmagicbox.com/comp/deoria/g6/9999p5568.5568.200119143033.m4g6/catalogue/biryani-house-deoria-ho-deoria-mktc2xph0o.jpg</v>
      </c>
    </row>
    <row r="1451" spans="1:13" x14ac:dyDescent="0.3">
      <c r="A1451" t="s">
        <v>1481</v>
      </c>
      <c r="B1451" s="1">
        <v>45583</v>
      </c>
      <c r="C1451" t="s">
        <v>20</v>
      </c>
      <c r="D1451" t="s">
        <v>14</v>
      </c>
      <c r="E1451">
        <v>38</v>
      </c>
      <c r="F1451" t="s">
        <v>15</v>
      </c>
      <c r="G1451">
        <v>1043.04</v>
      </c>
      <c r="H1451">
        <v>43</v>
      </c>
      <c r="I1451" t="s">
        <v>16</v>
      </c>
      <c r="J1451">
        <v>4.5999999999999996</v>
      </c>
      <c r="K1451" t="s">
        <v>29</v>
      </c>
      <c r="L1451" t="s">
        <v>23</v>
      </c>
      <c r="M1451" t="str">
        <f>VLOOKUP(D1455,Restaurant_Master!A:B,2,FALSE)</f>
        <v>https://www.chatswoodinterchange.com/storages/2018/08/Sushi-World_666x448.jpg</v>
      </c>
    </row>
    <row r="1452" spans="1:13" x14ac:dyDescent="0.3">
      <c r="A1452" t="s">
        <v>1482</v>
      </c>
      <c r="B1452" s="1">
        <v>45349</v>
      </c>
      <c r="C1452" t="s">
        <v>43</v>
      </c>
      <c r="D1452" t="s">
        <v>14</v>
      </c>
      <c r="E1452">
        <v>19</v>
      </c>
      <c r="F1452" t="s">
        <v>28</v>
      </c>
      <c r="G1452">
        <v>1061.98</v>
      </c>
      <c r="H1452">
        <v>20</v>
      </c>
      <c r="I1452" t="s">
        <v>22</v>
      </c>
      <c r="J1452">
        <v>4.5</v>
      </c>
      <c r="K1452" t="s">
        <v>17</v>
      </c>
      <c r="L1452" t="s">
        <v>23</v>
      </c>
      <c r="M1452" t="str">
        <f>VLOOKUP(D1456,Restaurant_Master!A:B,2,FALSE)</f>
        <v>https://content.jdmagicbox.com/comp/deoria/g6/9999p5568.5568.200119143033.m4g6/catalogue/biryani-house-deoria-ho-deoria-mktc2xph0o.jpg</v>
      </c>
    </row>
    <row r="1453" spans="1:13" x14ac:dyDescent="0.3">
      <c r="A1453" t="s">
        <v>1483</v>
      </c>
      <c r="B1453" s="1">
        <v>45329</v>
      </c>
      <c r="C1453" t="s">
        <v>36</v>
      </c>
      <c r="D1453" t="s">
        <v>38</v>
      </c>
      <c r="E1453">
        <v>35</v>
      </c>
      <c r="F1453" t="s">
        <v>15</v>
      </c>
      <c r="G1453">
        <v>730.62</v>
      </c>
      <c r="H1453">
        <v>37</v>
      </c>
      <c r="I1453" t="s">
        <v>22</v>
      </c>
      <c r="J1453">
        <v>2.7</v>
      </c>
      <c r="K1453" t="s">
        <v>26</v>
      </c>
      <c r="L1453" t="s">
        <v>23</v>
      </c>
      <c r="M1453" t="str">
        <f>VLOOKUP(D1457,Restaurant_Master!A:B,2,FALSE)</f>
        <v>https://media-cdn.tripadvisor.com/media/photo-s/1c/c7/97/b6/photo6jpg.jpg</v>
      </c>
    </row>
    <row r="1454" spans="1:13" x14ac:dyDescent="0.3">
      <c r="A1454" t="s">
        <v>1484</v>
      </c>
      <c r="B1454" s="1">
        <v>45531</v>
      </c>
      <c r="C1454" t="s">
        <v>43</v>
      </c>
      <c r="D1454" t="s">
        <v>32</v>
      </c>
      <c r="E1454">
        <v>44</v>
      </c>
      <c r="F1454" t="s">
        <v>28</v>
      </c>
      <c r="G1454">
        <v>830.44</v>
      </c>
      <c r="H1454">
        <v>40</v>
      </c>
      <c r="I1454" t="s">
        <v>22</v>
      </c>
      <c r="J1454">
        <v>4</v>
      </c>
      <c r="K1454" t="s">
        <v>41</v>
      </c>
      <c r="L1454" t="s">
        <v>23</v>
      </c>
      <c r="M1454" t="str">
        <f>VLOOKUP(D1458,Restaurant_Master!A:B,2,FALSE)</f>
        <v>https://content.jdmagicbox.com/comp/deoria/g6/9999p5568.5568.200119143033.m4g6/catalogue/biryani-house-deoria-ho-deoria-mktc2xph0o.jpg</v>
      </c>
    </row>
    <row r="1455" spans="1:13" x14ac:dyDescent="0.3">
      <c r="A1455" t="s">
        <v>1485</v>
      </c>
      <c r="B1455" s="1">
        <v>45370</v>
      </c>
      <c r="C1455" t="s">
        <v>36</v>
      </c>
      <c r="D1455" t="s">
        <v>38</v>
      </c>
      <c r="E1455">
        <v>36</v>
      </c>
      <c r="F1455" t="s">
        <v>28</v>
      </c>
      <c r="G1455">
        <v>1128.33</v>
      </c>
      <c r="H1455">
        <v>29</v>
      </c>
      <c r="I1455" t="s">
        <v>22</v>
      </c>
      <c r="J1455">
        <v>3.9</v>
      </c>
      <c r="K1455" t="s">
        <v>26</v>
      </c>
      <c r="L1455" t="s">
        <v>23</v>
      </c>
      <c r="M1455" t="str">
        <f>VLOOKUP(D1459,Restaurant_Master!A:B,2,FALSE)</f>
        <v>https://dineout-media-assets.swiggy.com/swiggy/image/upload/fl_lossy,f_auto,q_auto/v1660793737/fdqxvxcxg1wtdwvyv45v.jpg</v>
      </c>
    </row>
    <row r="1456" spans="1:13" x14ac:dyDescent="0.3">
      <c r="A1456" t="s">
        <v>1486</v>
      </c>
      <c r="B1456" s="1">
        <v>45518</v>
      </c>
      <c r="C1456" t="s">
        <v>36</v>
      </c>
      <c r="D1456" t="s">
        <v>32</v>
      </c>
      <c r="E1456">
        <v>22</v>
      </c>
      <c r="F1456" t="s">
        <v>28</v>
      </c>
      <c r="G1456">
        <v>1121.1400000000001</v>
      </c>
      <c r="H1456">
        <v>38</v>
      </c>
      <c r="I1456" t="s">
        <v>22</v>
      </c>
      <c r="J1456">
        <v>3.3</v>
      </c>
      <c r="K1456" t="s">
        <v>29</v>
      </c>
      <c r="L1456" t="s">
        <v>23</v>
      </c>
      <c r="M1456" t="str">
        <f>VLOOKUP(D1460,Restaurant_Master!A:B,2,FALSE)</f>
        <v>https://dineout-media-assets.swiggy.com/swiggy/image/upload/fl_lossy,f_auto,q_auto/v1660793737/fdqxvxcxg1wtdwvyv45v.jpg</v>
      </c>
    </row>
    <row r="1457" spans="1:13" x14ac:dyDescent="0.3">
      <c r="A1457" t="s">
        <v>1487</v>
      </c>
      <c r="B1457" s="1">
        <v>45377</v>
      </c>
      <c r="C1457" t="s">
        <v>34</v>
      </c>
      <c r="D1457" t="s">
        <v>25</v>
      </c>
      <c r="E1457">
        <v>59</v>
      </c>
      <c r="F1457" t="s">
        <v>15</v>
      </c>
      <c r="G1457">
        <v>1165.0899999999999</v>
      </c>
      <c r="H1457">
        <v>60</v>
      </c>
      <c r="I1457" t="s">
        <v>16</v>
      </c>
      <c r="J1457">
        <v>3.7</v>
      </c>
      <c r="K1457" t="s">
        <v>41</v>
      </c>
      <c r="L1457" t="s">
        <v>18</v>
      </c>
      <c r="M1457" t="str">
        <f>VLOOKUP(D1461,Restaurant_Master!A:B,2,FALSE)</f>
        <v>https://content.jdmagicbox.com/comp/deoria/g6/9999p5568.5568.200119143033.m4g6/catalogue/biryani-house-deoria-ho-deoria-mktc2xph0o.jpg</v>
      </c>
    </row>
    <row r="1458" spans="1:13" x14ac:dyDescent="0.3">
      <c r="A1458" t="s">
        <v>1488</v>
      </c>
      <c r="B1458" s="1">
        <v>45566</v>
      </c>
      <c r="C1458" t="s">
        <v>34</v>
      </c>
      <c r="D1458" t="s">
        <v>32</v>
      </c>
      <c r="E1458">
        <v>26</v>
      </c>
      <c r="F1458" t="s">
        <v>28</v>
      </c>
      <c r="G1458">
        <v>803.48</v>
      </c>
      <c r="H1458">
        <v>22</v>
      </c>
      <c r="I1458" t="s">
        <v>22</v>
      </c>
      <c r="J1458">
        <v>3.4</v>
      </c>
      <c r="K1458" t="s">
        <v>29</v>
      </c>
      <c r="L1458" t="s">
        <v>23</v>
      </c>
      <c r="M1458" t="str">
        <f>VLOOKUP(D1462,Restaurant_Master!A:B,2,FALSE)</f>
        <v>https://www.chatswoodinterchange.com/storages/2018/08/Sushi-World_666x448.jpg</v>
      </c>
    </row>
    <row r="1459" spans="1:13" x14ac:dyDescent="0.3">
      <c r="A1459" t="s">
        <v>1489</v>
      </c>
      <c r="B1459" s="1">
        <v>45553</v>
      </c>
      <c r="C1459" t="s">
        <v>36</v>
      </c>
      <c r="D1459" t="s">
        <v>14</v>
      </c>
      <c r="E1459">
        <v>60</v>
      </c>
      <c r="F1459" t="s">
        <v>28</v>
      </c>
      <c r="G1459">
        <v>1137.76</v>
      </c>
      <c r="H1459">
        <v>54</v>
      </c>
      <c r="I1459" t="s">
        <v>16</v>
      </c>
      <c r="J1459">
        <v>4.0999999999999996</v>
      </c>
      <c r="K1459" t="s">
        <v>41</v>
      </c>
      <c r="L1459" t="s">
        <v>23</v>
      </c>
      <c r="M1459" t="str">
        <f>VLOOKUP(D1463,Restaurant_Master!A:B,2,FALSE)</f>
        <v>https://media-cdn.tripadvisor.com/media/photo-s/1c/c7/97/b6/photo6jpg.jpg</v>
      </c>
    </row>
    <row r="1460" spans="1:13" x14ac:dyDescent="0.3">
      <c r="A1460" t="s">
        <v>1490</v>
      </c>
      <c r="B1460" s="1">
        <v>45491</v>
      </c>
      <c r="C1460" t="s">
        <v>34</v>
      </c>
      <c r="D1460" t="s">
        <v>14</v>
      </c>
      <c r="E1460">
        <v>37</v>
      </c>
      <c r="F1460" t="s">
        <v>15</v>
      </c>
      <c r="G1460">
        <v>252.18</v>
      </c>
      <c r="H1460">
        <v>20</v>
      </c>
      <c r="I1460" t="s">
        <v>22</v>
      </c>
      <c r="J1460">
        <v>3.6</v>
      </c>
      <c r="K1460" t="s">
        <v>41</v>
      </c>
      <c r="L1460" t="s">
        <v>18</v>
      </c>
      <c r="M1460" t="str">
        <f>VLOOKUP(D1464,Restaurant_Master!A:B,2,FALSE)</f>
        <v>https://dineout-media-assets.swiggy.com/swiggy/image/upload/fl_lossy,f_auto,q_auto/v1660793737/fdqxvxcxg1wtdwvyv45v.jpg</v>
      </c>
    </row>
    <row r="1461" spans="1:13" x14ac:dyDescent="0.3">
      <c r="A1461" t="s">
        <v>1491</v>
      </c>
      <c r="B1461" s="1">
        <v>45390</v>
      </c>
      <c r="C1461" t="s">
        <v>34</v>
      </c>
      <c r="D1461" t="s">
        <v>32</v>
      </c>
      <c r="E1461">
        <v>39</v>
      </c>
      <c r="F1461" t="s">
        <v>15</v>
      </c>
      <c r="G1461">
        <v>680.05</v>
      </c>
      <c r="H1461">
        <v>28</v>
      </c>
      <c r="I1461" t="s">
        <v>22</v>
      </c>
      <c r="J1461">
        <v>3.9</v>
      </c>
      <c r="K1461" t="s">
        <v>29</v>
      </c>
      <c r="L1461" t="s">
        <v>18</v>
      </c>
      <c r="M1461" t="str">
        <f>VLOOKUP(D1465,Restaurant_Master!A:B,2,FALSE)</f>
        <v>https://dineout-media-assets.swiggy.com/swiggy/image/upload/fl_lossy,f_auto,q_auto/v1660793737/fdqxvxcxg1wtdwvyv45v.jpg</v>
      </c>
    </row>
    <row r="1462" spans="1:13" x14ac:dyDescent="0.3">
      <c r="A1462" t="s">
        <v>1492</v>
      </c>
      <c r="B1462" s="1">
        <v>45463</v>
      </c>
      <c r="C1462" t="s">
        <v>36</v>
      </c>
      <c r="D1462" t="s">
        <v>38</v>
      </c>
      <c r="E1462">
        <v>40</v>
      </c>
      <c r="F1462" t="s">
        <v>28</v>
      </c>
      <c r="G1462">
        <v>808.24</v>
      </c>
      <c r="H1462">
        <v>45</v>
      </c>
      <c r="I1462" t="s">
        <v>16</v>
      </c>
      <c r="J1462">
        <v>3.7</v>
      </c>
      <c r="K1462" t="s">
        <v>41</v>
      </c>
      <c r="L1462" t="s">
        <v>18</v>
      </c>
      <c r="M1462" t="str">
        <f>VLOOKUP(D1466,Restaurant_Master!A:B,2,FALSE)</f>
        <v>https://content.jdmagicbox.com/comp/deoria/g6/9999p5568.5568.200119143033.m4g6/catalogue/biryani-house-deoria-ho-deoria-mktc2xph0o.jpg</v>
      </c>
    </row>
    <row r="1463" spans="1:13" x14ac:dyDescent="0.3">
      <c r="A1463" t="s">
        <v>1493</v>
      </c>
      <c r="B1463" s="1">
        <v>45377</v>
      </c>
      <c r="C1463" t="s">
        <v>20</v>
      </c>
      <c r="D1463" t="s">
        <v>25</v>
      </c>
      <c r="E1463">
        <v>56</v>
      </c>
      <c r="F1463" t="s">
        <v>15</v>
      </c>
      <c r="G1463">
        <v>509.85</v>
      </c>
      <c r="H1463">
        <v>33</v>
      </c>
      <c r="I1463" t="s">
        <v>22</v>
      </c>
      <c r="J1463">
        <v>3.1</v>
      </c>
      <c r="K1463" t="s">
        <v>26</v>
      </c>
      <c r="L1463" t="s">
        <v>18</v>
      </c>
      <c r="M1463" t="str">
        <f>VLOOKUP(D1467,Restaurant_Master!A:B,2,FALSE)</f>
        <v>https://dineout-media-assets.swiggy.com/swiggy/image/upload/fl_lossy,f_auto,q_auto/v1660793737/fdqxvxcxg1wtdwvyv45v.jpg</v>
      </c>
    </row>
    <row r="1464" spans="1:13" x14ac:dyDescent="0.3">
      <c r="A1464" t="s">
        <v>1494</v>
      </c>
      <c r="B1464" s="1">
        <v>45401</v>
      </c>
      <c r="C1464" t="s">
        <v>13</v>
      </c>
      <c r="D1464" t="s">
        <v>14</v>
      </c>
      <c r="E1464">
        <v>25</v>
      </c>
      <c r="F1464" t="s">
        <v>28</v>
      </c>
      <c r="G1464">
        <v>906.03</v>
      </c>
      <c r="H1464">
        <v>44</v>
      </c>
      <c r="I1464" t="s">
        <v>16</v>
      </c>
      <c r="J1464">
        <v>5</v>
      </c>
      <c r="K1464" t="s">
        <v>26</v>
      </c>
      <c r="L1464" t="s">
        <v>23</v>
      </c>
      <c r="M1464" t="str">
        <f>VLOOKUP(D1468,Restaurant_Master!A:B,2,FALSE)</f>
        <v>https://content.jdmagicbox.com/comp/deoria/g6/9999p5568.5568.200119143033.m4g6/catalogue/biryani-house-deoria-ho-deoria-mktc2xph0o.jpg</v>
      </c>
    </row>
    <row r="1465" spans="1:13" x14ac:dyDescent="0.3">
      <c r="A1465" t="s">
        <v>1495</v>
      </c>
      <c r="B1465" s="1">
        <v>45306</v>
      </c>
      <c r="C1465" t="s">
        <v>13</v>
      </c>
      <c r="D1465" t="s">
        <v>14</v>
      </c>
      <c r="E1465">
        <v>45</v>
      </c>
      <c r="F1465" t="s">
        <v>28</v>
      </c>
      <c r="G1465">
        <v>901.51</v>
      </c>
      <c r="H1465">
        <v>49</v>
      </c>
      <c r="I1465" t="s">
        <v>16</v>
      </c>
      <c r="J1465">
        <v>2.8</v>
      </c>
      <c r="K1465" t="s">
        <v>26</v>
      </c>
      <c r="L1465" t="s">
        <v>23</v>
      </c>
      <c r="M1465" t="str">
        <f>VLOOKUP(D1469,Restaurant_Master!A:B,2,FALSE)</f>
        <v>https://dynamic-media-cdn.tripadvisor.com/media/photo-o/1c/e7/04/0d/front-of-the-local-easily.jpg</v>
      </c>
    </row>
    <row r="1466" spans="1:13" x14ac:dyDescent="0.3">
      <c r="A1466" t="s">
        <v>1496</v>
      </c>
      <c r="B1466" s="1">
        <v>45613</v>
      </c>
      <c r="C1466" t="s">
        <v>20</v>
      </c>
      <c r="D1466" t="s">
        <v>32</v>
      </c>
      <c r="E1466">
        <v>60</v>
      </c>
      <c r="F1466" t="s">
        <v>28</v>
      </c>
      <c r="G1466">
        <v>731.86</v>
      </c>
      <c r="H1466">
        <v>52</v>
      </c>
      <c r="I1466" t="s">
        <v>16</v>
      </c>
      <c r="J1466">
        <v>4.0999999999999996</v>
      </c>
      <c r="K1466" t="s">
        <v>26</v>
      </c>
      <c r="L1466" t="s">
        <v>23</v>
      </c>
      <c r="M1466" t="str">
        <f>VLOOKUP(D1470,Restaurant_Master!A:B,2,FALSE)</f>
        <v>https://dynamic-media-cdn.tripadvisor.com/media/photo-o/1c/e7/04/0d/front-of-the-local-easily.jpg</v>
      </c>
    </row>
    <row r="1467" spans="1:13" x14ac:dyDescent="0.3">
      <c r="A1467" t="s">
        <v>1497</v>
      </c>
      <c r="B1467" s="1">
        <v>45629</v>
      </c>
      <c r="C1467" t="s">
        <v>36</v>
      </c>
      <c r="D1467" t="s">
        <v>14</v>
      </c>
      <c r="E1467">
        <v>31</v>
      </c>
      <c r="F1467" t="s">
        <v>15</v>
      </c>
      <c r="G1467">
        <v>1167.55</v>
      </c>
      <c r="H1467">
        <v>54</v>
      </c>
      <c r="I1467" t="s">
        <v>16</v>
      </c>
      <c r="J1467">
        <v>3.9</v>
      </c>
      <c r="K1467" t="s">
        <v>17</v>
      </c>
      <c r="L1467" t="s">
        <v>23</v>
      </c>
      <c r="M1467" t="str">
        <f>VLOOKUP(D1471,Restaurant_Master!A:B,2,FALSE)</f>
        <v>https://www.chatswoodinterchange.com/storages/2018/08/Sushi-World_666x448.jpg</v>
      </c>
    </row>
    <row r="1468" spans="1:13" x14ac:dyDescent="0.3">
      <c r="A1468" t="s">
        <v>1498</v>
      </c>
      <c r="B1468" s="1">
        <v>45376</v>
      </c>
      <c r="C1468" t="s">
        <v>36</v>
      </c>
      <c r="D1468" t="s">
        <v>32</v>
      </c>
      <c r="E1468">
        <v>51</v>
      </c>
      <c r="F1468" t="s">
        <v>28</v>
      </c>
      <c r="G1468">
        <v>385.42</v>
      </c>
      <c r="H1468">
        <v>33</v>
      </c>
      <c r="I1468" t="s">
        <v>22</v>
      </c>
      <c r="J1468">
        <v>2.7</v>
      </c>
      <c r="K1468" t="s">
        <v>41</v>
      </c>
      <c r="L1468" t="s">
        <v>18</v>
      </c>
      <c r="M1468" t="str">
        <f>VLOOKUP(D1472,Restaurant_Master!A:B,2,FALSE)</f>
        <v>https://www.chatswoodinterchange.com/storages/2018/08/Sushi-World_666x448.jpg</v>
      </c>
    </row>
    <row r="1469" spans="1:13" x14ac:dyDescent="0.3">
      <c r="A1469" t="s">
        <v>1499</v>
      </c>
      <c r="B1469" s="1">
        <v>45542</v>
      </c>
      <c r="C1469" t="s">
        <v>43</v>
      </c>
      <c r="D1469" t="s">
        <v>21</v>
      </c>
      <c r="E1469">
        <v>24</v>
      </c>
      <c r="F1469" t="s">
        <v>15</v>
      </c>
      <c r="G1469">
        <v>756.86</v>
      </c>
      <c r="H1469">
        <v>35</v>
      </c>
      <c r="I1469" t="s">
        <v>22</v>
      </c>
      <c r="J1469">
        <v>3.2</v>
      </c>
      <c r="K1469" t="s">
        <v>41</v>
      </c>
      <c r="L1469" t="s">
        <v>23</v>
      </c>
      <c r="M1469" t="str">
        <f>VLOOKUP(D1473,Restaurant_Master!A:B,2,FALSE)</f>
        <v>https://www.chatswoodinterchange.com/storages/2018/08/Sushi-World_666x448.jpg</v>
      </c>
    </row>
    <row r="1470" spans="1:13" x14ac:dyDescent="0.3">
      <c r="A1470" t="s">
        <v>1500</v>
      </c>
      <c r="B1470" s="1">
        <v>45593</v>
      </c>
      <c r="C1470" t="s">
        <v>43</v>
      </c>
      <c r="D1470" t="s">
        <v>21</v>
      </c>
      <c r="E1470">
        <v>43</v>
      </c>
      <c r="F1470" t="s">
        <v>15</v>
      </c>
      <c r="G1470">
        <v>583.78</v>
      </c>
      <c r="H1470">
        <v>27</v>
      </c>
      <c r="I1470" t="s">
        <v>22</v>
      </c>
      <c r="J1470">
        <v>4</v>
      </c>
      <c r="K1470" t="s">
        <v>26</v>
      </c>
      <c r="L1470" t="s">
        <v>23</v>
      </c>
      <c r="M1470" t="str">
        <f>VLOOKUP(D1474,Restaurant_Master!A:B,2,FALSE)</f>
        <v>https://content.jdmagicbox.com/comp/deoria/g6/9999p5568.5568.200119143033.m4g6/catalogue/biryani-house-deoria-ho-deoria-mktc2xph0o.jpg</v>
      </c>
    </row>
    <row r="1471" spans="1:13" x14ac:dyDescent="0.3">
      <c r="A1471" t="s">
        <v>1501</v>
      </c>
      <c r="B1471" s="1">
        <v>45468</v>
      </c>
      <c r="C1471" t="s">
        <v>43</v>
      </c>
      <c r="D1471" t="s">
        <v>38</v>
      </c>
      <c r="E1471">
        <v>39</v>
      </c>
      <c r="F1471" t="s">
        <v>15</v>
      </c>
      <c r="G1471">
        <v>454.92</v>
      </c>
      <c r="H1471">
        <v>42</v>
      </c>
      <c r="I1471" t="s">
        <v>16</v>
      </c>
      <c r="J1471">
        <v>3.7</v>
      </c>
      <c r="K1471" t="s">
        <v>29</v>
      </c>
      <c r="L1471" t="s">
        <v>18</v>
      </c>
      <c r="M1471" t="str">
        <f>VLOOKUP(D1475,Restaurant_Master!A:B,2,FALSE)</f>
        <v>https://dynamic-media-cdn.tripadvisor.com/media/photo-o/1c/e7/04/0d/front-of-the-local-easily.jpg</v>
      </c>
    </row>
    <row r="1472" spans="1:13" x14ac:dyDescent="0.3">
      <c r="A1472" t="s">
        <v>1502</v>
      </c>
      <c r="B1472" s="1">
        <v>45368</v>
      </c>
      <c r="C1472" t="s">
        <v>36</v>
      </c>
      <c r="D1472" t="s">
        <v>38</v>
      </c>
      <c r="E1472">
        <v>25</v>
      </c>
      <c r="F1472" t="s">
        <v>28</v>
      </c>
      <c r="G1472">
        <v>297.13</v>
      </c>
      <c r="H1472">
        <v>43</v>
      </c>
      <c r="I1472" t="s">
        <v>16</v>
      </c>
      <c r="J1472">
        <v>3.9</v>
      </c>
      <c r="K1472" t="s">
        <v>17</v>
      </c>
      <c r="L1472" t="s">
        <v>23</v>
      </c>
      <c r="M1472" t="str">
        <f>VLOOKUP(D1476,Restaurant_Master!A:B,2,FALSE)</f>
        <v>https://media-cdn.tripadvisor.com/media/photo-s/1c/c7/97/b6/photo6jpg.jpg</v>
      </c>
    </row>
    <row r="1473" spans="1:13" x14ac:dyDescent="0.3">
      <c r="A1473" t="s">
        <v>1503</v>
      </c>
      <c r="B1473" s="1">
        <v>45359</v>
      </c>
      <c r="C1473" t="s">
        <v>20</v>
      </c>
      <c r="D1473" t="s">
        <v>38</v>
      </c>
      <c r="E1473">
        <v>35</v>
      </c>
      <c r="F1473" t="s">
        <v>15</v>
      </c>
      <c r="G1473">
        <v>152.79</v>
      </c>
      <c r="H1473">
        <v>29</v>
      </c>
      <c r="I1473" t="s">
        <v>22</v>
      </c>
      <c r="J1473">
        <v>3.2</v>
      </c>
      <c r="K1473" t="s">
        <v>29</v>
      </c>
      <c r="L1473" t="s">
        <v>23</v>
      </c>
      <c r="M1473" t="str">
        <f>VLOOKUP(D1477,Restaurant_Master!A:B,2,FALSE)</f>
        <v>https://www.chatswoodinterchange.com/storages/2018/08/Sushi-World_666x448.jpg</v>
      </c>
    </row>
    <row r="1474" spans="1:13" x14ac:dyDescent="0.3">
      <c r="A1474" t="s">
        <v>1504</v>
      </c>
      <c r="B1474" s="1">
        <v>45394</v>
      </c>
      <c r="C1474" t="s">
        <v>36</v>
      </c>
      <c r="D1474" t="s">
        <v>32</v>
      </c>
      <c r="E1474">
        <v>38</v>
      </c>
      <c r="F1474" t="s">
        <v>28</v>
      </c>
      <c r="G1474">
        <v>1181.78</v>
      </c>
      <c r="H1474">
        <v>26</v>
      </c>
      <c r="I1474" t="s">
        <v>22</v>
      </c>
      <c r="J1474">
        <v>4.2</v>
      </c>
      <c r="K1474" t="s">
        <v>29</v>
      </c>
      <c r="L1474" t="s">
        <v>18</v>
      </c>
      <c r="M1474" t="str">
        <f>VLOOKUP(D1478,Restaurant_Master!A:B,2,FALSE)</f>
        <v>https://dynamic-media-cdn.tripadvisor.com/media/photo-o/1c/e7/04/0d/front-of-the-local-easily.jpg</v>
      </c>
    </row>
    <row r="1475" spans="1:13" x14ac:dyDescent="0.3">
      <c r="A1475" t="s">
        <v>1505</v>
      </c>
      <c r="B1475" s="1">
        <v>45582</v>
      </c>
      <c r="C1475" t="s">
        <v>13</v>
      </c>
      <c r="D1475" t="s">
        <v>21</v>
      </c>
      <c r="E1475">
        <v>48</v>
      </c>
      <c r="F1475" t="s">
        <v>15</v>
      </c>
      <c r="G1475">
        <v>808.94</v>
      </c>
      <c r="H1475">
        <v>31</v>
      </c>
      <c r="I1475" t="s">
        <v>22</v>
      </c>
      <c r="J1475">
        <v>4.5</v>
      </c>
      <c r="K1475" t="s">
        <v>41</v>
      </c>
      <c r="L1475" t="s">
        <v>23</v>
      </c>
      <c r="M1475" t="str">
        <f>VLOOKUP(D1479,Restaurant_Master!A:B,2,FALSE)</f>
        <v>https://dynamic-media-cdn.tripadvisor.com/media/photo-o/1c/e7/04/0d/front-of-the-local-easily.jpg</v>
      </c>
    </row>
    <row r="1476" spans="1:13" x14ac:dyDescent="0.3">
      <c r="A1476" t="s">
        <v>1506</v>
      </c>
      <c r="B1476" s="1">
        <v>45537</v>
      </c>
      <c r="C1476" t="s">
        <v>20</v>
      </c>
      <c r="D1476" t="s">
        <v>25</v>
      </c>
      <c r="E1476">
        <v>29</v>
      </c>
      <c r="F1476" t="s">
        <v>15</v>
      </c>
      <c r="G1476">
        <v>355.72</v>
      </c>
      <c r="H1476">
        <v>39</v>
      </c>
      <c r="I1476" t="s">
        <v>22</v>
      </c>
      <c r="J1476">
        <v>4.2</v>
      </c>
      <c r="K1476" t="s">
        <v>41</v>
      </c>
      <c r="L1476" t="s">
        <v>23</v>
      </c>
      <c r="M1476" t="str">
        <f>VLOOKUP(D1480,Restaurant_Master!A:B,2,FALSE)</f>
        <v>https://content.jdmagicbox.com/comp/deoria/g6/9999p5568.5568.200119143033.m4g6/catalogue/biryani-house-deoria-ho-deoria-mktc2xph0o.jpg</v>
      </c>
    </row>
    <row r="1477" spans="1:13" x14ac:dyDescent="0.3">
      <c r="A1477" t="s">
        <v>1507</v>
      </c>
      <c r="B1477" s="1">
        <v>45317</v>
      </c>
      <c r="C1477" t="s">
        <v>20</v>
      </c>
      <c r="D1477" t="s">
        <v>38</v>
      </c>
      <c r="E1477">
        <v>55</v>
      </c>
      <c r="F1477" t="s">
        <v>15</v>
      </c>
      <c r="G1477">
        <v>347.42</v>
      </c>
      <c r="H1477">
        <v>56</v>
      </c>
      <c r="I1477" t="s">
        <v>16</v>
      </c>
      <c r="J1477">
        <v>4.8</v>
      </c>
      <c r="K1477" t="s">
        <v>29</v>
      </c>
      <c r="L1477" t="s">
        <v>18</v>
      </c>
      <c r="M1477" t="str">
        <f>VLOOKUP(D1481,Restaurant_Master!A:B,2,FALSE)</f>
        <v>https://dineout-media-assets.swiggy.com/swiggy/image/upload/fl_lossy,f_auto,q_auto/v1660793737/fdqxvxcxg1wtdwvyv45v.jpg</v>
      </c>
    </row>
    <row r="1478" spans="1:13" x14ac:dyDescent="0.3">
      <c r="A1478" t="s">
        <v>1508</v>
      </c>
      <c r="B1478" s="1">
        <v>45437</v>
      </c>
      <c r="C1478" t="s">
        <v>20</v>
      </c>
      <c r="D1478" t="s">
        <v>21</v>
      </c>
      <c r="E1478">
        <v>23</v>
      </c>
      <c r="F1478" t="s">
        <v>15</v>
      </c>
      <c r="G1478">
        <v>403.5</v>
      </c>
      <c r="H1478">
        <v>32</v>
      </c>
      <c r="I1478" t="s">
        <v>22</v>
      </c>
      <c r="J1478">
        <v>3.9</v>
      </c>
      <c r="K1478" t="s">
        <v>26</v>
      </c>
      <c r="L1478" t="s">
        <v>18</v>
      </c>
      <c r="M1478" t="str">
        <f>VLOOKUP(D1482,Restaurant_Master!A:B,2,FALSE)</f>
        <v>https://content.jdmagicbox.com/comp/deoria/g6/9999p5568.5568.200119143033.m4g6/catalogue/biryani-house-deoria-ho-deoria-mktc2xph0o.jpg</v>
      </c>
    </row>
    <row r="1479" spans="1:13" x14ac:dyDescent="0.3">
      <c r="A1479" t="s">
        <v>1509</v>
      </c>
      <c r="B1479" s="1">
        <v>45343</v>
      </c>
      <c r="C1479" t="s">
        <v>36</v>
      </c>
      <c r="D1479" t="s">
        <v>21</v>
      </c>
      <c r="E1479">
        <v>26</v>
      </c>
      <c r="F1479" t="s">
        <v>15</v>
      </c>
      <c r="G1479">
        <v>822.37</v>
      </c>
      <c r="H1479">
        <v>37</v>
      </c>
      <c r="I1479" t="s">
        <v>22</v>
      </c>
      <c r="J1479">
        <v>4.5999999999999996</v>
      </c>
      <c r="K1479" t="s">
        <v>26</v>
      </c>
      <c r="L1479" t="s">
        <v>18</v>
      </c>
      <c r="M1479" t="str">
        <f>VLOOKUP(D1483,Restaurant_Master!A:B,2,FALSE)</f>
        <v>https://dineout-media-assets.swiggy.com/swiggy/image/upload/fl_lossy,f_auto,q_auto/v1660793737/fdqxvxcxg1wtdwvyv45v.jpg</v>
      </c>
    </row>
    <row r="1480" spans="1:13" x14ac:dyDescent="0.3">
      <c r="A1480" t="s">
        <v>1510</v>
      </c>
      <c r="B1480" s="1">
        <v>45399</v>
      </c>
      <c r="C1480" t="s">
        <v>13</v>
      </c>
      <c r="D1480" t="s">
        <v>32</v>
      </c>
      <c r="E1480">
        <v>54</v>
      </c>
      <c r="F1480" t="s">
        <v>15</v>
      </c>
      <c r="G1480">
        <v>225.88</v>
      </c>
      <c r="H1480">
        <v>20</v>
      </c>
      <c r="I1480" t="s">
        <v>22</v>
      </c>
      <c r="J1480">
        <v>4.8</v>
      </c>
      <c r="K1480" t="s">
        <v>41</v>
      </c>
      <c r="L1480" t="s">
        <v>23</v>
      </c>
      <c r="M1480" t="str">
        <f>VLOOKUP(D1484,Restaurant_Master!A:B,2,FALSE)</f>
        <v>https://dynamic-media-cdn.tripadvisor.com/media/photo-o/1c/e7/04/0d/front-of-the-local-easily.jpg</v>
      </c>
    </row>
    <row r="1481" spans="1:13" x14ac:dyDescent="0.3">
      <c r="A1481" t="s">
        <v>1511</v>
      </c>
      <c r="B1481" s="1">
        <v>45424</v>
      </c>
      <c r="C1481" t="s">
        <v>13</v>
      </c>
      <c r="D1481" t="s">
        <v>14</v>
      </c>
      <c r="E1481">
        <v>28</v>
      </c>
      <c r="F1481" t="s">
        <v>28</v>
      </c>
      <c r="G1481">
        <v>166.61</v>
      </c>
      <c r="H1481">
        <v>40</v>
      </c>
      <c r="I1481" t="s">
        <v>22</v>
      </c>
      <c r="J1481">
        <v>3.6</v>
      </c>
      <c r="K1481" t="s">
        <v>26</v>
      </c>
      <c r="L1481" t="s">
        <v>18</v>
      </c>
      <c r="M1481" t="str">
        <f>VLOOKUP(D1485,Restaurant_Master!A:B,2,FALSE)</f>
        <v>https://content.jdmagicbox.com/comp/deoria/g6/9999p5568.5568.200119143033.m4g6/catalogue/biryani-house-deoria-ho-deoria-mktc2xph0o.jpg</v>
      </c>
    </row>
    <row r="1482" spans="1:13" x14ac:dyDescent="0.3">
      <c r="A1482" t="s">
        <v>1512</v>
      </c>
      <c r="B1482" s="1">
        <v>45324</v>
      </c>
      <c r="C1482" t="s">
        <v>43</v>
      </c>
      <c r="D1482" t="s">
        <v>32</v>
      </c>
      <c r="E1482">
        <v>21</v>
      </c>
      <c r="F1482" t="s">
        <v>15</v>
      </c>
      <c r="G1482">
        <v>570.73</v>
      </c>
      <c r="H1482">
        <v>40</v>
      </c>
      <c r="I1482" t="s">
        <v>22</v>
      </c>
      <c r="J1482">
        <v>4.5999999999999996</v>
      </c>
      <c r="K1482" t="s">
        <v>29</v>
      </c>
      <c r="L1482" t="s">
        <v>23</v>
      </c>
      <c r="M1482" t="str">
        <f>VLOOKUP(D1486,Restaurant_Master!A:B,2,FALSE)</f>
        <v>https://www.chatswoodinterchange.com/storages/2018/08/Sushi-World_666x448.jpg</v>
      </c>
    </row>
    <row r="1483" spans="1:13" x14ac:dyDescent="0.3">
      <c r="A1483" t="s">
        <v>1513</v>
      </c>
      <c r="B1483" s="1">
        <v>45572</v>
      </c>
      <c r="C1483" t="s">
        <v>20</v>
      </c>
      <c r="D1483" t="s">
        <v>14</v>
      </c>
      <c r="E1483">
        <v>42</v>
      </c>
      <c r="F1483" t="s">
        <v>28</v>
      </c>
      <c r="G1483">
        <v>935.15</v>
      </c>
      <c r="H1483">
        <v>28</v>
      </c>
      <c r="I1483" t="s">
        <v>22</v>
      </c>
      <c r="J1483">
        <v>3.4</v>
      </c>
      <c r="K1483" t="s">
        <v>17</v>
      </c>
      <c r="L1483" t="s">
        <v>23</v>
      </c>
      <c r="M1483" t="str">
        <f>VLOOKUP(D1487,Restaurant_Master!A:B,2,FALSE)</f>
        <v>https://dineout-media-assets.swiggy.com/swiggy/image/upload/fl_lossy,f_auto,q_auto/v1660793737/fdqxvxcxg1wtdwvyv45v.jpg</v>
      </c>
    </row>
    <row r="1484" spans="1:13" x14ac:dyDescent="0.3">
      <c r="A1484" t="s">
        <v>1514</v>
      </c>
      <c r="B1484" s="1">
        <v>45569</v>
      </c>
      <c r="C1484" t="s">
        <v>36</v>
      </c>
      <c r="D1484" t="s">
        <v>21</v>
      </c>
      <c r="E1484">
        <v>58</v>
      </c>
      <c r="F1484" t="s">
        <v>28</v>
      </c>
      <c r="G1484">
        <v>193.46</v>
      </c>
      <c r="H1484">
        <v>41</v>
      </c>
      <c r="I1484" t="s">
        <v>16</v>
      </c>
      <c r="J1484">
        <v>2.8</v>
      </c>
      <c r="K1484" t="s">
        <v>26</v>
      </c>
      <c r="L1484" t="s">
        <v>18</v>
      </c>
      <c r="M1484" t="str">
        <f>VLOOKUP(D1488,Restaurant_Master!A:B,2,FALSE)</f>
        <v>https://media-cdn.tripadvisor.com/media/photo-s/1c/c7/97/b6/photo6jpg.jpg</v>
      </c>
    </row>
    <row r="1485" spans="1:13" x14ac:dyDescent="0.3">
      <c r="A1485" t="s">
        <v>1515</v>
      </c>
      <c r="B1485" s="1">
        <v>45626</v>
      </c>
      <c r="C1485" t="s">
        <v>36</v>
      </c>
      <c r="D1485" t="s">
        <v>32</v>
      </c>
      <c r="E1485">
        <v>36</v>
      </c>
      <c r="F1485" t="s">
        <v>28</v>
      </c>
      <c r="G1485">
        <v>829.07</v>
      </c>
      <c r="H1485">
        <v>31</v>
      </c>
      <c r="I1485" t="s">
        <v>22</v>
      </c>
      <c r="J1485">
        <v>4.9000000000000004</v>
      </c>
      <c r="K1485" t="s">
        <v>26</v>
      </c>
      <c r="L1485" t="s">
        <v>18</v>
      </c>
      <c r="M1485" t="str">
        <f>VLOOKUP(D1489,Restaurant_Master!A:B,2,FALSE)</f>
        <v>https://www.chatswoodinterchange.com/storages/2018/08/Sushi-World_666x448.jpg</v>
      </c>
    </row>
    <row r="1486" spans="1:13" x14ac:dyDescent="0.3">
      <c r="A1486" t="s">
        <v>1516</v>
      </c>
      <c r="B1486" s="1">
        <v>45357</v>
      </c>
      <c r="C1486" t="s">
        <v>20</v>
      </c>
      <c r="D1486" t="s">
        <v>38</v>
      </c>
      <c r="E1486">
        <v>31</v>
      </c>
      <c r="F1486" t="s">
        <v>15</v>
      </c>
      <c r="G1486">
        <v>362.73</v>
      </c>
      <c r="H1486">
        <v>58</v>
      </c>
      <c r="I1486" t="s">
        <v>16</v>
      </c>
      <c r="J1486">
        <v>3</v>
      </c>
      <c r="K1486" t="s">
        <v>29</v>
      </c>
      <c r="L1486" t="s">
        <v>18</v>
      </c>
      <c r="M1486" t="str">
        <f>VLOOKUP(D1490,Restaurant_Master!A:B,2,FALSE)</f>
        <v>https://media-cdn.tripadvisor.com/media/photo-s/1c/c7/97/b6/photo6jpg.jpg</v>
      </c>
    </row>
    <row r="1487" spans="1:13" x14ac:dyDescent="0.3">
      <c r="A1487" t="s">
        <v>1517</v>
      </c>
      <c r="B1487" s="1">
        <v>45587</v>
      </c>
      <c r="C1487" t="s">
        <v>43</v>
      </c>
      <c r="D1487" t="s">
        <v>14</v>
      </c>
      <c r="E1487">
        <v>57</v>
      </c>
      <c r="F1487" t="s">
        <v>28</v>
      </c>
      <c r="G1487">
        <v>1117.8800000000001</v>
      </c>
      <c r="H1487">
        <v>45</v>
      </c>
      <c r="I1487" t="s">
        <v>16</v>
      </c>
      <c r="J1487">
        <v>3.4</v>
      </c>
      <c r="K1487" t="s">
        <v>17</v>
      </c>
      <c r="L1487" t="s">
        <v>18</v>
      </c>
      <c r="M1487" t="str">
        <f>VLOOKUP(D1491,Restaurant_Master!A:B,2,FALSE)</f>
        <v>https://dynamic-media-cdn.tripadvisor.com/media/photo-o/1c/e7/04/0d/front-of-the-local-easily.jpg</v>
      </c>
    </row>
    <row r="1488" spans="1:13" x14ac:dyDescent="0.3">
      <c r="A1488" t="s">
        <v>1518</v>
      </c>
      <c r="B1488" s="1">
        <v>45359</v>
      </c>
      <c r="C1488" t="s">
        <v>13</v>
      </c>
      <c r="D1488" t="s">
        <v>25</v>
      </c>
      <c r="E1488">
        <v>49</v>
      </c>
      <c r="F1488" t="s">
        <v>28</v>
      </c>
      <c r="G1488">
        <v>1041.6400000000001</v>
      </c>
      <c r="H1488">
        <v>53</v>
      </c>
      <c r="I1488" t="s">
        <v>16</v>
      </c>
      <c r="J1488">
        <v>2.9</v>
      </c>
      <c r="K1488" t="s">
        <v>26</v>
      </c>
      <c r="L1488" t="s">
        <v>23</v>
      </c>
      <c r="M1488" t="str">
        <f>VLOOKUP(D1492,Restaurant_Master!A:B,2,FALSE)</f>
        <v>https://content.jdmagicbox.com/comp/deoria/g6/9999p5568.5568.200119143033.m4g6/catalogue/biryani-house-deoria-ho-deoria-mktc2xph0o.jpg</v>
      </c>
    </row>
    <row r="1489" spans="1:13" x14ac:dyDescent="0.3">
      <c r="A1489" t="s">
        <v>1519</v>
      </c>
      <c r="B1489" s="1">
        <v>45523</v>
      </c>
      <c r="C1489" t="s">
        <v>20</v>
      </c>
      <c r="D1489" t="s">
        <v>38</v>
      </c>
      <c r="E1489">
        <v>20</v>
      </c>
      <c r="F1489" t="s">
        <v>15</v>
      </c>
      <c r="G1489">
        <v>278.73</v>
      </c>
      <c r="H1489">
        <v>54</v>
      </c>
      <c r="I1489" t="s">
        <v>16</v>
      </c>
      <c r="J1489">
        <v>4</v>
      </c>
      <c r="K1489" t="s">
        <v>29</v>
      </c>
      <c r="L1489" t="s">
        <v>23</v>
      </c>
      <c r="M1489" t="str">
        <f>VLOOKUP(D1493,Restaurant_Master!A:B,2,FALSE)</f>
        <v>https://media-cdn.tripadvisor.com/media/photo-s/1c/c7/97/b6/photo6jpg.jpg</v>
      </c>
    </row>
    <row r="1490" spans="1:13" x14ac:dyDescent="0.3">
      <c r="A1490" t="s">
        <v>1520</v>
      </c>
      <c r="B1490" s="1">
        <v>45479</v>
      </c>
      <c r="C1490" t="s">
        <v>34</v>
      </c>
      <c r="D1490" t="s">
        <v>25</v>
      </c>
      <c r="E1490">
        <v>56</v>
      </c>
      <c r="F1490" t="s">
        <v>28</v>
      </c>
      <c r="G1490">
        <v>606.76</v>
      </c>
      <c r="H1490">
        <v>59</v>
      </c>
      <c r="I1490" t="s">
        <v>16</v>
      </c>
      <c r="J1490">
        <v>2.7</v>
      </c>
      <c r="K1490" t="s">
        <v>26</v>
      </c>
      <c r="L1490" t="s">
        <v>18</v>
      </c>
      <c r="M1490" t="str">
        <f>VLOOKUP(D1494,Restaurant_Master!A:B,2,FALSE)</f>
        <v>https://dineout-media-assets.swiggy.com/swiggy/image/upload/fl_lossy,f_auto,q_auto/v1660793737/fdqxvxcxg1wtdwvyv45v.jpg</v>
      </c>
    </row>
    <row r="1491" spans="1:13" x14ac:dyDescent="0.3">
      <c r="A1491" t="s">
        <v>1521</v>
      </c>
      <c r="B1491" s="1">
        <v>45523</v>
      </c>
      <c r="C1491" t="s">
        <v>34</v>
      </c>
      <c r="D1491" t="s">
        <v>21</v>
      </c>
      <c r="E1491">
        <v>35</v>
      </c>
      <c r="F1491" t="s">
        <v>28</v>
      </c>
      <c r="G1491">
        <v>747.93</v>
      </c>
      <c r="H1491">
        <v>52</v>
      </c>
      <c r="I1491" t="s">
        <v>16</v>
      </c>
      <c r="J1491">
        <v>4.2</v>
      </c>
      <c r="K1491" t="s">
        <v>26</v>
      </c>
      <c r="L1491" t="s">
        <v>18</v>
      </c>
      <c r="M1491" t="str">
        <f>VLOOKUP(D1495,Restaurant_Master!A:B,2,FALSE)</f>
        <v>https://dynamic-media-cdn.tripadvisor.com/media/photo-o/1c/e7/04/0d/front-of-the-local-easily.jpg</v>
      </c>
    </row>
    <row r="1492" spans="1:13" x14ac:dyDescent="0.3">
      <c r="A1492" t="s">
        <v>1522</v>
      </c>
      <c r="B1492" s="1">
        <v>45597</v>
      </c>
      <c r="C1492" t="s">
        <v>34</v>
      </c>
      <c r="D1492" t="s">
        <v>32</v>
      </c>
      <c r="E1492">
        <v>56</v>
      </c>
      <c r="F1492" t="s">
        <v>28</v>
      </c>
      <c r="G1492">
        <v>626.12</v>
      </c>
      <c r="H1492">
        <v>36</v>
      </c>
      <c r="I1492" t="s">
        <v>22</v>
      </c>
      <c r="J1492">
        <v>2.9</v>
      </c>
      <c r="K1492" t="s">
        <v>41</v>
      </c>
      <c r="L1492" t="s">
        <v>23</v>
      </c>
      <c r="M1492" t="str">
        <f>VLOOKUP(D1496,Restaurant_Master!A:B,2,FALSE)</f>
        <v>https://dynamic-media-cdn.tripadvisor.com/media/photo-o/1c/e7/04/0d/front-of-the-local-easily.jpg</v>
      </c>
    </row>
    <row r="1493" spans="1:13" x14ac:dyDescent="0.3">
      <c r="A1493" t="s">
        <v>1523</v>
      </c>
      <c r="B1493" s="1">
        <v>45422</v>
      </c>
      <c r="C1493" t="s">
        <v>43</v>
      </c>
      <c r="D1493" t="s">
        <v>25</v>
      </c>
      <c r="E1493">
        <v>53</v>
      </c>
      <c r="F1493" t="s">
        <v>15</v>
      </c>
      <c r="G1493">
        <v>363.6</v>
      </c>
      <c r="H1493">
        <v>44</v>
      </c>
      <c r="I1493" t="s">
        <v>16</v>
      </c>
      <c r="J1493">
        <v>3.3</v>
      </c>
      <c r="K1493" t="s">
        <v>29</v>
      </c>
      <c r="L1493" t="s">
        <v>18</v>
      </c>
      <c r="M1493" t="str">
        <f>VLOOKUP(D1497,Restaurant_Master!A:B,2,FALSE)</f>
        <v>https://www.chatswoodinterchange.com/storages/2018/08/Sushi-World_666x448.jpg</v>
      </c>
    </row>
    <row r="1494" spans="1:13" x14ac:dyDescent="0.3">
      <c r="A1494" t="s">
        <v>1524</v>
      </c>
      <c r="B1494" s="1">
        <v>45632</v>
      </c>
      <c r="C1494" t="s">
        <v>43</v>
      </c>
      <c r="D1494" t="s">
        <v>14</v>
      </c>
      <c r="E1494">
        <v>36</v>
      </c>
      <c r="F1494" t="s">
        <v>28</v>
      </c>
      <c r="G1494">
        <v>667.25</v>
      </c>
      <c r="H1494">
        <v>36</v>
      </c>
      <c r="I1494" t="s">
        <v>22</v>
      </c>
      <c r="J1494">
        <v>3.4</v>
      </c>
      <c r="K1494" t="s">
        <v>41</v>
      </c>
      <c r="L1494" t="s">
        <v>23</v>
      </c>
      <c r="M1494" t="str">
        <f>VLOOKUP(D1498,Restaurant_Master!A:B,2,FALSE)</f>
        <v>https://content.jdmagicbox.com/comp/deoria/g6/9999p5568.5568.200119143033.m4g6/catalogue/biryani-house-deoria-ho-deoria-mktc2xph0o.jpg</v>
      </c>
    </row>
    <row r="1495" spans="1:13" x14ac:dyDescent="0.3">
      <c r="A1495" t="s">
        <v>1525</v>
      </c>
      <c r="B1495" s="1">
        <v>45473</v>
      </c>
      <c r="C1495" t="s">
        <v>34</v>
      </c>
      <c r="D1495" t="s">
        <v>21</v>
      </c>
      <c r="E1495">
        <v>30</v>
      </c>
      <c r="F1495" t="s">
        <v>15</v>
      </c>
      <c r="G1495">
        <v>1009.31</v>
      </c>
      <c r="H1495">
        <v>59</v>
      </c>
      <c r="I1495" t="s">
        <v>16</v>
      </c>
      <c r="J1495">
        <v>4.9000000000000004</v>
      </c>
      <c r="K1495" t="s">
        <v>26</v>
      </c>
      <c r="L1495" t="s">
        <v>18</v>
      </c>
      <c r="M1495" t="str">
        <f>VLOOKUP(D1499,Restaurant_Master!A:B,2,FALSE)</f>
        <v>https://content.jdmagicbox.com/comp/deoria/g6/9999p5568.5568.200119143033.m4g6/catalogue/biryani-house-deoria-ho-deoria-mktc2xph0o.jpg</v>
      </c>
    </row>
    <row r="1496" spans="1:13" x14ac:dyDescent="0.3">
      <c r="A1496" t="s">
        <v>1526</v>
      </c>
      <c r="B1496" s="1">
        <v>45326</v>
      </c>
      <c r="C1496" t="s">
        <v>13</v>
      </c>
      <c r="D1496" t="s">
        <v>21</v>
      </c>
      <c r="E1496">
        <v>32</v>
      </c>
      <c r="F1496" t="s">
        <v>15</v>
      </c>
      <c r="G1496">
        <v>205.27</v>
      </c>
      <c r="H1496">
        <v>49</v>
      </c>
      <c r="I1496" t="s">
        <v>16</v>
      </c>
      <c r="J1496">
        <v>2.7</v>
      </c>
      <c r="K1496" t="s">
        <v>41</v>
      </c>
      <c r="L1496" t="s">
        <v>23</v>
      </c>
      <c r="M1496" t="str">
        <f>VLOOKUP(D1500,Restaurant_Master!A:B,2,FALSE)</f>
        <v>https://www.chatswoodinterchange.com/storages/2018/08/Sushi-World_666x448.jpg</v>
      </c>
    </row>
    <row r="1497" spans="1:13" x14ac:dyDescent="0.3">
      <c r="A1497" t="s">
        <v>1527</v>
      </c>
      <c r="B1497" s="1">
        <v>45594</v>
      </c>
      <c r="C1497" t="s">
        <v>36</v>
      </c>
      <c r="D1497" t="s">
        <v>38</v>
      </c>
      <c r="E1497">
        <v>44</v>
      </c>
      <c r="F1497" t="s">
        <v>28</v>
      </c>
      <c r="G1497">
        <v>935.13</v>
      </c>
      <c r="H1497">
        <v>35</v>
      </c>
      <c r="I1497" t="s">
        <v>22</v>
      </c>
      <c r="J1497">
        <v>4.4000000000000004</v>
      </c>
      <c r="K1497" t="s">
        <v>26</v>
      </c>
      <c r="L1497" t="s">
        <v>23</v>
      </c>
      <c r="M1497" t="str">
        <f>VLOOKUP(D1501,Restaurant_Master!A:B,2,FALSE)</f>
        <v>https://media-cdn.tripadvisor.com/media/photo-s/1c/c7/97/b6/photo6jpg.jpg</v>
      </c>
    </row>
    <row r="1498" spans="1:13" x14ac:dyDescent="0.3">
      <c r="A1498" t="s">
        <v>1528</v>
      </c>
      <c r="B1498" s="1">
        <v>45300</v>
      </c>
      <c r="C1498" t="s">
        <v>36</v>
      </c>
      <c r="D1498" t="s">
        <v>32</v>
      </c>
      <c r="E1498">
        <v>42</v>
      </c>
      <c r="F1498" t="s">
        <v>15</v>
      </c>
      <c r="G1498">
        <v>967.29</v>
      </c>
      <c r="H1498">
        <v>39</v>
      </c>
      <c r="I1498" t="s">
        <v>22</v>
      </c>
      <c r="J1498">
        <v>4</v>
      </c>
      <c r="K1498" t="s">
        <v>26</v>
      </c>
      <c r="L1498" t="s">
        <v>23</v>
      </c>
      <c r="M1498" t="str">
        <f>VLOOKUP(D1502,Restaurant_Master!A:B,2,FALSE)</f>
        <v>https://dineout-media-assets.swiggy.com/swiggy/image/upload/fl_lossy,f_auto,q_auto/v1660793737/fdqxvxcxg1wtdwvyv45v.jpg</v>
      </c>
    </row>
    <row r="1499" spans="1:13" x14ac:dyDescent="0.3">
      <c r="A1499" t="s">
        <v>1529</v>
      </c>
      <c r="B1499" s="1">
        <v>45519</v>
      </c>
      <c r="C1499" t="s">
        <v>13</v>
      </c>
      <c r="D1499" t="s">
        <v>32</v>
      </c>
      <c r="E1499">
        <v>46</v>
      </c>
      <c r="F1499" t="s">
        <v>15</v>
      </c>
      <c r="G1499">
        <v>885.21</v>
      </c>
      <c r="H1499">
        <v>26</v>
      </c>
      <c r="I1499" t="s">
        <v>22</v>
      </c>
      <c r="J1499">
        <v>4.3</v>
      </c>
      <c r="K1499" t="s">
        <v>17</v>
      </c>
      <c r="L1499" t="s">
        <v>18</v>
      </c>
      <c r="M1499" t="str">
        <f>VLOOKUP(D1503,Restaurant_Master!A:B,2,FALSE)</f>
        <v>https://content.jdmagicbox.com/comp/deoria/g6/9999p5568.5568.200119143033.m4g6/catalogue/biryani-house-deoria-ho-deoria-mktc2xph0o.jpg</v>
      </c>
    </row>
    <row r="1500" spans="1:13" x14ac:dyDescent="0.3">
      <c r="A1500" t="s">
        <v>1530</v>
      </c>
      <c r="B1500" s="1">
        <v>45656</v>
      </c>
      <c r="C1500" t="s">
        <v>43</v>
      </c>
      <c r="D1500" t="s">
        <v>38</v>
      </c>
      <c r="E1500">
        <v>41</v>
      </c>
      <c r="F1500" t="s">
        <v>28</v>
      </c>
      <c r="G1500">
        <v>691.39</v>
      </c>
      <c r="H1500">
        <v>38</v>
      </c>
      <c r="I1500" t="s">
        <v>22</v>
      </c>
      <c r="J1500">
        <v>4.9000000000000004</v>
      </c>
      <c r="K1500" t="s">
        <v>17</v>
      </c>
      <c r="L1500" t="s">
        <v>23</v>
      </c>
      <c r="M1500" t="str">
        <f>VLOOKUP(D1504,Restaurant_Master!A:B,2,FALSE)</f>
        <v>https://dineout-media-assets.swiggy.com/swiggy/image/upload/fl_lossy,f_auto,q_auto/v1660793737/fdqxvxcxg1wtdwvyv45v.jpg</v>
      </c>
    </row>
    <row r="1501" spans="1:13" x14ac:dyDescent="0.3">
      <c r="A1501" t="s">
        <v>1531</v>
      </c>
      <c r="B1501" s="1">
        <v>45574</v>
      </c>
      <c r="C1501" t="s">
        <v>36</v>
      </c>
      <c r="D1501" t="s">
        <v>25</v>
      </c>
      <c r="E1501">
        <v>26</v>
      </c>
      <c r="F1501" t="s">
        <v>15</v>
      </c>
      <c r="G1501">
        <v>987.35</v>
      </c>
      <c r="H1501">
        <v>20</v>
      </c>
      <c r="I1501" t="s">
        <v>22</v>
      </c>
      <c r="J1501">
        <v>3.3</v>
      </c>
      <c r="K1501" t="s">
        <v>41</v>
      </c>
      <c r="L1501" t="s">
        <v>23</v>
      </c>
      <c r="M1501" t="str">
        <f>VLOOKUP(D1505,Restaurant_Master!A:B,2,FALSE)</f>
        <v>https://dynamic-media-cdn.tripadvisor.com/media/photo-o/1c/e7/04/0d/front-of-the-local-easily.jpg</v>
      </c>
    </row>
    <row r="1502" spans="1:13" x14ac:dyDescent="0.3">
      <c r="A1502" t="s">
        <v>1532</v>
      </c>
      <c r="B1502" s="1">
        <v>45412</v>
      </c>
      <c r="C1502" t="s">
        <v>20</v>
      </c>
      <c r="D1502" t="s">
        <v>14</v>
      </c>
      <c r="E1502">
        <v>52</v>
      </c>
      <c r="F1502" t="s">
        <v>28</v>
      </c>
      <c r="G1502">
        <v>1152.1099999999999</v>
      </c>
      <c r="H1502">
        <v>32</v>
      </c>
      <c r="I1502" t="s">
        <v>22</v>
      </c>
      <c r="J1502">
        <v>3.5</v>
      </c>
      <c r="K1502" t="s">
        <v>29</v>
      </c>
      <c r="L1502" t="s">
        <v>23</v>
      </c>
      <c r="M1502" t="str">
        <f>VLOOKUP(D1506,Restaurant_Master!A:B,2,FALSE)</f>
        <v>https://media-cdn.tripadvisor.com/media/photo-s/1c/c7/97/b6/photo6jpg.jpg</v>
      </c>
    </row>
    <row r="1503" spans="1:13" x14ac:dyDescent="0.3">
      <c r="A1503" t="s">
        <v>1533</v>
      </c>
      <c r="B1503" s="1">
        <v>45323</v>
      </c>
      <c r="C1503" t="s">
        <v>20</v>
      </c>
      <c r="D1503" t="s">
        <v>32</v>
      </c>
      <c r="E1503">
        <v>36</v>
      </c>
      <c r="F1503" t="s">
        <v>15</v>
      </c>
      <c r="G1503">
        <v>867.02</v>
      </c>
      <c r="H1503">
        <v>60</v>
      </c>
      <c r="I1503" t="s">
        <v>16</v>
      </c>
      <c r="J1503">
        <v>3.4</v>
      </c>
      <c r="K1503" t="s">
        <v>26</v>
      </c>
      <c r="L1503" t="s">
        <v>23</v>
      </c>
      <c r="M1503" t="str">
        <f>VLOOKUP(D1507,Restaurant_Master!A:B,2,FALSE)</f>
        <v>https://content.jdmagicbox.com/comp/deoria/g6/9999p5568.5568.200119143033.m4g6/catalogue/biryani-house-deoria-ho-deoria-mktc2xph0o.jpg</v>
      </c>
    </row>
    <row r="1504" spans="1:13" x14ac:dyDescent="0.3">
      <c r="A1504" t="s">
        <v>1534</v>
      </c>
      <c r="B1504" s="1">
        <v>45649</v>
      </c>
      <c r="C1504" t="s">
        <v>20</v>
      </c>
      <c r="D1504" t="s">
        <v>14</v>
      </c>
      <c r="E1504">
        <v>27</v>
      </c>
      <c r="F1504" t="s">
        <v>15</v>
      </c>
      <c r="G1504">
        <v>1065.17</v>
      </c>
      <c r="H1504">
        <v>55</v>
      </c>
      <c r="I1504" t="s">
        <v>16</v>
      </c>
      <c r="J1504">
        <v>3.3</v>
      </c>
      <c r="K1504" t="s">
        <v>17</v>
      </c>
      <c r="L1504" t="s">
        <v>23</v>
      </c>
      <c r="M1504" t="str">
        <f>VLOOKUP(D1508,Restaurant_Master!A:B,2,FALSE)</f>
        <v>https://dynamic-media-cdn.tripadvisor.com/media/photo-o/1c/e7/04/0d/front-of-the-local-easily.jpg</v>
      </c>
    </row>
    <row r="1505" spans="1:13" x14ac:dyDescent="0.3">
      <c r="A1505" t="s">
        <v>1535</v>
      </c>
      <c r="B1505" s="1">
        <v>45581</v>
      </c>
      <c r="C1505" t="s">
        <v>20</v>
      </c>
      <c r="D1505" t="s">
        <v>21</v>
      </c>
      <c r="E1505">
        <v>28</v>
      </c>
      <c r="F1505" t="s">
        <v>28</v>
      </c>
      <c r="G1505">
        <v>951.65</v>
      </c>
      <c r="H1505">
        <v>41</v>
      </c>
      <c r="I1505" t="s">
        <v>16</v>
      </c>
      <c r="J1505">
        <v>4.0999999999999996</v>
      </c>
      <c r="K1505" t="s">
        <v>41</v>
      </c>
      <c r="L1505" t="s">
        <v>23</v>
      </c>
      <c r="M1505" t="str">
        <f>VLOOKUP(D1509,Restaurant_Master!A:B,2,FALSE)</f>
        <v>https://media-cdn.tripadvisor.com/media/photo-s/1c/c7/97/b6/photo6jpg.jpg</v>
      </c>
    </row>
    <row r="1506" spans="1:13" x14ac:dyDescent="0.3">
      <c r="A1506" t="s">
        <v>1536</v>
      </c>
      <c r="B1506" s="1">
        <v>45650</v>
      </c>
      <c r="C1506" t="s">
        <v>36</v>
      </c>
      <c r="D1506" t="s">
        <v>25</v>
      </c>
      <c r="E1506">
        <v>27</v>
      </c>
      <c r="F1506" t="s">
        <v>15</v>
      </c>
      <c r="G1506">
        <v>290.91000000000003</v>
      </c>
      <c r="H1506">
        <v>48</v>
      </c>
      <c r="I1506" t="s">
        <v>16</v>
      </c>
      <c r="J1506">
        <v>3.3</v>
      </c>
      <c r="K1506" t="s">
        <v>29</v>
      </c>
      <c r="L1506" t="s">
        <v>23</v>
      </c>
      <c r="M1506" t="str">
        <f>VLOOKUP(D1510,Restaurant_Master!A:B,2,FALSE)</f>
        <v>https://dynamic-media-cdn.tripadvisor.com/media/photo-o/1c/e7/04/0d/front-of-the-local-easily.jpg</v>
      </c>
    </row>
    <row r="1507" spans="1:13" x14ac:dyDescent="0.3">
      <c r="A1507" t="s">
        <v>1537</v>
      </c>
      <c r="B1507" s="1">
        <v>45597</v>
      </c>
      <c r="C1507" t="s">
        <v>20</v>
      </c>
      <c r="D1507" t="s">
        <v>32</v>
      </c>
      <c r="E1507">
        <v>58</v>
      </c>
      <c r="F1507" t="s">
        <v>28</v>
      </c>
      <c r="G1507">
        <v>858.25</v>
      </c>
      <c r="H1507">
        <v>56</v>
      </c>
      <c r="I1507" t="s">
        <v>16</v>
      </c>
      <c r="J1507">
        <v>4.5999999999999996</v>
      </c>
      <c r="K1507" t="s">
        <v>41</v>
      </c>
      <c r="L1507" t="s">
        <v>23</v>
      </c>
      <c r="M1507" t="str">
        <f>VLOOKUP(D1511,Restaurant_Master!A:B,2,FALSE)</f>
        <v>https://www.chatswoodinterchange.com/storages/2018/08/Sushi-World_666x448.jpg</v>
      </c>
    </row>
    <row r="1508" spans="1:13" x14ac:dyDescent="0.3">
      <c r="A1508" t="s">
        <v>1538</v>
      </c>
      <c r="B1508" s="1">
        <v>45320</v>
      </c>
      <c r="C1508" t="s">
        <v>20</v>
      </c>
      <c r="D1508" t="s">
        <v>21</v>
      </c>
      <c r="E1508">
        <v>32</v>
      </c>
      <c r="F1508" t="s">
        <v>28</v>
      </c>
      <c r="G1508">
        <v>1051.27</v>
      </c>
      <c r="H1508">
        <v>60</v>
      </c>
      <c r="I1508" t="s">
        <v>16</v>
      </c>
      <c r="J1508">
        <v>4</v>
      </c>
      <c r="K1508" t="s">
        <v>29</v>
      </c>
      <c r="L1508" t="s">
        <v>18</v>
      </c>
      <c r="M1508" t="str">
        <f>VLOOKUP(D1512,Restaurant_Master!A:B,2,FALSE)</f>
        <v>https://content.jdmagicbox.com/comp/deoria/g6/9999p5568.5568.200119143033.m4g6/catalogue/biryani-house-deoria-ho-deoria-mktc2xph0o.jpg</v>
      </c>
    </row>
    <row r="1509" spans="1:13" x14ac:dyDescent="0.3">
      <c r="A1509" t="s">
        <v>1539</v>
      </c>
      <c r="B1509" s="1">
        <v>45372</v>
      </c>
      <c r="C1509" t="s">
        <v>36</v>
      </c>
      <c r="D1509" t="s">
        <v>25</v>
      </c>
      <c r="E1509">
        <v>30</v>
      </c>
      <c r="F1509" t="s">
        <v>28</v>
      </c>
      <c r="G1509">
        <v>726.66</v>
      </c>
      <c r="H1509">
        <v>36</v>
      </c>
      <c r="I1509" t="s">
        <v>22</v>
      </c>
      <c r="J1509">
        <v>4.5</v>
      </c>
      <c r="K1509" t="s">
        <v>17</v>
      </c>
      <c r="L1509" t="s">
        <v>23</v>
      </c>
      <c r="M1509" t="str">
        <f>VLOOKUP(D1513,Restaurant_Master!A:B,2,FALSE)</f>
        <v>https://media-cdn.tripadvisor.com/media/photo-s/1c/c7/97/b6/photo6jpg.jpg</v>
      </c>
    </row>
    <row r="1510" spans="1:13" x14ac:dyDescent="0.3">
      <c r="A1510" t="s">
        <v>1540</v>
      </c>
      <c r="B1510" s="1">
        <v>45534</v>
      </c>
      <c r="C1510" t="s">
        <v>43</v>
      </c>
      <c r="D1510" t="s">
        <v>21</v>
      </c>
      <c r="E1510">
        <v>18</v>
      </c>
      <c r="F1510" t="s">
        <v>28</v>
      </c>
      <c r="G1510">
        <v>832.89</v>
      </c>
      <c r="H1510">
        <v>26</v>
      </c>
      <c r="I1510" t="s">
        <v>22</v>
      </c>
      <c r="J1510">
        <v>4.9000000000000004</v>
      </c>
      <c r="K1510" t="s">
        <v>41</v>
      </c>
      <c r="L1510" t="s">
        <v>23</v>
      </c>
      <c r="M1510" t="str">
        <f>VLOOKUP(D1514,Restaurant_Master!A:B,2,FALSE)</f>
        <v>https://dineout-media-assets.swiggy.com/swiggy/image/upload/fl_lossy,f_auto,q_auto/v1660793737/fdqxvxcxg1wtdwvyv45v.jpg</v>
      </c>
    </row>
    <row r="1511" spans="1:13" x14ac:dyDescent="0.3">
      <c r="A1511" t="s">
        <v>1541</v>
      </c>
      <c r="B1511" s="1">
        <v>45295</v>
      </c>
      <c r="C1511" t="s">
        <v>36</v>
      </c>
      <c r="D1511" t="s">
        <v>38</v>
      </c>
      <c r="E1511">
        <v>29</v>
      </c>
      <c r="F1511" t="s">
        <v>15</v>
      </c>
      <c r="G1511">
        <v>1197.49</v>
      </c>
      <c r="H1511">
        <v>40</v>
      </c>
      <c r="I1511" t="s">
        <v>22</v>
      </c>
      <c r="J1511">
        <v>4</v>
      </c>
      <c r="K1511" t="s">
        <v>26</v>
      </c>
      <c r="L1511" t="s">
        <v>18</v>
      </c>
      <c r="M1511" t="str">
        <f>VLOOKUP(D1515,Restaurant_Master!A:B,2,FALSE)</f>
        <v>https://www.chatswoodinterchange.com/storages/2018/08/Sushi-World_666x448.jpg</v>
      </c>
    </row>
    <row r="1512" spans="1:13" x14ac:dyDescent="0.3">
      <c r="A1512" t="s">
        <v>1542</v>
      </c>
      <c r="B1512" s="1">
        <v>45408</v>
      </c>
      <c r="C1512" t="s">
        <v>13</v>
      </c>
      <c r="D1512" t="s">
        <v>32</v>
      </c>
      <c r="E1512">
        <v>30</v>
      </c>
      <c r="F1512" t="s">
        <v>28</v>
      </c>
      <c r="G1512">
        <v>412.37</v>
      </c>
      <c r="H1512">
        <v>53</v>
      </c>
      <c r="I1512" t="s">
        <v>16</v>
      </c>
      <c r="J1512">
        <v>4.8</v>
      </c>
      <c r="K1512" t="s">
        <v>26</v>
      </c>
      <c r="L1512" t="s">
        <v>18</v>
      </c>
      <c r="M1512" t="str">
        <f>VLOOKUP(D1516,Restaurant_Master!A:B,2,FALSE)</f>
        <v>https://dineout-media-assets.swiggy.com/swiggy/image/upload/fl_lossy,f_auto,q_auto/v1660793737/fdqxvxcxg1wtdwvyv45v.jpg</v>
      </c>
    </row>
    <row r="1513" spans="1:13" x14ac:dyDescent="0.3">
      <c r="A1513" t="s">
        <v>1543</v>
      </c>
      <c r="B1513" s="1">
        <v>45609</v>
      </c>
      <c r="C1513" t="s">
        <v>36</v>
      </c>
      <c r="D1513" t="s">
        <v>25</v>
      </c>
      <c r="E1513">
        <v>39</v>
      </c>
      <c r="F1513" t="s">
        <v>28</v>
      </c>
      <c r="G1513">
        <v>259.69</v>
      </c>
      <c r="H1513">
        <v>20</v>
      </c>
      <c r="I1513" t="s">
        <v>22</v>
      </c>
      <c r="J1513">
        <v>2.7</v>
      </c>
      <c r="K1513" t="s">
        <v>29</v>
      </c>
      <c r="L1513" t="s">
        <v>23</v>
      </c>
      <c r="M1513" t="str">
        <f>VLOOKUP(D1517,Restaurant_Master!A:B,2,FALSE)</f>
        <v>https://dynamic-media-cdn.tripadvisor.com/media/photo-o/1c/e7/04/0d/front-of-the-local-easily.jpg</v>
      </c>
    </row>
    <row r="1514" spans="1:13" x14ac:dyDescent="0.3">
      <c r="A1514" t="s">
        <v>1544</v>
      </c>
      <c r="B1514" s="1">
        <v>45453</v>
      </c>
      <c r="C1514" t="s">
        <v>43</v>
      </c>
      <c r="D1514" t="s">
        <v>14</v>
      </c>
      <c r="E1514">
        <v>26</v>
      </c>
      <c r="F1514" t="s">
        <v>28</v>
      </c>
      <c r="G1514">
        <v>760.08</v>
      </c>
      <c r="H1514">
        <v>40</v>
      </c>
      <c r="I1514" t="s">
        <v>22</v>
      </c>
      <c r="J1514">
        <v>3.1</v>
      </c>
      <c r="K1514" t="s">
        <v>17</v>
      </c>
      <c r="L1514" t="s">
        <v>18</v>
      </c>
      <c r="M1514" t="str">
        <f>VLOOKUP(D1518,Restaurant_Master!A:B,2,FALSE)</f>
        <v>https://dineout-media-assets.swiggy.com/swiggy/image/upload/fl_lossy,f_auto,q_auto/v1660793737/fdqxvxcxg1wtdwvyv45v.jpg</v>
      </c>
    </row>
    <row r="1515" spans="1:13" x14ac:dyDescent="0.3">
      <c r="A1515" t="s">
        <v>1545</v>
      </c>
      <c r="B1515" s="1">
        <v>45312</v>
      </c>
      <c r="C1515" t="s">
        <v>20</v>
      </c>
      <c r="D1515" t="s">
        <v>38</v>
      </c>
      <c r="E1515">
        <v>45</v>
      </c>
      <c r="F1515" t="s">
        <v>28</v>
      </c>
      <c r="G1515">
        <v>733.57</v>
      </c>
      <c r="H1515">
        <v>20</v>
      </c>
      <c r="I1515" t="s">
        <v>22</v>
      </c>
      <c r="J1515">
        <v>3.7</v>
      </c>
      <c r="K1515" t="s">
        <v>29</v>
      </c>
      <c r="L1515" t="s">
        <v>23</v>
      </c>
      <c r="M1515" t="str">
        <f>VLOOKUP(D1519,Restaurant_Master!A:B,2,FALSE)</f>
        <v>https://media-cdn.tripadvisor.com/media/photo-s/1c/c7/97/b6/photo6jpg.jpg</v>
      </c>
    </row>
    <row r="1516" spans="1:13" x14ac:dyDescent="0.3">
      <c r="A1516" t="s">
        <v>1546</v>
      </c>
      <c r="B1516" s="1">
        <v>45547</v>
      </c>
      <c r="C1516" t="s">
        <v>13</v>
      </c>
      <c r="D1516" t="s">
        <v>14</v>
      </c>
      <c r="E1516">
        <v>58</v>
      </c>
      <c r="F1516" t="s">
        <v>15</v>
      </c>
      <c r="G1516">
        <v>416.89</v>
      </c>
      <c r="H1516">
        <v>60</v>
      </c>
      <c r="I1516" t="s">
        <v>16</v>
      </c>
      <c r="J1516">
        <v>4.5</v>
      </c>
      <c r="K1516" t="s">
        <v>26</v>
      </c>
      <c r="L1516" t="s">
        <v>18</v>
      </c>
      <c r="M1516" t="str">
        <f>VLOOKUP(D1520,Restaurant_Master!A:B,2,FALSE)</f>
        <v>https://content.jdmagicbox.com/comp/deoria/g6/9999p5568.5568.200119143033.m4g6/catalogue/biryani-house-deoria-ho-deoria-mktc2xph0o.jpg</v>
      </c>
    </row>
    <row r="1517" spans="1:13" x14ac:dyDescent="0.3">
      <c r="A1517" t="s">
        <v>1547</v>
      </c>
      <c r="B1517" s="1">
        <v>45420</v>
      </c>
      <c r="C1517" t="s">
        <v>36</v>
      </c>
      <c r="D1517" t="s">
        <v>21</v>
      </c>
      <c r="E1517">
        <v>18</v>
      </c>
      <c r="F1517" t="s">
        <v>28</v>
      </c>
      <c r="G1517">
        <v>1129.8</v>
      </c>
      <c r="H1517">
        <v>43</v>
      </c>
      <c r="I1517" t="s">
        <v>16</v>
      </c>
      <c r="J1517">
        <v>3.2</v>
      </c>
      <c r="K1517" t="s">
        <v>26</v>
      </c>
      <c r="L1517" t="s">
        <v>18</v>
      </c>
      <c r="M1517" t="str">
        <f>VLOOKUP(D1521,Restaurant_Master!A:B,2,FALSE)</f>
        <v>https://content.jdmagicbox.com/comp/deoria/g6/9999p5568.5568.200119143033.m4g6/catalogue/biryani-house-deoria-ho-deoria-mktc2xph0o.jpg</v>
      </c>
    </row>
    <row r="1518" spans="1:13" x14ac:dyDescent="0.3">
      <c r="A1518" t="s">
        <v>1548</v>
      </c>
      <c r="B1518" s="1">
        <v>45386</v>
      </c>
      <c r="C1518" t="s">
        <v>34</v>
      </c>
      <c r="D1518" t="s">
        <v>14</v>
      </c>
      <c r="E1518">
        <v>39</v>
      </c>
      <c r="F1518" t="s">
        <v>15</v>
      </c>
      <c r="G1518">
        <v>1041.9100000000001</v>
      </c>
      <c r="H1518">
        <v>41</v>
      </c>
      <c r="I1518" t="s">
        <v>16</v>
      </c>
      <c r="J1518">
        <v>4.9000000000000004</v>
      </c>
      <c r="K1518" t="s">
        <v>26</v>
      </c>
      <c r="L1518" t="s">
        <v>18</v>
      </c>
      <c r="M1518" t="str">
        <f>VLOOKUP(D1522,Restaurant_Master!A:B,2,FALSE)</f>
        <v>https://media-cdn.tripadvisor.com/media/photo-s/1c/c7/97/b6/photo6jpg.jpg</v>
      </c>
    </row>
    <row r="1519" spans="1:13" x14ac:dyDescent="0.3">
      <c r="A1519" t="s">
        <v>1549</v>
      </c>
      <c r="B1519" s="1">
        <v>45454</v>
      </c>
      <c r="C1519" t="s">
        <v>13</v>
      </c>
      <c r="D1519" t="s">
        <v>25</v>
      </c>
      <c r="E1519">
        <v>36</v>
      </c>
      <c r="F1519" t="s">
        <v>15</v>
      </c>
      <c r="G1519">
        <v>664.54</v>
      </c>
      <c r="H1519">
        <v>42</v>
      </c>
      <c r="I1519" t="s">
        <v>16</v>
      </c>
      <c r="J1519">
        <v>4.8</v>
      </c>
      <c r="K1519" t="s">
        <v>17</v>
      </c>
      <c r="L1519" t="s">
        <v>18</v>
      </c>
      <c r="M1519" t="str">
        <f>VLOOKUP(D1523,Restaurant_Master!A:B,2,FALSE)</f>
        <v>https://dynamic-media-cdn.tripadvisor.com/media/photo-o/1c/e7/04/0d/front-of-the-local-easily.jpg</v>
      </c>
    </row>
    <row r="1520" spans="1:13" x14ac:dyDescent="0.3">
      <c r="A1520" t="s">
        <v>1550</v>
      </c>
      <c r="B1520" s="1">
        <v>45524</v>
      </c>
      <c r="C1520" t="s">
        <v>36</v>
      </c>
      <c r="D1520" t="s">
        <v>32</v>
      </c>
      <c r="E1520">
        <v>39</v>
      </c>
      <c r="F1520" t="s">
        <v>28</v>
      </c>
      <c r="G1520">
        <v>318.31</v>
      </c>
      <c r="H1520">
        <v>52</v>
      </c>
      <c r="I1520" t="s">
        <v>16</v>
      </c>
      <c r="J1520">
        <v>4.0999999999999996</v>
      </c>
      <c r="K1520" t="s">
        <v>26</v>
      </c>
      <c r="L1520" t="s">
        <v>23</v>
      </c>
      <c r="M1520" t="str">
        <f>VLOOKUP(D1524,Restaurant_Master!A:B,2,FALSE)</f>
        <v>https://media-cdn.tripadvisor.com/media/photo-s/1c/c7/97/b6/photo6jpg.jpg</v>
      </c>
    </row>
    <row r="1521" spans="1:13" x14ac:dyDescent="0.3">
      <c r="A1521" t="s">
        <v>1551</v>
      </c>
      <c r="B1521" s="1">
        <v>45373</v>
      </c>
      <c r="C1521" t="s">
        <v>43</v>
      </c>
      <c r="D1521" t="s">
        <v>32</v>
      </c>
      <c r="E1521">
        <v>41</v>
      </c>
      <c r="F1521" t="s">
        <v>28</v>
      </c>
      <c r="G1521">
        <v>844.7</v>
      </c>
      <c r="H1521">
        <v>55</v>
      </c>
      <c r="I1521" t="s">
        <v>16</v>
      </c>
      <c r="J1521">
        <v>4.2</v>
      </c>
      <c r="K1521" t="s">
        <v>29</v>
      </c>
      <c r="L1521" t="s">
        <v>23</v>
      </c>
      <c r="M1521" t="str">
        <f>VLOOKUP(D1525,Restaurant_Master!A:B,2,FALSE)</f>
        <v>https://media-cdn.tripadvisor.com/media/photo-s/1c/c7/97/b6/photo6jpg.jpg</v>
      </c>
    </row>
    <row r="1522" spans="1:13" x14ac:dyDescent="0.3">
      <c r="A1522" t="s">
        <v>1552</v>
      </c>
      <c r="B1522" s="1">
        <v>45406</v>
      </c>
      <c r="C1522" t="s">
        <v>20</v>
      </c>
      <c r="D1522" t="s">
        <v>25</v>
      </c>
      <c r="E1522">
        <v>33</v>
      </c>
      <c r="F1522" t="s">
        <v>15</v>
      </c>
      <c r="G1522">
        <v>160.33000000000001</v>
      </c>
      <c r="H1522">
        <v>42</v>
      </c>
      <c r="I1522" t="s">
        <v>16</v>
      </c>
      <c r="J1522">
        <v>2.9</v>
      </c>
      <c r="K1522" t="s">
        <v>29</v>
      </c>
      <c r="L1522" t="s">
        <v>18</v>
      </c>
      <c r="M1522" t="str">
        <f>VLOOKUP(D1526,Restaurant_Master!A:B,2,FALSE)</f>
        <v>https://dynamic-media-cdn.tripadvisor.com/media/photo-o/1c/e7/04/0d/front-of-the-local-easily.jpg</v>
      </c>
    </row>
    <row r="1523" spans="1:13" x14ac:dyDescent="0.3">
      <c r="A1523" t="s">
        <v>1553</v>
      </c>
      <c r="B1523" s="1">
        <v>45292</v>
      </c>
      <c r="C1523" t="s">
        <v>34</v>
      </c>
      <c r="D1523" t="s">
        <v>21</v>
      </c>
      <c r="E1523">
        <v>37</v>
      </c>
      <c r="F1523" t="s">
        <v>15</v>
      </c>
      <c r="G1523">
        <v>551.69000000000005</v>
      </c>
      <c r="H1523">
        <v>29</v>
      </c>
      <c r="I1523" t="s">
        <v>22</v>
      </c>
      <c r="J1523">
        <v>3.4</v>
      </c>
      <c r="K1523" t="s">
        <v>26</v>
      </c>
      <c r="L1523" t="s">
        <v>18</v>
      </c>
      <c r="M1523" t="str">
        <f>VLOOKUP(D1527,Restaurant_Master!A:B,2,FALSE)</f>
        <v>https://dynamic-media-cdn.tripadvisor.com/media/photo-o/1c/e7/04/0d/front-of-the-local-easily.jpg</v>
      </c>
    </row>
    <row r="1524" spans="1:13" x14ac:dyDescent="0.3">
      <c r="A1524" t="s">
        <v>1554</v>
      </c>
      <c r="B1524" s="1">
        <v>45394</v>
      </c>
      <c r="C1524" t="s">
        <v>36</v>
      </c>
      <c r="D1524" t="s">
        <v>25</v>
      </c>
      <c r="E1524">
        <v>35</v>
      </c>
      <c r="F1524" t="s">
        <v>15</v>
      </c>
      <c r="G1524">
        <v>1055.47</v>
      </c>
      <c r="H1524">
        <v>58</v>
      </c>
      <c r="I1524" t="s">
        <v>16</v>
      </c>
      <c r="J1524">
        <v>2.7</v>
      </c>
      <c r="K1524" t="s">
        <v>26</v>
      </c>
      <c r="L1524" t="s">
        <v>23</v>
      </c>
      <c r="M1524" t="str">
        <f>VLOOKUP(D1528,Restaurant_Master!A:B,2,FALSE)</f>
        <v>https://dynamic-media-cdn.tripadvisor.com/media/photo-o/1c/e7/04/0d/front-of-the-local-easily.jpg</v>
      </c>
    </row>
    <row r="1525" spans="1:13" x14ac:dyDescent="0.3">
      <c r="A1525" t="s">
        <v>1555</v>
      </c>
      <c r="B1525" s="1">
        <v>45566</v>
      </c>
      <c r="C1525" t="s">
        <v>20</v>
      </c>
      <c r="D1525" t="s">
        <v>25</v>
      </c>
      <c r="E1525">
        <v>33</v>
      </c>
      <c r="F1525" t="s">
        <v>15</v>
      </c>
      <c r="G1525">
        <v>297.52999999999997</v>
      </c>
      <c r="H1525">
        <v>22</v>
      </c>
      <c r="I1525" t="s">
        <v>22</v>
      </c>
      <c r="J1525">
        <v>4.4000000000000004</v>
      </c>
      <c r="K1525" t="s">
        <v>17</v>
      </c>
      <c r="L1525" t="s">
        <v>23</v>
      </c>
      <c r="M1525" t="str">
        <f>VLOOKUP(D1529,Restaurant_Master!A:B,2,FALSE)</f>
        <v>https://dineout-media-assets.swiggy.com/swiggy/image/upload/fl_lossy,f_auto,q_auto/v1660793737/fdqxvxcxg1wtdwvyv45v.jpg</v>
      </c>
    </row>
    <row r="1526" spans="1:13" x14ac:dyDescent="0.3">
      <c r="A1526" t="s">
        <v>1556</v>
      </c>
      <c r="B1526" s="1">
        <v>45453</v>
      </c>
      <c r="C1526" t="s">
        <v>36</v>
      </c>
      <c r="D1526" t="s">
        <v>21</v>
      </c>
      <c r="E1526">
        <v>48</v>
      </c>
      <c r="F1526" t="s">
        <v>28</v>
      </c>
      <c r="G1526">
        <v>1185.78</v>
      </c>
      <c r="H1526">
        <v>52</v>
      </c>
      <c r="I1526" t="s">
        <v>16</v>
      </c>
      <c r="J1526">
        <v>3.7</v>
      </c>
      <c r="K1526" t="s">
        <v>17</v>
      </c>
      <c r="L1526" t="s">
        <v>18</v>
      </c>
      <c r="M1526" t="str">
        <f>VLOOKUP(D1530,Restaurant_Master!A:B,2,FALSE)</f>
        <v>https://media-cdn.tripadvisor.com/media/photo-s/1c/c7/97/b6/photo6jpg.jpg</v>
      </c>
    </row>
    <row r="1527" spans="1:13" x14ac:dyDescent="0.3">
      <c r="A1527" t="s">
        <v>1557</v>
      </c>
      <c r="B1527" s="1">
        <v>45399</v>
      </c>
      <c r="C1527" t="s">
        <v>20</v>
      </c>
      <c r="D1527" t="s">
        <v>21</v>
      </c>
      <c r="E1527">
        <v>27</v>
      </c>
      <c r="F1527" t="s">
        <v>15</v>
      </c>
      <c r="G1527">
        <v>890.47</v>
      </c>
      <c r="H1527">
        <v>32</v>
      </c>
      <c r="I1527" t="s">
        <v>22</v>
      </c>
      <c r="J1527">
        <v>3.8</v>
      </c>
      <c r="K1527" t="s">
        <v>29</v>
      </c>
      <c r="L1527" t="s">
        <v>23</v>
      </c>
      <c r="M1527" t="str">
        <f>VLOOKUP(D1531,Restaurant_Master!A:B,2,FALSE)</f>
        <v>https://media-cdn.tripadvisor.com/media/photo-s/1c/c7/97/b6/photo6jpg.jpg</v>
      </c>
    </row>
    <row r="1528" spans="1:13" x14ac:dyDescent="0.3">
      <c r="A1528" t="s">
        <v>1558</v>
      </c>
      <c r="B1528" s="1">
        <v>45418</v>
      </c>
      <c r="C1528" t="s">
        <v>20</v>
      </c>
      <c r="D1528" t="s">
        <v>21</v>
      </c>
      <c r="E1528">
        <v>42</v>
      </c>
      <c r="F1528" t="s">
        <v>15</v>
      </c>
      <c r="G1528">
        <v>561.5</v>
      </c>
      <c r="H1528">
        <v>43</v>
      </c>
      <c r="I1528" t="s">
        <v>16</v>
      </c>
      <c r="J1528">
        <v>4.3</v>
      </c>
      <c r="K1528" t="s">
        <v>26</v>
      </c>
      <c r="L1528" t="s">
        <v>23</v>
      </c>
      <c r="M1528" t="str">
        <f>VLOOKUP(D1532,Restaurant_Master!A:B,2,FALSE)</f>
        <v>https://content.jdmagicbox.com/comp/deoria/g6/9999p5568.5568.200119143033.m4g6/catalogue/biryani-house-deoria-ho-deoria-mktc2xph0o.jpg</v>
      </c>
    </row>
    <row r="1529" spans="1:13" x14ac:dyDescent="0.3">
      <c r="A1529" t="s">
        <v>1559</v>
      </c>
      <c r="B1529" s="1">
        <v>45305</v>
      </c>
      <c r="C1529" t="s">
        <v>43</v>
      </c>
      <c r="D1529" t="s">
        <v>14</v>
      </c>
      <c r="E1529">
        <v>54</v>
      </c>
      <c r="F1529" t="s">
        <v>28</v>
      </c>
      <c r="G1529">
        <v>1020.47</v>
      </c>
      <c r="H1529">
        <v>34</v>
      </c>
      <c r="I1529" t="s">
        <v>22</v>
      </c>
      <c r="J1529">
        <v>3.8</v>
      </c>
      <c r="K1529" t="s">
        <v>17</v>
      </c>
      <c r="L1529" t="s">
        <v>18</v>
      </c>
      <c r="M1529" t="str">
        <f>VLOOKUP(D1533,Restaurant_Master!A:B,2,FALSE)</f>
        <v>https://dineout-media-assets.swiggy.com/swiggy/image/upload/fl_lossy,f_auto,q_auto/v1660793737/fdqxvxcxg1wtdwvyv45v.jpg</v>
      </c>
    </row>
    <row r="1530" spans="1:13" x14ac:dyDescent="0.3">
      <c r="A1530" t="s">
        <v>1560</v>
      </c>
      <c r="B1530" s="1">
        <v>45563</v>
      </c>
      <c r="C1530" t="s">
        <v>13</v>
      </c>
      <c r="D1530" t="s">
        <v>25</v>
      </c>
      <c r="E1530">
        <v>33</v>
      </c>
      <c r="F1530" t="s">
        <v>28</v>
      </c>
      <c r="G1530">
        <v>838.04</v>
      </c>
      <c r="H1530">
        <v>41</v>
      </c>
      <c r="I1530" t="s">
        <v>16</v>
      </c>
      <c r="J1530">
        <v>3.6</v>
      </c>
      <c r="K1530" t="s">
        <v>29</v>
      </c>
      <c r="L1530" t="s">
        <v>23</v>
      </c>
      <c r="M1530" t="str">
        <f>VLOOKUP(D1534,Restaurant_Master!A:B,2,FALSE)</f>
        <v>https://www.chatswoodinterchange.com/storages/2018/08/Sushi-World_666x448.jpg</v>
      </c>
    </row>
    <row r="1531" spans="1:13" x14ac:dyDescent="0.3">
      <c r="A1531" t="s">
        <v>1561</v>
      </c>
      <c r="B1531" s="1">
        <v>45321</v>
      </c>
      <c r="C1531" t="s">
        <v>13</v>
      </c>
      <c r="D1531" t="s">
        <v>25</v>
      </c>
      <c r="E1531">
        <v>18</v>
      </c>
      <c r="F1531" t="s">
        <v>28</v>
      </c>
      <c r="G1531">
        <v>294.79000000000002</v>
      </c>
      <c r="H1531">
        <v>39</v>
      </c>
      <c r="I1531" t="s">
        <v>22</v>
      </c>
      <c r="J1531">
        <v>4.2</v>
      </c>
      <c r="K1531" t="s">
        <v>41</v>
      </c>
      <c r="L1531" t="s">
        <v>23</v>
      </c>
      <c r="M1531" t="str">
        <f>VLOOKUP(D1535,Restaurant_Master!A:B,2,FALSE)</f>
        <v>https://content.jdmagicbox.com/comp/deoria/g6/9999p5568.5568.200119143033.m4g6/catalogue/biryani-house-deoria-ho-deoria-mktc2xph0o.jpg</v>
      </c>
    </row>
    <row r="1532" spans="1:13" x14ac:dyDescent="0.3">
      <c r="A1532" t="s">
        <v>1562</v>
      </c>
      <c r="B1532" s="1">
        <v>45426</v>
      </c>
      <c r="C1532" t="s">
        <v>34</v>
      </c>
      <c r="D1532" t="s">
        <v>32</v>
      </c>
      <c r="E1532">
        <v>29</v>
      </c>
      <c r="F1532" t="s">
        <v>28</v>
      </c>
      <c r="G1532">
        <v>955.4</v>
      </c>
      <c r="H1532">
        <v>47</v>
      </c>
      <c r="I1532" t="s">
        <v>16</v>
      </c>
      <c r="J1532">
        <v>4.2</v>
      </c>
      <c r="K1532" t="s">
        <v>17</v>
      </c>
      <c r="L1532" t="s">
        <v>18</v>
      </c>
      <c r="M1532" t="str">
        <f>VLOOKUP(D1536,Restaurant_Master!A:B,2,FALSE)</f>
        <v>https://dineout-media-assets.swiggy.com/swiggy/image/upload/fl_lossy,f_auto,q_auto/v1660793737/fdqxvxcxg1wtdwvyv45v.jpg</v>
      </c>
    </row>
    <row r="1533" spans="1:13" x14ac:dyDescent="0.3">
      <c r="A1533" t="s">
        <v>1563</v>
      </c>
      <c r="B1533" s="1">
        <v>45610</v>
      </c>
      <c r="C1533" t="s">
        <v>34</v>
      </c>
      <c r="D1533" t="s">
        <v>14</v>
      </c>
      <c r="E1533">
        <v>39</v>
      </c>
      <c r="F1533" t="s">
        <v>28</v>
      </c>
      <c r="G1533">
        <v>255.21</v>
      </c>
      <c r="H1533">
        <v>44</v>
      </c>
      <c r="I1533" t="s">
        <v>16</v>
      </c>
      <c r="J1533">
        <v>3.5</v>
      </c>
      <c r="K1533" t="s">
        <v>26</v>
      </c>
      <c r="L1533" t="s">
        <v>23</v>
      </c>
      <c r="M1533" t="str">
        <f>VLOOKUP(D1537,Restaurant_Master!A:B,2,FALSE)</f>
        <v>https://dineout-media-assets.swiggy.com/swiggy/image/upload/fl_lossy,f_auto,q_auto/v1660793737/fdqxvxcxg1wtdwvyv45v.jpg</v>
      </c>
    </row>
    <row r="1534" spans="1:13" x14ac:dyDescent="0.3">
      <c r="A1534" t="s">
        <v>1564</v>
      </c>
      <c r="B1534" s="1">
        <v>45650</v>
      </c>
      <c r="C1534" t="s">
        <v>43</v>
      </c>
      <c r="D1534" t="s">
        <v>38</v>
      </c>
      <c r="E1534">
        <v>35</v>
      </c>
      <c r="F1534" t="s">
        <v>28</v>
      </c>
      <c r="G1534">
        <v>229.14</v>
      </c>
      <c r="H1534">
        <v>24</v>
      </c>
      <c r="I1534" t="s">
        <v>22</v>
      </c>
      <c r="J1534">
        <v>3</v>
      </c>
      <c r="K1534" t="s">
        <v>17</v>
      </c>
      <c r="L1534" t="s">
        <v>23</v>
      </c>
      <c r="M1534" t="str">
        <f>VLOOKUP(D1538,Restaurant_Master!A:B,2,FALSE)</f>
        <v>https://dynamic-media-cdn.tripadvisor.com/media/photo-o/1c/e7/04/0d/front-of-the-local-easily.jpg</v>
      </c>
    </row>
    <row r="1535" spans="1:13" x14ac:dyDescent="0.3">
      <c r="A1535" t="s">
        <v>1565</v>
      </c>
      <c r="B1535" s="1">
        <v>45426</v>
      </c>
      <c r="C1535" t="s">
        <v>43</v>
      </c>
      <c r="D1535" t="s">
        <v>32</v>
      </c>
      <c r="E1535">
        <v>20</v>
      </c>
      <c r="F1535" t="s">
        <v>28</v>
      </c>
      <c r="G1535">
        <v>391.69</v>
      </c>
      <c r="H1535">
        <v>50</v>
      </c>
      <c r="I1535" t="s">
        <v>16</v>
      </c>
      <c r="J1535">
        <v>4.3</v>
      </c>
      <c r="K1535" t="s">
        <v>17</v>
      </c>
      <c r="L1535" t="s">
        <v>23</v>
      </c>
      <c r="M1535" t="str">
        <f>VLOOKUP(D1539,Restaurant_Master!A:B,2,FALSE)</f>
        <v>https://content.jdmagicbox.com/comp/deoria/g6/9999p5568.5568.200119143033.m4g6/catalogue/biryani-house-deoria-ho-deoria-mktc2xph0o.jpg</v>
      </c>
    </row>
    <row r="1536" spans="1:13" x14ac:dyDescent="0.3">
      <c r="A1536" t="s">
        <v>1566</v>
      </c>
      <c r="B1536" s="1">
        <v>45429</v>
      </c>
      <c r="C1536" t="s">
        <v>20</v>
      </c>
      <c r="D1536" t="s">
        <v>14</v>
      </c>
      <c r="E1536">
        <v>45</v>
      </c>
      <c r="F1536" t="s">
        <v>28</v>
      </c>
      <c r="G1536">
        <v>589.08000000000004</v>
      </c>
      <c r="H1536">
        <v>37</v>
      </c>
      <c r="I1536" t="s">
        <v>22</v>
      </c>
      <c r="J1536">
        <v>3.3</v>
      </c>
      <c r="K1536" t="s">
        <v>26</v>
      </c>
      <c r="L1536" t="s">
        <v>23</v>
      </c>
      <c r="M1536" t="str">
        <f>VLOOKUP(D1540,Restaurant_Master!A:B,2,FALSE)</f>
        <v>https://dineout-media-assets.swiggy.com/swiggy/image/upload/fl_lossy,f_auto,q_auto/v1660793737/fdqxvxcxg1wtdwvyv45v.jpg</v>
      </c>
    </row>
    <row r="1537" spans="1:13" x14ac:dyDescent="0.3">
      <c r="A1537" t="s">
        <v>1567</v>
      </c>
      <c r="B1537" s="1">
        <v>45621</v>
      </c>
      <c r="C1537" t="s">
        <v>13</v>
      </c>
      <c r="D1537" t="s">
        <v>14</v>
      </c>
      <c r="E1537">
        <v>37</v>
      </c>
      <c r="F1537" t="s">
        <v>28</v>
      </c>
      <c r="G1537">
        <v>185.86</v>
      </c>
      <c r="H1537">
        <v>28</v>
      </c>
      <c r="I1537" t="s">
        <v>22</v>
      </c>
      <c r="J1537">
        <v>4.3</v>
      </c>
      <c r="K1537" t="s">
        <v>41</v>
      </c>
      <c r="L1537" t="s">
        <v>23</v>
      </c>
      <c r="M1537" t="str">
        <f>VLOOKUP(D1541,Restaurant_Master!A:B,2,FALSE)</f>
        <v>https://dineout-media-assets.swiggy.com/swiggy/image/upload/fl_lossy,f_auto,q_auto/v1660793737/fdqxvxcxg1wtdwvyv45v.jpg</v>
      </c>
    </row>
    <row r="1538" spans="1:13" x14ac:dyDescent="0.3">
      <c r="A1538" t="s">
        <v>1568</v>
      </c>
      <c r="B1538" s="1">
        <v>45441</v>
      </c>
      <c r="C1538" t="s">
        <v>36</v>
      </c>
      <c r="D1538" t="s">
        <v>21</v>
      </c>
      <c r="E1538">
        <v>55</v>
      </c>
      <c r="F1538" t="s">
        <v>15</v>
      </c>
      <c r="G1538">
        <v>801.65</v>
      </c>
      <c r="H1538">
        <v>30</v>
      </c>
      <c r="I1538" t="s">
        <v>22</v>
      </c>
      <c r="J1538">
        <v>4.4000000000000004</v>
      </c>
      <c r="K1538" t="s">
        <v>41</v>
      </c>
      <c r="L1538" t="s">
        <v>18</v>
      </c>
      <c r="M1538" t="str">
        <f>VLOOKUP(D1542,Restaurant_Master!A:B,2,FALSE)</f>
        <v>https://dynamic-media-cdn.tripadvisor.com/media/photo-o/1c/e7/04/0d/front-of-the-local-easily.jpg</v>
      </c>
    </row>
    <row r="1539" spans="1:13" x14ac:dyDescent="0.3">
      <c r="A1539" t="s">
        <v>1569</v>
      </c>
      <c r="B1539" s="1">
        <v>45636</v>
      </c>
      <c r="C1539" t="s">
        <v>20</v>
      </c>
      <c r="D1539" t="s">
        <v>32</v>
      </c>
      <c r="E1539">
        <v>21</v>
      </c>
      <c r="F1539" t="s">
        <v>28</v>
      </c>
      <c r="G1539">
        <v>1165.75</v>
      </c>
      <c r="H1539">
        <v>25</v>
      </c>
      <c r="I1539" t="s">
        <v>22</v>
      </c>
      <c r="J1539">
        <v>3.5</v>
      </c>
      <c r="K1539" t="s">
        <v>26</v>
      </c>
      <c r="L1539" t="s">
        <v>23</v>
      </c>
      <c r="M1539" t="str">
        <f>VLOOKUP(D1543,Restaurant_Master!A:B,2,FALSE)</f>
        <v>https://www.chatswoodinterchange.com/storages/2018/08/Sushi-World_666x448.jpg</v>
      </c>
    </row>
    <row r="1540" spans="1:13" x14ac:dyDescent="0.3">
      <c r="A1540" t="s">
        <v>1570</v>
      </c>
      <c r="B1540" s="1">
        <v>45434</v>
      </c>
      <c r="C1540" t="s">
        <v>43</v>
      </c>
      <c r="D1540" t="s">
        <v>14</v>
      </c>
      <c r="E1540">
        <v>23</v>
      </c>
      <c r="F1540" t="s">
        <v>28</v>
      </c>
      <c r="G1540">
        <v>630.49</v>
      </c>
      <c r="H1540">
        <v>57</v>
      </c>
      <c r="I1540" t="s">
        <v>16</v>
      </c>
      <c r="J1540">
        <v>3</v>
      </c>
      <c r="K1540" t="s">
        <v>17</v>
      </c>
      <c r="L1540" t="s">
        <v>23</v>
      </c>
      <c r="M1540" t="str">
        <f>VLOOKUP(D1544,Restaurant_Master!A:B,2,FALSE)</f>
        <v>https://dineout-media-assets.swiggy.com/swiggy/image/upload/fl_lossy,f_auto,q_auto/v1660793737/fdqxvxcxg1wtdwvyv45v.jpg</v>
      </c>
    </row>
    <row r="1541" spans="1:13" x14ac:dyDescent="0.3">
      <c r="A1541" t="s">
        <v>1571</v>
      </c>
      <c r="B1541" s="1">
        <v>45582</v>
      </c>
      <c r="C1541" t="s">
        <v>20</v>
      </c>
      <c r="D1541" t="s">
        <v>14</v>
      </c>
      <c r="E1541">
        <v>39</v>
      </c>
      <c r="F1541" t="s">
        <v>28</v>
      </c>
      <c r="G1541">
        <v>261.97000000000003</v>
      </c>
      <c r="H1541">
        <v>43</v>
      </c>
      <c r="I1541" t="s">
        <v>16</v>
      </c>
      <c r="J1541">
        <v>4.7</v>
      </c>
      <c r="K1541" t="s">
        <v>29</v>
      </c>
      <c r="L1541" t="s">
        <v>18</v>
      </c>
      <c r="M1541" t="str">
        <f>VLOOKUP(D1545,Restaurant_Master!A:B,2,FALSE)</f>
        <v>https://dynamic-media-cdn.tripadvisor.com/media/photo-o/1c/e7/04/0d/front-of-the-local-easily.jpg</v>
      </c>
    </row>
    <row r="1542" spans="1:13" x14ac:dyDescent="0.3">
      <c r="A1542" t="s">
        <v>1572</v>
      </c>
      <c r="B1542" s="1">
        <v>45637</v>
      </c>
      <c r="C1542" t="s">
        <v>20</v>
      </c>
      <c r="D1542" t="s">
        <v>21</v>
      </c>
      <c r="E1542">
        <v>20</v>
      </c>
      <c r="F1542" t="s">
        <v>15</v>
      </c>
      <c r="G1542">
        <v>473.78</v>
      </c>
      <c r="H1542">
        <v>55</v>
      </c>
      <c r="I1542" t="s">
        <v>16</v>
      </c>
      <c r="J1542">
        <v>2.7</v>
      </c>
      <c r="K1542" t="s">
        <v>26</v>
      </c>
      <c r="L1542" t="s">
        <v>18</v>
      </c>
      <c r="M1542" t="str">
        <f>VLOOKUP(D1546,Restaurant_Master!A:B,2,FALSE)</f>
        <v>https://media-cdn.tripadvisor.com/media/photo-s/1c/c7/97/b6/photo6jpg.jpg</v>
      </c>
    </row>
    <row r="1543" spans="1:13" x14ac:dyDescent="0.3">
      <c r="A1543" t="s">
        <v>1573</v>
      </c>
      <c r="B1543" s="1">
        <v>45652</v>
      </c>
      <c r="C1543" t="s">
        <v>20</v>
      </c>
      <c r="D1543" t="s">
        <v>38</v>
      </c>
      <c r="E1543">
        <v>36</v>
      </c>
      <c r="F1543" t="s">
        <v>15</v>
      </c>
      <c r="G1543">
        <v>698.19</v>
      </c>
      <c r="H1543">
        <v>52</v>
      </c>
      <c r="I1543" t="s">
        <v>16</v>
      </c>
      <c r="J1543">
        <v>2.7</v>
      </c>
      <c r="K1543" t="s">
        <v>26</v>
      </c>
      <c r="L1543" t="s">
        <v>23</v>
      </c>
      <c r="M1543" t="str">
        <f>VLOOKUP(D1547,Restaurant_Master!A:B,2,FALSE)</f>
        <v>https://dynamic-media-cdn.tripadvisor.com/media/photo-o/1c/e7/04/0d/front-of-the-local-easily.jpg</v>
      </c>
    </row>
    <row r="1544" spans="1:13" x14ac:dyDescent="0.3">
      <c r="A1544" t="s">
        <v>1574</v>
      </c>
      <c r="B1544" s="1">
        <v>45651</v>
      </c>
      <c r="C1544" t="s">
        <v>36</v>
      </c>
      <c r="D1544" t="s">
        <v>14</v>
      </c>
      <c r="E1544">
        <v>38</v>
      </c>
      <c r="F1544" t="s">
        <v>15</v>
      </c>
      <c r="G1544">
        <v>998.95</v>
      </c>
      <c r="H1544">
        <v>33</v>
      </c>
      <c r="I1544" t="s">
        <v>22</v>
      </c>
      <c r="J1544">
        <v>4.0999999999999996</v>
      </c>
      <c r="K1544" t="s">
        <v>41</v>
      </c>
      <c r="L1544" t="s">
        <v>23</v>
      </c>
      <c r="M1544" t="str">
        <f>VLOOKUP(D1548,Restaurant_Master!A:B,2,FALSE)</f>
        <v>https://www.chatswoodinterchange.com/storages/2018/08/Sushi-World_666x448.jpg</v>
      </c>
    </row>
    <row r="1545" spans="1:13" x14ac:dyDescent="0.3">
      <c r="A1545" t="s">
        <v>1575</v>
      </c>
      <c r="B1545" s="1">
        <v>45522</v>
      </c>
      <c r="C1545" t="s">
        <v>36</v>
      </c>
      <c r="D1545" t="s">
        <v>21</v>
      </c>
      <c r="E1545">
        <v>39</v>
      </c>
      <c r="F1545" t="s">
        <v>28</v>
      </c>
      <c r="G1545">
        <v>913.15</v>
      </c>
      <c r="H1545">
        <v>37</v>
      </c>
      <c r="I1545" t="s">
        <v>22</v>
      </c>
      <c r="J1545">
        <v>4.4000000000000004</v>
      </c>
      <c r="K1545" t="s">
        <v>26</v>
      </c>
      <c r="L1545" t="s">
        <v>23</v>
      </c>
      <c r="M1545" t="str">
        <f>VLOOKUP(D1549,Restaurant_Master!A:B,2,FALSE)</f>
        <v>https://media-cdn.tripadvisor.com/media/photo-s/1c/c7/97/b6/photo6jpg.jpg</v>
      </c>
    </row>
    <row r="1546" spans="1:13" x14ac:dyDescent="0.3">
      <c r="A1546" t="s">
        <v>1576</v>
      </c>
      <c r="B1546" s="1">
        <v>45406</v>
      </c>
      <c r="C1546" t="s">
        <v>20</v>
      </c>
      <c r="D1546" t="s">
        <v>25</v>
      </c>
      <c r="E1546">
        <v>18</v>
      </c>
      <c r="F1546" t="s">
        <v>15</v>
      </c>
      <c r="G1546">
        <v>896.85</v>
      </c>
      <c r="H1546">
        <v>24</v>
      </c>
      <c r="I1546" t="s">
        <v>22</v>
      </c>
      <c r="J1546">
        <v>2.7</v>
      </c>
      <c r="K1546" t="s">
        <v>41</v>
      </c>
      <c r="L1546" t="s">
        <v>23</v>
      </c>
      <c r="M1546" t="str">
        <f>VLOOKUP(D1550,Restaurant_Master!A:B,2,FALSE)</f>
        <v>https://www.chatswoodinterchange.com/storages/2018/08/Sushi-World_666x448.jpg</v>
      </c>
    </row>
    <row r="1547" spans="1:13" x14ac:dyDescent="0.3">
      <c r="A1547" t="s">
        <v>1577</v>
      </c>
      <c r="B1547" s="1">
        <v>45490</v>
      </c>
      <c r="C1547" t="s">
        <v>20</v>
      </c>
      <c r="D1547" t="s">
        <v>21</v>
      </c>
      <c r="E1547">
        <v>44</v>
      </c>
      <c r="F1547" t="s">
        <v>28</v>
      </c>
      <c r="G1547">
        <v>741.89</v>
      </c>
      <c r="H1547">
        <v>41</v>
      </c>
      <c r="I1547" t="s">
        <v>16</v>
      </c>
      <c r="J1547">
        <v>2.5</v>
      </c>
      <c r="K1547" t="s">
        <v>26</v>
      </c>
      <c r="L1547" t="s">
        <v>18</v>
      </c>
      <c r="M1547" t="str">
        <f>VLOOKUP(D1551,Restaurant_Master!A:B,2,FALSE)</f>
        <v>https://media-cdn.tripadvisor.com/media/photo-s/1c/c7/97/b6/photo6jpg.jpg</v>
      </c>
    </row>
    <row r="1548" spans="1:13" x14ac:dyDescent="0.3">
      <c r="A1548" t="s">
        <v>1578</v>
      </c>
      <c r="B1548" s="1">
        <v>45322</v>
      </c>
      <c r="C1548" t="s">
        <v>13</v>
      </c>
      <c r="D1548" t="s">
        <v>38</v>
      </c>
      <c r="E1548">
        <v>22</v>
      </c>
      <c r="F1548" t="s">
        <v>15</v>
      </c>
      <c r="G1548">
        <v>631.04</v>
      </c>
      <c r="H1548">
        <v>26</v>
      </c>
      <c r="I1548" t="s">
        <v>22</v>
      </c>
      <c r="J1548">
        <v>5</v>
      </c>
      <c r="K1548" t="s">
        <v>17</v>
      </c>
      <c r="L1548" t="s">
        <v>18</v>
      </c>
      <c r="M1548" t="str">
        <f>VLOOKUP(D1552,Restaurant_Master!A:B,2,FALSE)</f>
        <v>https://media-cdn.tripadvisor.com/media/photo-s/1c/c7/97/b6/photo6jpg.jpg</v>
      </c>
    </row>
    <row r="1549" spans="1:13" x14ac:dyDescent="0.3">
      <c r="A1549" t="s">
        <v>1579</v>
      </c>
      <c r="B1549" s="1">
        <v>45561</v>
      </c>
      <c r="C1549" t="s">
        <v>13</v>
      </c>
      <c r="D1549" t="s">
        <v>25</v>
      </c>
      <c r="E1549">
        <v>31</v>
      </c>
      <c r="F1549" t="s">
        <v>28</v>
      </c>
      <c r="G1549">
        <v>838.94</v>
      </c>
      <c r="H1549">
        <v>44</v>
      </c>
      <c r="I1549" t="s">
        <v>16</v>
      </c>
      <c r="J1549">
        <v>3.2</v>
      </c>
      <c r="K1549" t="s">
        <v>17</v>
      </c>
      <c r="L1549" t="s">
        <v>23</v>
      </c>
      <c r="M1549" t="str">
        <f>VLOOKUP(D1553,Restaurant_Master!A:B,2,FALSE)</f>
        <v>https://www.chatswoodinterchange.com/storages/2018/08/Sushi-World_666x448.jpg</v>
      </c>
    </row>
    <row r="1550" spans="1:13" x14ac:dyDescent="0.3">
      <c r="A1550" t="s">
        <v>1580</v>
      </c>
      <c r="B1550" s="1">
        <v>45649</v>
      </c>
      <c r="C1550" t="s">
        <v>34</v>
      </c>
      <c r="D1550" t="s">
        <v>38</v>
      </c>
      <c r="E1550">
        <v>40</v>
      </c>
      <c r="F1550" t="s">
        <v>15</v>
      </c>
      <c r="G1550">
        <v>1015.8</v>
      </c>
      <c r="H1550">
        <v>32</v>
      </c>
      <c r="I1550" t="s">
        <v>22</v>
      </c>
      <c r="J1550">
        <v>3.5</v>
      </c>
      <c r="K1550" t="s">
        <v>26</v>
      </c>
      <c r="L1550" t="s">
        <v>18</v>
      </c>
      <c r="M1550" t="str">
        <f>VLOOKUP(D1554,Restaurant_Master!A:B,2,FALSE)</f>
        <v>https://dineout-media-assets.swiggy.com/swiggy/image/upload/fl_lossy,f_auto,q_auto/v1660793737/fdqxvxcxg1wtdwvyv45v.jpg</v>
      </c>
    </row>
    <row r="1551" spans="1:13" x14ac:dyDescent="0.3">
      <c r="A1551" t="s">
        <v>1581</v>
      </c>
      <c r="B1551" s="1">
        <v>45417</v>
      </c>
      <c r="C1551" t="s">
        <v>34</v>
      </c>
      <c r="D1551" t="s">
        <v>25</v>
      </c>
      <c r="E1551">
        <v>22</v>
      </c>
      <c r="F1551" t="s">
        <v>28</v>
      </c>
      <c r="G1551">
        <v>522.28</v>
      </c>
      <c r="H1551">
        <v>40</v>
      </c>
      <c r="I1551" t="s">
        <v>22</v>
      </c>
      <c r="J1551">
        <v>3</v>
      </c>
      <c r="K1551" t="s">
        <v>41</v>
      </c>
      <c r="L1551" t="s">
        <v>23</v>
      </c>
      <c r="M1551" t="str">
        <f>VLOOKUP(D1555,Restaurant_Master!A:B,2,FALSE)</f>
        <v>https://content.jdmagicbox.com/comp/deoria/g6/9999p5568.5568.200119143033.m4g6/catalogue/biryani-house-deoria-ho-deoria-mktc2xph0o.jpg</v>
      </c>
    </row>
    <row r="1552" spans="1:13" x14ac:dyDescent="0.3">
      <c r="A1552" t="s">
        <v>1582</v>
      </c>
      <c r="B1552" s="1">
        <v>45619</v>
      </c>
      <c r="C1552" t="s">
        <v>13</v>
      </c>
      <c r="D1552" t="s">
        <v>25</v>
      </c>
      <c r="E1552">
        <v>48</v>
      </c>
      <c r="F1552" t="s">
        <v>15</v>
      </c>
      <c r="G1552">
        <v>168.6</v>
      </c>
      <c r="H1552">
        <v>25</v>
      </c>
      <c r="I1552" t="s">
        <v>22</v>
      </c>
      <c r="J1552">
        <v>2.7</v>
      </c>
      <c r="K1552" t="s">
        <v>41</v>
      </c>
      <c r="L1552" t="s">
        <v>18</v>
      </c>
      <c r="M1552" t="str">
        <f>VLOOKUP(D1556,Restaurant_Master!A:B,2,FALSE)</f>
        <v>https://dynamic-media-cdn.tripadvisor.com/media/photo-o/1c/e7/04/0d/front-of-the-local-easily.jpg</v>
      </c>
    </row>
    <row r="1553" spans="1:13" x14ac:dyDescent="0.3">
      <c r="A1553" t="s">
        <v>1583</v>
      </c>
      <c r="B1553" s="1">
        <v>45338</v>
      </c>
      <c r="C1553" t="s">
        <v>13</v>
      </c>
      <c r="D1553" t="s">
        <v>38</v>
      </c>
      <c r="E1553">
        <v>46</v>
      </c>
      <c r="F1553" t="s">
        <v>28</v>
      </c>
      <c r="G1553">
        <v>744.91</v>
      </c>
      <c r="H1553">
        <v>55</v>
      </c>
      <c r="I1553" t="s">
        <v>16</v>
      </c>
      <c r="J1553">
        <v>4.5</v>
      </c>
      <c r="K1553" t="s">
        <v>17</v>
      </c>
      <c r="L1553" t="s">
        <v>23</v>
      </c>
      <c r="M1553" t="str">
        <f>VLOOKUP(D1557,Restaurant_Master!A:B,2,FALSE)</f>
        <v>https://content.jdmagicbox.com/comp/deoria/g6/9999p5568.5568.200119143033.m4g6/catalogue/biryani-house-deoria-ho-deoria-mktc2xph0o.jpg</v>
      </c>
    </row>
    <row r="1554" spans="1:13" x14ac:dyDescent="0.3">
      <c r="A1554" t="s">
        <v>1584</v>
      </c>
      <c r="B1554" s="1">
        <v>45447</v>
      </c>
      <c r="C1554" t="s">
        <v>13</v>
      </c>
      <c r="D1554" t="s">
        <v>14</v>
      </c>
      <c r="E1554">
        <v>54</v>
      </c>
      <c r="F1554" t="s">
        <v>15</v>
      </c>
      <c r="G1554">
        <v>965.82</v>
      </c>
      <c r="H1554">
        <v>59</v>
      </c>
      <c r="I1554" t="s">
        <v>16</v>
      </c>
      <c r="J1554">
        <v>4.0999999999999996</v>
      </c>
      <c r="K1554" t="s">
        <v>29</v>
      </c>
      <c r="L1554" t="s">
        <v>23</v>
      </c>
      <c r="M1554" t="str">
        <f>VLOOKUP(D1558,Restaurant_Master!A:B,2,FALSE)</f>
        <v>https://www.chatswoodinterchange.com/storages/2018/08/Sushi-World_666x448.jpg</v>
      </c>
    </row>
    <row r="1555" spans="1:13" x14ac:dyDescent="0.3">
      <c r="A1555" t="s">
        <v>1585</v>
      </c>
      <c r="B1555" s="1">
        <v>45463</v>
      </c>
      <c r="C1555" t="s">
        <v>34</v>
      </c>
      <c r="D1555" t="s">
        <v>32</v>
      </c>
      <c r="E1555">
        <v>38</v>
      </c>
      <c r="F1555" t="s">
        <v>28</v>
      </c>
      <c r="G1555">
        <v>1157.23</v>
      </c>
      <c r="H1555">
        <v>28</v>
      </c>
      <c r="I1555" t="s">
        <v>22</v>
      </c>
      <c r="J1555">
        <v>3.5</v>
      </c>
      <c r="K1555" t="s">
        <v>29</v>
      </c>
      <c r="L1555" t="s">
        <v>23</v>
      </c>
      <c r="M1555" t="str">
        <f>VLOOKUP(D1559,Restaurant_Master!A:B,2,FALSE)</f>
        <v>https://media-cdn.tripadvisor.com/media/photo-s/1c/c7/97/b6/photo6jpg.jpg</v>
      </c>
    </row>
    <row r="1556" spans="1:13" x14ac:dyDescent="0.3">
      <c r="A1556" t="s">
        <v>1586</v>
      </c>
      <c r="B1556" s="1">
        <v>45570</v>
      </c>
      <c r="C1556" t="s">
        <v>20</v>
      </c>
      <c r="D1556" t="s">
        <v>21</v>
      </c>
      <c r="E1556">
        <v>24</v>
      </c>
      <c r="F1556" t="s">
        <v>15</v>
      </c>
      <c r="G1556">
        <v>1134.94</v>
      </c>
      <c r="H1556">
        <v>37</v>
      </c>
      <c r="I1556" t="s">
        <v>22</v>
      </c>
      <c r="J1556">
        <v>4.9000000000000004</v>
      </c>
      <c r="K1556" t="s">
        <v>17</v>
      </c>
      <c r="L1556" t="s">
        <v>18</v>
      </c>
      <c r="M1556" t="str">
        <f>VLOOKUP(D1560,Restaurant_Master!A:B,2,FALSE)</f>
        <v>https://content.jdmagicbox.com/comp/deoria/g6/9999p5568.5568.200119143033.m4g6/catalogue/biryani-house-deoria-ho-deoria-mktc2xph0o.jpg</v>
      </c>
    </row>
    <row r="1557" spans="1:13" x14ac:dyDescent="0.3">
      <c r="A1557" t="s">
        <v>1587</v>
      </c>
      <c r="B1557" s="1">
        <v>45418</v>
      </c>
      <c r="C1557" t="s">
        <v>34</v>
      </c>
      <c r="D1557" t="s">
        <v>32</v>
      </c>
      <c r="E1557">
        <v>40</v>
      </c>
      <c r="F1557" t="s">
        <v>15</v>
      </c>
      <c r="G1557">
        <v>1138.28</v>
      </c>
      <c r="H1557">
        <v>43</v>
      </c>
      <c r="I1557" t="s">
        <v>16</v>
      </c>
      <c r="J1557">
        <v>3.9</v>
      </c>
      <c r="K1557" t="s">
        <v>26</v>
      </c>
      <c r="L1557" t="s">
        <v>18</v>
      </c>
      <c r="M1557" t="str">
        <f>VLOOKUP(D1561,Restaurant_Master!A:B,2,FALSE)</f>
        <v>https://content.jdmagicbox.com/comp/deoria/g6/9999p5568.5568.200119143033.m4g6/catalogue/biryani-house-deoria-ho-deoria-mktc2xph0o.jpg</v>
      </c>
    </row>
    <row r="1558" spans="1:13" x14ac:dyDescent="0.3">
      <c r="A1558" t="s">
        <v>1588</v>
      </c>
      <c r="B1558" s="1">
        <v>45308</v>
      </c>
      <c r="C1558" t="s">
        <v>34</v>
      </c>
      <c r="D1558" t="s">
        <v>38</v>
      </c>
      <c r="E1558">
        <v>41</v>
      </c>
      <c r="F1558" t="s">
        <v>15</v>
      </c>
      <c r="G1558">
        <v>623.30999999999995</v>
      </c>
      <c r="H1558">
        <v>50</v>
      </c>
      <c r="I1558" t="s">
        <v>16</v>
      </c>
      <c r="J1558">
        <v>4.0999999999999996</v>
      </c>
      <c r="K1558" t="s">
        <v>17</v>
      </c>
      <c r="L1558" t="s">
        <v>23</v>
      </c>
      <c r="M1558" t="str">
        <f>VLOOKUP(D1562,Restaurant_Master!A:B,2,FALSE)</f>
        <v>https://dynamic-media-cdn.tripadvisor.com/media/photo-o/1c/e7/04/0d/front-of-the-local-easily.jpg</v>
      </c>
    </row>
    <row r="1559" spans="1:13" x14ac:dyDescent="0.3">
      <c r="A1559" t="s">
        <v>1589</v>
      </c>
      <c r="B1559" s="1">
        <v>45468</v>
      </c>
      <c r="C1559" t="s">
        <v>13</v>
      </c>
      <c r="D1559" t="s">
        <v>25</v>
      </c>
      <c r="E1559">
        <v>47</v>
      </c>
      <c r="F1559" t="s">
        <v>15</v>
      </c>
      <c r="G1559">
        <v>1127.49</v>
      </c>
      <c r="H1559">
        <v>45</v>
      </c>
      <c r="I1559" t="s">
        <v>16</v>
      </c>
      <c r="J1559">
        <v>4.4000000000000004</v>
      </c>
      <c r="K1559" t="s">
        <v>17</v>
      </c>
      <c r="L1559" t="s">
        <v>18</v>
      </c>
      <c r="M1559" t="str">
        <f>VLOOKUP(D1563,Restaurant_Master!A:B,2,FALSE)</f>
        <v>https://media-cdn.tripadvisor.com/media/photo-s/1c/c7/97/b6/photo6jpg.jpg</v>
      </c>
    </row>
    <row r="1560" spans="1:13" x14ac:dyDescent="0.3">
      <c r="A1560" t="s">
        <v>1590</v>
      </c>
      <c r="B1560" s="1">
        <v>45545</v>
      </c>
      <c r="C1560" t="s">
        <v>43</v>
      </c>
      <c r="D1560" t="s">
        <v>32</v>
      </c>
      <c r="E1560">
        <v>52</v>
      </c>
      <c r="F1560" t="s">
        <v>15</v>
      </c>
      <c r="G1560">
        <v>459.72</v>
      </c>
      <c r="H1560">
        <v>43</v>
      </c>
      <c r="I1560" t="s">
        <v>16</v>
      </c>
      <c r="J1560">
        <v>2.7</v>
      </c>
      <c r="K1560" t="s">
        <v>41</v>
      </c>
      <c r="L1560" t="s">
        <v>23</v>
      </c>
      <c r="M1560" t="str">
        <f>VLOOKUP(D1564,Restaurant_Master!A:B,2,FALSE)</f>
        <v>https://content.jdmagicbox.com/comp/deoria/g6/9999p5568.5568.200119143033.m4g6/catalogue/biryani-house-deoria-ho-deoria-mktc2xph0o.jpg</v>
      </c>
    </row>
    <row r="1561" spans="1:13" x14ac:dyDescent="0.3">
      <c r="A1561" t="s">
        <v>1591</v>
      </c>
      <c r="B1561" s="1">
        <v>45499</v>
      </c>
      <c r="C1561" t="s">
        <v>34</v>
      </c>
      <c r="D1561" t="s">
        <v>32</v>
      </c>
      <c r="E1561">
        <v>27</v>
      </c>
      <c r="F1561" t="s">
        <v>28</v>
      </c>
      <c r="G1561">
        <v>738.46</v>
      </c>
      <c r="H1561">
        <v>42</v>
      </c>
      <c r="I1561" t="s">
        <v>16</v>
      </c>
      <c r="J1561">
        <v>2.8</v>
      </c>
      <c r="K1561" t="s">
        <v>29</v>
      </c>
      <c r="L1561" t="s">
        <v>23</v>
      </c>
      <c r="M1561" t="str">
        <f>VLOOKUP(D1565,Restaurant_Master!A:B,2,FALSE)</f>
        <v>https://media-cdn.tripadvisor.com/media/photo-s/1c/c7/97/b6/photo6jpg.jpg</v>
      </c>
    </row>
    <row r="1562" spans="1:13" x14ac:dyDescent="0.3">
      <c r="A1562" t="s">
        <v>1592</v>
      </c>
      <c r="B1562" s="1">
        <v>45394</v>
      </c>
      <c r="C1562" t="s">
        <v>43</v>
      </c>
      <c r="D1562" t="s">
        <v>21</v>
      </c>
      <c r="E1562">
        <v>43</v>
      </c>
      <c r="F1562" t="s">
        <v>15</v>
      </c>
      <c r="G1562">
        <v>493.26</v>
      </c>
      <c r="H1562">
        <v>46</v>
      </c>
      <c r="I1562" t="s">
        <v>16</v>
      </c>
      <c r="J1562">
        <v>2.9</v>
      </c>
      <c r="K1562" t="s">
        <v>26</v>
      </c>
      <c r="L1562" t="s">
        <v>18</v>
      </c>
      <c r="M1562" t="str">
        <f>VLOOKUP(D1566,Restaurant_Master!A:B,2,FALSE)</f>
        <v>https://dynamic-media-cdn.tripadvisor.com/media/photo-o/1c/e7/04/0d/front-of-the-local-easily.jpg</v>
      </c>
    </row>
    <row r="1563" spans="1:13" x14ac:dyDescent="0.3">
      <c r="A1563" t="s">
        <v>1593</v>
      </c>
      <c r="B1563" s="1">
        <v>45415</v>
      </c>
      <c r="C1563" t="s">
        <v>13</v>
      </c>
      <c r="D1563" t="s">
        <v>25</v>
      </c>
      <c r="E1563">
        <v>26</v>
      </c>
      <c r="F1563" t="s">
        <v>15</v>
      </c>
      <c r="G1563">
        <v>601.27</v>
      </c>
      <c r="H1563">
        <v>54</v>
      </c>
      <c r="I1563" t="s">
        <v>16</v>
      </c>
      <c r="J1563">
        <v>3.7</v>
      </c>
      <c r="K1563" t="s">
        <v>41</v>
      </c>
      <c r="L1563" t="s">
        <v>18</v>
      </c>
      <c r="M1563" t="str">
        <f>VLOOKUP(D1567,Restaurant_Master!A:B,2,FALSE)</f>
        <v>https://www.chatswoodinterchange.com/storages/2018/08/Sushi-World_666x448.jpg</v>
      </c>
    </row>
    <row r="1564" spans="1:13" x14ac:dyDescent="0.3">
      <c r="A1564" t="s">
        <v>1594</v>
      </c>
      <c r="B1564" s="1">
        <v>45446</v>
      </c>
      <c r="C1564" t="s">
        <v>34</v>
      </c>
      <c r="D1564" t="s">
        <v>32</v>
      </c>
      <c r="E1564">
        <v>53</v>
      </c>
      <c r="F1564" t="s">
        <v>28</v>
      </c>
      <c r="G1564">
        <v>1128.8399999999999</v>
      </c>
      <c r="H1564">
        <v>34</v>
      </c>
      <c r="I1564" t="s">
        <v>22</v>
      </c>
      <c r="J1564">
        <v>2.9</v>
      </c>
      <c r="K1564" t="s">
        <v>17</v>
      </c>
      <c r="L1564" t="s">
        <v>18</v>
      </c>
      <c r="M1564" t="str">
        <f>VLOOKUP(D1568,Restaurant_Master!A:B,2,FALSE)</f>
        <v>https://dineout-media-assets.swiggy.com/swiggy/image/upload/fl_lossy,f_auto,q_auto/v1660793737/fdqxvxcxg1wtdwvyv45v.jpg</v>
      </c>
    </row>
    <row r="1565" spans="1:13" x14ac:dyDescent="0.3">
      <c r="A1565" t="s">
        <v>1595</v>
      </c>
      <c r="B1565" s="1">
        <v>45623</v>
      </c>
      <c r="C1565" t="s">
        <v>34</v>
      </c>
      <c r="D1565" t="s">
        <v>25</v>
      </c>
      <c r="E1565">
        <v>55</v>
      </c>
      <c r="F1565" t="s">
        <v>15</v>
      </c>
      <c r="G1565">
        <v>1120.82</v>
      </c>
      <c r="H1565">
        <v>27</v>
      </c>
      <c r="I1565" t="s">
        <v>22</v>
      </c>
      <c r="J1565">
        <v>3.8</v>
      </c>
      <c r="K1565" t="s">
        <v>17</v>
      </c>
      <c r="L1565" t="s">
        <v>23</v>
      </c>
      <c r="M1565" t="str">
        <f>VLOOKUP(D1569,Restaurant_Master!A:B,2,FALSE)</f>
        <v>https://dineout-media-assets.swiggy.com/swiggy/image/upload/fl_lossy,f_auto,q_auto/v1660793737/fdqxvxcxg1wtdwvyv45v.jpg</v>
      </c>
    </row>
    <row r="1566" spans="1:13" x14ac:dyDescent="0.3">
      <c r="A1566" t="s">
        <v>1596</v>
      </c>
      <c r="B1566" s="1">
        <v>45417</v>
      </c>
      <c r="C1566" t="s">
        <v>36</v>
      </c>
      <c r="D1566" t="s">
        <v>21</v>
      </c>
      <c r="E1566">
        <v>52</v>
      </c>
      <c r="F1566" t="s">
        <v>28</v>
      </c>
      <c r="G1566">
        <v>812.86</v>
      </c>
      <c r="H1566">
        <v>54</v>
      </c>
      <c r="I1566" t="s">
        <v>16</v>
      </c>
      <c r="J1566">
        <v>3.1</v>
      </c>
      <c r="K1566" t="s">
        <v>26</v>
      </c>
      <c r="L1566" t="s">
        <v>23</v>
      </c>
      <c r="M1566" t="str">
        <f>VLOOKUP(D1570,Restaurant_Master!A:B,2,FALSE)</f>
        <v>https://dineout-media-assets.swiggy.com/swiggy/image/upload/fl_lossy,f_auto,q_auto/v1660793737/fdqxvxcxg1wtdwvyv45v.jpg</v>
      </c>
    </row>
    <row r="1567" spans="1:13" x14ac:dyDescent="0.3">
      <c r="A1567" t="s">
        <v>1597</v>
      </c>
      <c r="B1567" s="1">
        <v>45341</v>
      </c>
      <c r="C1567" t="s">
        <v>36</v>
      </c>
      <c r="D1567" t="s">
        <v>38</v>
      </c>
      <c r="E1567">
        <v>44</v>
      </c>
      <c r="F1567" t="s">
        <v>28</v>
      </c>
      <c r="G1567">
        <v>823.77</v>
      </c>
      <c r="H1567">
        <v>47</v>
      </c>
      <c r="I1567" t="s">
        <v>16</v>
      </c>
      <c r="J1567">
        <v>4.3</v>
      </c>
      <c r="K1567" t="s">
        <v>17</v>
      </c>
      <c r="L1567" t="s">
        <v>18</v>
      </c>
      <c r="M1567" t="str">
        <f>VLOOKUP(D1571,Restaurant_Master!A:B,2,FALSE)</f>
        <v>https://www.chatswoodinterchange.com/storages/2018/08/Sushi-World_666x448.jpg</v>
      </c>
    </row>
    <row r="1568" spans="1:13" x14ac:dyDescent="0.3">
      <c r="A1568" t="s">
        <v>1598</v>
      </c>
      <c r="B1568" s="1">
        <v>45315</v>
      </c>
      <c r="C1568" t="s">
        <v>36</v>
      </c>
      <c r="D1568" t="s">
        <v>14</v>
      </c>
      <c r="E1568">
        <v>45</v>
      </c>
      <c r="F1568" t="s">
        <v>15</v>
      </c>
      <c r="G1568">
        <v>493.16</v>
      </c>
      <c r="H1568">
        <v>29</v>
      </c>
      <c r="I1568" t="s">
        <v>22</v>
      </c>
      <c r="J1568">
        <v>2.8</v>
      </c>
      <c r="K1568" t="s">
        <v>41</v>
      </c>
      <c r="L1568" t="s">
        <v>23</v>
      </c>
      <c r="M1568" t="str">
        <f>VLOOKUP(D1572,Restaurant_Master!A:B,2,FALSE)</f>
        <v>https://dynamic-media-cdn.tripadvisor.com/media/photo-o/1c/e7/04/0d/front-of-the-local-easily.jpg</v>
      </c>
    </row>
    <row r="1569" spans="1:13" x14ac:dyDescent="0.3">
      <c r="A1569" t="s">
        <v>1599</v>
      </c>
      <c r="B1569" s="1">
        <v>45506</v>
      </c>
      <c r="C1569" t="s">
        <v>36</v>
      </c>
      <c r="D1569" t="s">
        <v>14</v>
      </c>
      <c r="E1569">
        <v>43</v>
      </c>
      <c r="F1569" t="s">
        <v>15</v>
      </c>
      <c r="G1569">
        <v>337.69</v>
      </c>
      <c r="H1569">
        <v>41</v>
      </c>
      <c r="I1569" t="s">
        <v>16</v>
      </c>
      <c r="J1569">
        <v>4.5999999999999996</v>
      </c>
      <c r="K1569" t="s">
        <v>41</v>
      </c>
      <c r="L1569" t="s">
        <v>18</v>
      </c>
      <c r="M1569" t="str">
        <f>VLOOKUP(D1573,Restaurant_Master!A:B,2,FALSE)</f>
        <v>https://dineout-media-assets.swiggy.com/swiggy/image/upload/fl_lossy,f_auto,q_auto/v1660793737/fdqxvxcxg1wtdwvyv45v.jpg</v>
      </c>
    </row>
    <row r="1570" spans="1:13" x14ac:dyDescent="0.3">
      <c r="A1570" t="s">
        <v>1600</v>
      </c>
      <c r="B1570" s="1">
        <v>45440</v>
      </c>
      <c r="C1570" t="s">
        <v>34</v>
      </c>
      <c r="D1570" t="s">
        <v>14</v>
      </c>
      <c r="E1570">
        <v>30</v>
      </c>
      <c r="F1570" t="s">
        <v>28</v>
      </c>
      <c r="G1570">
        <v>1079.8</v>
      </c>
      <c r="H1570">
        <v>54</v>
      </c>
      <c r="I1570" t="s">
        <v>16</v>
      </c>
      <c r="J1570">
        <v>2.5</v>
      </c>
      <c r="K1570" t="s">
        <v>41</v>
      </c>
      <c r="L1570" t="s">
        <v>18</v>
      </c>
      <c r="M1570" t="str">
        <f>VLOOKUP(D1574,Restaurant_Master!A:B,2,FALSE)</f>
        <v>https://dynamic-media-cdn.tripadvisor.com/media/photo-o/1c/e7/04/0d/front-of-the-local-easily.jpg</v>
      </c>
    </row>
    <row r="1571" spans="1:13" x14ac:dyDescent="0.3">
      <c r="A1571" t="s">
        <v>1601</v>
      </c>
      <c r="B1571" s="1">
        <v>45657</v>
      </c>
      <c r="C1571" t="s">
        <v>20</v>
      </c>
      <c r="D1571" t="s">
        <v>38</v>
      </c>
      <c r="E1571">
        <v>39</v>
      </c>
      <c r="F1571" t="s">
        <v>28</v>
      </c>
      <c r="G1571">
        <v>574.01</v>
      </c>
      <c r="H1571">
        <v>47</v>
      </c>
      <c r="I1571" t="s">
        <v>16</v>
      </c>
      <c r="J1571">
        <v>4.2</v>
      </c>
      <c r="K1571" t="s">
        <v>41</v>
      </c>
      <c r="L1571" t="s">
        <v>23</v>
      </c>
      <c r="M1571" t="str">
        <f>VLOOKUP(D1575,Restaurant_Master!A:B,2,FALSE)</f>
        <v>https://www.chatswoodinterchange.com/storages/2018/08/Sushi-World_666x448.jpg</v>
      </c>
    </row>
    <row r="1572" spans="1:13" x14ac:dyDescent="0.3">
      <c r="A1572" t="s">
        <v>1602</v>
      </c>
      <c r="B1572" s="1">
        <v>45350</v>
      </c>
      <c r="C1572" t="s">
        <v>13</v>
      </c>
      <c r="D1572" t="s">
        <v>21</v>
      </c>
      <c r="E1572">
        <v>29</v>
      </c>
      <c r="F1572" t="s">
        <v>15</v>
      </c>
      <c r="G1572">
        <v>438.57</v>
      </c>
      <c r="H1572">
        <v>31</v>
      </c>
      <c r="I1572" t="s">
        <v>22</v>
      </c>
      <c r="J1572">
        <v>4.0999999999999996</v>
      </c>
      <c r="K1572" t="s">
        <v>26</v>
      </c>
      <c r="L1572" t="s">
        <v>18</v>
      </c>
      <c r="M1572" t="str">
        <f>VLOOKUP(D1576,Restaurant_Master!A:B,2,FALSE)</f>
        <v>https://media-cdn.tripadvisor.com/media/photo-s/1c/c7/97/b6/photo6jpg.jpg</v>
      </c>
    </row>
    <row r="1573" spans="1:13" x14ac:dyDescent="0.3">
      <c r="A1573" t="s">
        <v>1603</v>
      </c>
      <c r="B1573" s="1">
        <v>45641</v>
      </c>
      <c r="C1573" t="s">
        <v>43</v>
      </c>
      <c r="D1573" t="s">
        <v>14</v>
      </c>
      <c r="E1573">
        <v>46</v>
      </c>
      <c r="F1573" t="s">
        <v>15</v>
      </c>
      <c r="G1573">
        <v>1057.97</v>
      </c>
      <c r="H1573">
        <v>58</v>
      </c>
      <c r="I1573" t="s">
        <v>16</v>
      </c>
      <c r="J1573">
        <v>4.7</v>
      </c>
      <c r="K1573" t="s">
        <v>26</v>
      </c>
      <c r="L1573" t="s">
        <v>18</v>
      </c>
      <c r="M1573" t="str">
        <f>VLOOKUP(D1577,Restaurant_Master!A:B,2,FALSE)</f>
        <v>https://www.chatswoodinterchange.com/storages/2018/08/Sushi-World_666x448.jpg</v>
      </c>
    </row>
    <row r="1574" spans="1:13" x14ac:dyDescent="0.3">
      <c r="A1574" t="s">
        <v>1604</v>
      </c>
      <c r="B1574" s="1">
        <v>45490</v>
      </c>
      <c r="C1574" t="s">
        <v>43</v>
      </c>
      <c r="D1574" t="s">
        <v>21</v>
      </c>
      <c r="E1574">
        <v>58</v>
      </c>
      <c r="F1574" t="s">
        <v>28</v>
      </c>
      <c r="G1574">
        <v>331.73</v>
      </c>
      <c r="H1574">
        <v>47</v>
      </c>
      <c r="I1574" t="s">
        <v>16</v>
      </c>
      <c r="J1574">
        <v>4.4000000000000004</v>
      </c>
      <c r="K1574" t="s">
        <v>41</v>
      </c>
      <c r="L1574" t="s">
        <v>18</v>
      </c>
      <c r="M1574" t="str">
        <f>VLOOKUP(D1578,Restaurant_Master!A:B,2,FALSE)</f>
        <v>https://www.chatswoodinterchange.com/storages/2018/08/Sushi-World_666x448.jpg</v>
      </c>
    </row>
    <row r="1575" spans="1:13" x14ac:dyDescent="0.3">
      <c r="A1575" t="s">
        <v>1605</v>
      </c>
      <c r="B1575" s="1">
        <v>45449</v>
      </c>
      <c r="C1575" t="s">
        <v>34</v>
      </c>
      <c r="D1575" t="s">
        <v>38</v>
      </c>
      <c r="E1575">
        <v>50</v>
      </c>
      <c r="F1575" t="s">
        <v>28</v>
      </c>
      <c r="G1575">
        <v>1169.05</v>
      </c>
      <c r="H1575">
        <v>38</v>
      </c>
      <c r="I1575" t="s">
        <v>22</v>
      </c>
      <c r="J1575">
        <v>4.4000000000000004</v>
      </c>
      <c r="K1575" t="s">
        <v>17</v>
      </c>
      <c r="L1575" t="s">
        <v>18</v>
      </c>
      <c r="M1575" t="str">
        <f>VLOOKUP(D1579,Restaurant_Master!A:B,2,FALSE)</f>
        <v>https://media-cdn.tripadvisor.com/media/photo-s/1c/c7/97/b6/photo6jpg.jpg</v>
      </c>
    </row>
    <row r="1576" spans="1:13" x14ac:dyDescent="0.3">
      <c r="A1576" t="s">
        <v>1606</v>
      </c>
      <c r="B1576" s="1">
        <v>45464</v>
      </c>
      <c r="C1576" t="s">
        <v>43</v>
      </c>
      <c r="D1576" t="s">
        <v>25</v>
      </c>
      <c r="E1576">
        <v>42</v>
      </c>
      <c r="F1576" t="s">
        <v>15</v>
      </c>
      <c r="G1576">
        <v>797.99</v>
      </c>
      <c r="H1576">
        <v>56</v>
      </c>
      <c r="I1576" t="s">
        <v>16</v>
      </c>
      <c r="J1576">
        <v>4.5999999999999996</v>
      </c>
      <c r="K1576" t="s">
        <v>26</v>
      </c>
      <c r="L1576" t="s">
        <v>23</v>
      </c>
      <c r="M1576" t="str">
        <f>VLOOKUP(D1580,Restaurant_Master!A:B,2,FALSE)</f>
        <v>https://content.jdmagicbox.com/comp/deoria/g6/9999p5568.5568.200119143033.m4g6/catalogue/biryani-house-deoria-ho-deoria-mktc2xph0o.jpg</v>
      </c>
    </row>
    <row r="1577" spans="1:13" x14ac:dyDescent="0.3">
      <c r="A1577" t="s">
        <v>1607</v>
      </c>
      <c r="B1577" s="1">
        <v>45601</v>
      </c>
      <c r="C1577" t="s">
        <v>20</v>
      </c>
      <c r="D1577" t="s">
        <v>38</v>
      </c>
      <c r="E1577">
        <v>36</v>
      </c>
      <c r="F1577" t="s">
        <v>28</v>
      </c>
      <c r="G1577">
        <v>910.1</v>
      </c>
      <c r="H1577">
        <v>28</v>
      </c>
      <c r="I1577" t="s">
        <v>22</v>
      </c>
      <c r="J1577">
        <v>4.0999999999999996</v>
      </c>
      <c r="K1577" t="s">
        <v>26</v>
      </c>
      <c r="L1577" t="s">
        <v>23</v>
      </c>
      <c r="M1577" t="str">
        <f>VLOOKUP(D1581,Restaurant_Master!A:B,2,FALSE)</f>
        <v>https://dynamic-media-cdn.tripadvisor.com/media/photo-o/1c/e7/04/0d/front-of-the-local-easily.jpg</v>
      </c>
    </row>
    <row r="1578" spans="1:13" x14ac:dyDescent="0.3">
      <c r="A1578" t="s">
        <v>1608</v>
      </c>
      <c r="B1578" s="1">
        <v>45655</v>
      </c>
      <c r="C1578" t="s">
        <v>13</v>
      </c>
      <c r="D1578" t="s">
        <v>38</v>
      </c>
      <c r="E1578">
        <v>29</v>
      </c>
      <c r="F1578" t="s">
        <v>15</v>
      </c>
      <c r="G1578">
        <v>1058.1099999999999</v>
      </c>
      <c r="H1578">
        <v>54</v>
      </c>
      <c r="I1578" t="s">
        <v>16</v>
      </c>
      <c r="J1578">
        <v>4.5</v>
      </c>
      <c r="K1578" t="s">
        <v>41</v>
      </c>
      <c r="L1578" t="s">
        <v>18</v>
      </c>
      <c r="M1578" t="str">
        <f>VLOOKUP(D1582,Restaurant_Master!A:B,2,FALSE)</f>
        <v>https://dineout-media-assets.swiggy.com/swiggy/image/upload/fl_lossy,f_auto,q_auto/v1660793737/fdqxvxcxg1wtdwvyv45v.jpg</v>
      </c>
    </row>
    <row r="1579" spans="1:13" x14ac:dyDescent="0.3">
      <c r="A1579" t="s">
        <v>1609</v>
      </c>
      <c r="B1579" s="1">
        <v>45615</v>
      </c>
      <c r="C1579" t="s">
        <v>13</v>
      </c>
      <c r="D1579" t="s">
        <v>25</v>
      </c>
      <c r="E1579">
        <v>51</v>
      </c>
      <c r="F1579" t="s">
        <v>15</v>
      </c>
      <c r="G1579">
        <v>706.9</v>
      </c>
      <c r="H1579">
        <v>57</v>
      </c>
      <c r="I1579" t="s">
        <v>16</v>
      </c>
      <c r="J1579">
        <v>3.5</v>
      </c>
      <c r="K1579" t="s">
        <v>26</v>
      </c>
      <c r="L1579" t="s">
        <v>23</v>
      </c>
      <c r="M1579" t="str">
        <f>VLOOKUP(D1583,Restaurant_Master!A:B,2,FALSE)</f>
        <v>https://www.chatswoodinterchange.com/storages/2018/08/Sushi-World_666x448.jpg</v>
      </c>
    </row>
    <row r="1580" spans="1:13" x14ac:dyDescent="0.3">
      <c r="A1580" t="s">
        <v>1610</v>
      </c>
      <c r="B1580" s="1">
        <v>45486</v>
      </c>
      <c r="C1580" t="s">
        <v>13</v>
      </c>
      <c r="D1580" t="s">
        <v>32</v>
      </c>
      <c r="E1580">
        <v>46</v>
      </c>
      <c r="F1580" t="s">
        <v>28</v>
      </c>
      <c r="G1580">
        <v>1149.1400000000001</v>
      </c>
      <c r="H1580">
        <v>33</v>
      </c>
      <c r="I1580" t="s">
        <v>22</v>
      </c>
      <c r="J1580">
        <v>2.9</v>
      </c>
      <c r="K1580" t="s">
        <v>41</v>
      </c>
      <c r="L1580" t="s">
        <v>23</v>
      </c>
      <c r="M1580" t="str">
        <f>VLOOKUP(D1584,Restaurant_Master!A:B,2,FALSE)</f>
        <v>https://content.jdmagicbox.com/comp/deoria/g6/9999p5568.5568.200119143033.m4g6/catalogue/biryani-house-deoria-ho-deoria-mktc2xph0o.jpg</v>
      </c>
    </row>
    <row r="1581" spans="1:13" x14ac:dyDescent="0.3">
      <c r="A1581" t="s">
        <v>1611</v>
      </c>
      <c r="B1581" s="1">
        <v>45330</v>
      </c>
      <c r="C1581" t="s">
        <v>20</v>
      </c>
      <c r="D1581" t="s">
        <v>21</v>
      </c>
      <c r="E1581">
        <v>54</v>
      </c>
      <c r="F1581" t="s">
        <v>28</v>
      </c>
      <c r="G1581">
        <v>1123.72</v>
      </c>
      <c r="H1581">
        <v>23</v>
      </c>
      <c r="I1581" t="s">
        <v>22</v>
      </c>
      <c r="J1581">
        <v>2.5</v>
      </c>
      <c r="K1581" t="s">
        <v>29</v>
      </c>
      <c r="L1581" t="s">
        <v>23</v>
      </c>
      <c r="M1581" t="str">
        <f>VLOOKUP(D1585,Restaurant_Master!A:B,2,FALSE)</f>
        <v>https://media-cdn.tripadvisor.com/media/photo-s/1c/c7/97/b6/photo6jpg.jpg</v>
      </c>
    </row>
    <row r="1582" spans="1:13" x14ac:dyDescent="0.3">
      <c r="A1582" t="s">
        <v>1612</v>
      </c>
      <c r="B1582" s="1">
        <v>45654</v>
      </c>
      <c r="C1582" t="s">
        <v>13</v>
      </c>
      <c r="D1582" t="s">
        <v>14</v>
      </c>
      <c r="E1582">
        <v>35</v>
      </c>
      <c r="F1582" t="s">
        <v>15</v>
      </c>
      <c r="G1582">
        <v>686.28</v>
      </c>
      <c r="H1582">
        <v>23</v>
      </c>
      <c r="I1582" t="s">
        <v>22</v>
      </c>
      <c r="J1582">
        <v>4.5</v>
      </c>
      <c r="K1582" t="s">
        <v>29</v>
      </c>
      <c r="L1582" t="s">
        <v>18</v>
      </c>
      <c r="M1582" t="str">
        <f>VLOOKUP(D1586,Restaurant_Master!A:B,2,FALSE)</f>
        <v>https://media-cdn.tripadvisor.com/media/photo-s/1c/c7/97/b6/photo6jpg.jpg</v>
      </c>
    </row>
    <row r="1583" spans="1:13" x14ac:dyDescent="0.3">
      <c r="A1583" t="s">
        <v>1613</v>
      </c>
      <c r="B1583" s="1">
        <v>45501</v>
      </c>
      <c r="C1583" t="s">
        <v>13</v>
      </c>
      <c r="D1583" t="s">
        <v>38</v>
      </c>
      <c r="E1583">
        <v>40</v>
      </c>
      <c r="F1583" t="s">
        <v>28</v>
      </c>
      <c r="G1583">
        <v>685.81</v>
      </c>
      <c r="H1583">
        <v>22</v>
      </c>
      <c r="I1583" t="s">
        <v>22</v>
      </c>
      <c r="J1583">
        <v>3.8</v>
      </c>
      <c r="K1583" t="s">
        <v>17</v>
      </c>
      <c r="L1583" t="s">
        <v>23</v>
      </c>
      <c r="M1583" t="str">
        <f>VLOOKUP(D1587,Restaurant_Master!A:B,2,FALSE)</f>
        <v>https://www.chatswoodinterchange.com/storages/2018/08/Sushi-World_666x448.jpg</v>
      </c>
    </row>
    <row r="1584" spans="1:13" x14ac:dyDescent="0.3">
      <c r="A1584" t="s">
        <v>1614</v>
      </c>
      <c r="B1584" s="1">
        <v>45446</v>
      </c>
      <c r="C1584" t="s">
        <v>20</v>
      </c>
      <c r="D1584" t="s">
        <v>32</v>
      </c>
      <c r="E1584">
        <v>38</v>
      </c>
      <c r="F1584" t="s">
        <v>28</v>
      </c>
      <c r="G1584">
        <v>527.84</v>
      </c>
      <c r="H1584">
        <v>56</v>
      </c>
      <c r="I1584" t="s">
        <v>16</v>
      </c>
      <c r="J1584">
        <v>2.9</v>
      </c>
      <c r="K1584" t="s">
        <v>26</v>
      </c>
      <c r="L1584" t="s">
        <v>23</v>
      </c>
      <c r="M1584" t="str">
        <f>VLOOKUP(D1588,Restaurant_Master!A:B,2,FALSE)</f>
        <v>https://dynamic-media-cdn.tripadvisor.com/media/photo-o/1c/e7/04/0d/front-of-the-local-easily.jpg</v>
      </c>
    </row>
    <row r="1585" spans="1:13" x14ac:dyDescent="0.3">
      <c r="A1585" t="s">
        <v>1615</v>
      </c>
      <c r="B1585" s="1">
        <v>45529</v>
      </c>
      <c r="C1585" t="s">
        <v>43</v>
      </c>
      <c r="D1585" t="s">
        <v>25</v>
      </c>
      <c r="E1585">
        <v>29</v>
      </c>
      <c r="F1585" t="s">
        <v>15</v>
      </c>
      <c r="G1585">
        <v>1156.82</v>
      </c>
      <c r="H1585">
        <v>20</v>
      </c>
      <c r="I1585" t="s">
        <v>22</v>
      </c>
      <c r="J1585">
        <v>3.1</v>
      </c>
      <c r="K1585" t="s">
        <v>26</v>
      </c>
      <c r="L1585" t="s">
        <v>18</v>
      </c>
      <c r="M1585" t="str">
        <f>VLOOKUP(D1589,Restaurant_Master!A:B,2,FALSE)</f>
        <v>https://www.chatswoodinterchange.com/storages/2018/08/Sushi-World_666x448.jpg</v>
      </c>
    </row>
    <row r="1586" spans="1:13" x14ac:dyDescent="0.3">
      <c r="A1586" t="s">
        <v>1616</v>
      </c>
      <c r="B1586" s="1">
        <v>45521</v>
      </c>
      <c r="C1586" t="s">
        <v>13</v>
      </c>
      <c r="D1586" t="s">
        <v>25</v>
      </c>
      <c r="E1586">
        <v>45</v>
      </c>
      <c r="F1586" t="s">
        <v>28</v>
      </c>
      <c r="G1586">
        <v>264.89</v>
      </c>
      <c r="H1586">
        <v>42</v>
      </c>
      <c r="I1586" t="s">
        <v>16</v>
      </c>
      <c r="J1586">
        <v>3.7</v>
      </c>
      <c r="K1586" t="s">
        <v>17</v>
      </c>
      <c r="L1586" t="s">
        <v>23</v>
      </c>
      <c r="M1586" t="str">
        <f>VLOOKUP(D1590,Restaurant_Master!A:B,2,FALSE)</f>
        <v>https://media-cdn.tripadvisor.com/media/photo-s/1c/c7/97/b6/photo6jpg.jpg</v>
      </c>
    </row>
    <row r="1587" spans="1:13" x14ac:dyDescent="0.3">
      <c r="A1587" t="s">
        <v>1617</v>
      </c>
      <c r="B1587" s="1">
        <v>45510</v>
      </c>
      <c r="C1587" t="s">
        <v>43</v>
      </c>
      <c r="D1587" t="s">
        <v>38</v>
      </c>
      <c r="E1587">
        <v>28</v>
      </c>
      <c r="F1587" t="s">
        <v>15</v>
      </c>
      <c r="G1587">
        <v>980.18</v>
      </c>
      <c r="H1587">
        <v>59</v>
      </c>
      <c r="I1587" t="s">
        <v>16</v>
      </c>
      <c r="J1587">
        <v>4.9000000000000004</v>
      </c>
      <c r="K1587" t="s">
        <v>41</v>
      </c>
      <c r="L1587" t="s">
        <v>18</v>
      </c>
      <c r="M1587" t="str">
        <f>VLOOKUP(D1591,Restaurant_Master!A:B,2,FALSE)</f>
        <v>https://dineout-media-assets.swiggy.com/swiggy/image/upload/fl_lossy,f_auto,q_auto/v1660793737/fdqxvxcxg1wtdwvyv45v.jpg</v>
      </c>
    </row>
    <row r="1588" spans="1:13" x14ac:dyDescent="0.3">
      <c r="A1588" t="s">
        <v>1618</v>
      </c>
      <c r="B1588" s="1">
        <v>45540</v>
      </c>
      <c r="C1588" t="s">
        <v>43</v>
      </c>
      <c r="D1588" t="s">
        <v>21</v>
      </c>
      <c r="E1588">
        <v>18</v>
      </c>
      <c r="F1588" t="s">
        <v>28</v>
      </c>
      <c r="G1588">
        <v>513.74</v>
      </c>
      <c r="H1588">
        <v>21</v>
      </c>
      <c r="I1588" t="s">
        <v>22</v>
      </c>
      <c r="J1588">
        <v>3.9</v>
      </c>
      <c r="K1588" t="s">
        <v>29</v>
      </c>
      <c r="L1588" t="s">
        <v>18</v>
      </c>
      <c r="M1588" t="str">
        <f>VLOOKUP(D1592,Restaurant_Master!A:B,2,FALSE)</f>
        <v>https://content.jdmagicbox.com/comp/deoria/g6/9999p5568.5568.200119143033.m4g6/catalogue/biryani-house-deoria-ho-deoria-mktc2xph0o.jpg</v>
      </c>
    </row>
    <row r="1589" spans="1:13" x14ac:dyDescent="0.3">
      <c r="A1589" t="s">
        <v>1619</v>
      </c>
      <c r="B1589" s="1">
        <v>45492</v>
      </c>
      <c r="C1589" t="s">
        <v>36</v>
      </c>
      <c r="D1589" t="s">
        <v>38</v>
      </c>
      <c r="E1589">
        <v>32</v>
      </c>
      <c r="F1589" t="s">
        <v>15</v>
      </c>
      <c r="G1589">
        <v>373.88</v>
      </c>
      <c r="H1589">
        <v>52</v>
      </c>
      <c r="I1589" t="s">
        <v>16</v>
      </c>
      <c r="J1589">
        <v>4.5999999999999996</v>
      </c>
      <c r="K1589" t="s">
        <v>29</v>
      </c>
      <c r="L1589" t="s">
        <v>18</v>
      </c>
      <c r="M1589" t="str">
        <f>VLOOKUP(D1593,Restaurant_Master!A:B,2,FALSE)</f>
        <v>https://content.jdmagicbox.com/comp/deoria/g6/9999p5568.5568.200119143033.m4g6/catalogue/biryani-house-deoria-ho-deoria-mktc2xph0o.jpg</v>
      </c>
    </row>
    <row r="1590" spans="1:13" x14ac:dyDescent="0.3">
      <c r="A1590" t="s">
        <v>1620</v>
      </c>
      <c r="B1590" s="1">
        <v>45571</v>
      </c>
      <c r="C1590" t="s">
        <v>36</v>
      </c>
      <c r="D1590" t="s">
        <v>25</v>
      </c>
      <c r="E1590">
        <v>26</v>
      </c>
      <c r="F1590" t="s">
        <v>28</v>
      </c>
      <c r="G1590">
        <v>604.46</v>
      </c>
      <c r="H1590">
        <v>38</v>
      </c>
      <c r="I1590" t="s">
        <v>22</v>
      </c>
      <c r="J1590">
        <v>4.0999999999999996</v>
      </c>
      <c r="K1590" t="s">
        <v>29</v>
      </c>
      <c r="L1590" t="s">
        <v>18</v>
      </c>
      <c r="M1590" t="str">
        <f>VLOOKUP(D1594,Restaurant_Master!A:B,2,FALSE)</f>
        <v>https://www.chatswoodinterchange.com/storages/2018/08/Sushi-World_666x448.jpg</v>
      </c>
    </row>
    <row r="1591" spans="1:13" x14ac:dyDescent="0.3">
      <c r="A1591" t="s">
        <v>1621</v>
      </c>
      <c r="B1591" s="1">
        <v>45307</v>
      </c>
      <c r="C1591" t="s">
        <v>36</v>
      </c>
      <c r="D1591" t="s">
        <v>14</v>
      </c>
      <c r="E1591">
        <v>60</v>
      </c>
      <c r="F1591" t="s">
        <v>15</v>
      </c>
      <c r="G1591">
        <v>416.28</v>
      </c>
      <c r="H1591">
        <v>51</v>
      </c>
      <c r="I1591" t="s">
        <v>16</v>
      </c>
      <c r="J1591">
        <v>3.1</v>
      </c>
      <c r="K1591" t="s">
        <v>29</v>
      </c>
      <c r="L1591" t="s">
        <v>18</v>
      </c>
      <c r="M1591" t="str">
        <f>VLOOKUP(D1595,Restaurant_Master!A:B,2,FALSE)</f>
        <v>https://media-cdn.tripadvisor.com/media/photo-s/1c/c7/97/b6/photo6jpg.jpg</v>
      </c>
    </row>
    <row r="1592" spans="1:13" x14ac:dyDescent="0.3">
      <c r="A1592" t="s">
        <v>1622</v>
      </c>
      <c r="B1592" s="1">
        <v>45594</v>
      </c>
      <c r="C1592" t="s">
        <v>43</v>
      </c>
      <c r="D1592" t="s">
        <v>32</v>
      </c>
      <c r="E1592">
        <v>27</v>
      </c>
      <c r="F1592" t="s">
        <v>15</v>
      </c>
      <c r="G1592">
        <v>448.72</v>
      </c>
      <c r="H1592">
        <v>26</v>
      </c>
      <c r="I1592" t="s">
        <v>22</v>
      </c>
      <c r="J1592">
        <v>4.4000000000000004</v>
      </c>
      <c r="K1592" t="s">
        <v>41</v>
      </c>
      <c r="L1592" t="s">
        <v>23</v>
      </c>
      <c r="M1592" t="str">
        <f>VLOOKUP(D1596,Restaurant_Master!A:B,2,FALSE)</f>
        <v>https://dineout-media-assets.swiggy.com/swiggy/image/upload/fl_lossy,f_auto,q_auto/v1660793737/fdqxvxcxg1wtdwvyv45v.jpg</v>
      </c>
    </row>
    <row r="1593" spans="1:13" x14ac:dyDescent="0.3">
      <c r="A1593" t="s">
        <v>1623</v>
      </c>
      <c r="B1593" s="1">
        <v>45493</v>
      </c>
      <c r="C1593" t="s">
        <v>43</v>
      </c>
      <c r="D1593" t="s">
        <v>32</v>
      </c>
      <c r="E1593">
        <v>21</v>
      </c>
      <c r="F1593" t="s">
        <v>15</v>
      </c>
      <c r="G1593">
        <v>256.39</v>
      </c>
      <c r="H1593">
        <v>34</v>
      </c>
      <c r="I1593" t="s">
        <v>22</v>
      </c>
      <c r="J1593">
        <v>2.7</v>
      </c>
      <c r="K1593" t="s">
        <v>41</v>
      </c>
      <c r="L1593" t="s">
        <v>18</v>
      </c>
      <c r="M1593" t="str">
        <f>VLOOKUP(D1597,Restaurant_Master!A:B,2,FALSE)</f>
        <v>https://dineout-media-assets.swiggy.com/swiggy/image/upload/fl_lossy,f_auto,q_auto/v1660793737/fdqxvxcxg1wtdwvyv45v.jpg</v>
      </c>
    </row>
    <row r="1594" spans="1:13" x14ac:dyDescent="0.3">
      <c r="A1594" t="s">
        <v>1624</v>
      </c>
      <c r="B1594" s="1">
        <v>45352</v>
      </c>
      <c r="C1594" t="s">
        <v>43</v>
      </c>
      <c r="D1594" t="s">
        <v>38</v>
      </c>
      <c r="E1594">
        <v>24</v>
      </c>
      <c r="F1594" t="s">
        <v>15</v>
      </c>
      <c r="G1594">
        <v>536.41</v>
      </c>
      <c r="H1594">
        <v>43</v>
      </c>
      <c r="I1594" t="s">
        <v>16</v>
      </c>
      <c r="J1594">
        <v>4.2</v>
      </c>
      <c r="K1594" t="s">
        <v>29</v>
      </c>
      <c r="L1594" t="s">
        <v>18</v>
      </c>
      <c r="M1594" t="str">
        <f>VLOOKUP(D1598,Restaurant_Master!A:B,2,FALSE)</f>
        <v>https://dineout-media-assets.swiggy.com/swiggy/image/upload/fl_lossy,f_auto,q_auto/v1660793737/fdqxvxcxg1wtdwvyv45v.jpg</v>
      </c>
    </row>
    <row r="1595" spans="1:13" x14ac:dyDescent="0.3">
      <c r="A1595" t="s">
        <v>1625</v>
      </c>
      <c r="B1595" s="1">
        <v>45396</v>
      </c>
      <c r="C1595" t="s">
        <v>34</v>
      </c>
      <c r="D1595" t="s">
        <v>25</v>
      </c>
      <c r="E1595">
        <v>21</v>
      </c>
      <c r="F1595" t="s">
        <v>15</v>
      </c>
      <c r="G1595">
        <v>1156.47</v>
      </c>
      <c r="H1595">
        <v>32</v>
      </c>
      <c r="I1595" t="s">
        <v>22</v>
      </c>
      <c r="J1595">
        <v>3.5</v>
      </c>
      <c r="K1595" t="s">
        <v>29</v>
      </c>
      <c r="L1595" t="s">
        <v>23</v>
      </c>
      <c r="M1595" t="str">
        <f>VLOOKUP(D1599,Restaurant_Master!A:B,2,FALSE)</f>
        <v>https://media-cdn.tripadvisor.com/media/photo-s/1c/c7/97/b6/photo6jpg.jpg</v>
      </c>
    </row>
    <row r="1596" spans="1:13" x14ac:dyDescent="0.3">
      <c r="A1596" t="s">
        <v>1626</v>
      </c>
      <c r="B1596" s="1">
        <v>45394</v>
      </c>
      <c r="C1596" t="s">
        <v>20</v>
      </c>
      <c r="D1596" t="s">
        <v>14</v>
      </c>
      <c r="E1596">
        <v>39</v>
      </c>
      <c r="F1596" t="s">
        <v>28</v>
      </c>
      <c r="G1596">
        <v>356.67</v>
      </c>
      <c r="H1596">
        <v>30</v>
      </c>
      <c r="I1596" t="s">
        <v>22</v>
      </c>
      <c r="J1596">
        <v>3.7</v>
      </c>
      <c r="K1596" t="s">
        <v>41</v>
      </c>
      <c r="L1596" t="s">
        <v>18</v>
      </c>
      <c r="M1596" t="str">
        <f>VLOOKUP(D1600,Restaurant_Master!A:B,2,FALSE)</f>
        <v>https://dynamic-media-cdn.tripadvisor.com/media/photo-o/1c/e7/04/0d/front-of-the-local-easily.jpg</v>
      </c>
    </row>
    <row r="1597" spans="1:13" x14ac:dyDescent="0.3">
      <c r="A1597" t="s">
        <v>1627</v>
      </c>
      <c r="B1597" s="1">
        <v>45428</v>
      </c>
      <c r="C1597" t="s">
        <v>13</v>
      </c>
      <c r="D1597" t="s">
        <v>14</v>
      </c>
      <c r="E1597">
        <v>19</v>
      </c>
      <c r="F1597" t="s">
        <v>28</v>
      </c>
      <c r="G1597">
        <v>250.73</v>
      </c>
      <c r="H1597">
        <v>35</v>
      </c>
      <c r="I1597" t="s">
        <v>22</v>
      </c>
      <c r="J1597">
        <v>3.9</v>
      </c>
      <c r="K1597" t="s">
        <v>17</v>
      </c>
      <c r="L1597" t="s">
        <v>23</v>
      </c>
      <c r="M1597" t="str">
        <f>VLOOKUP(D1601,Restaurant_Master!A:B,2,FALSE)</f>
        <v>https://media-cdn.tripadvisor.com/media/photo-s/1c/c7/97/b6/photo6jpg.jpg</v>
      </c>
    </row>
    <row r="1598" spans="1:13" x14ac:dyDescent="0.3">
      <c r="A1598" t="s">
        <v>1628</v>
      </c>
      <c r="B1598" s="1">
        <v>45502</v>
      </c>
      <c r="C1598" t="s">
        <v>34</v>
      </c>
      <c r="D1598" t="s">
        <v>14</v>
      </c>
      <c r="E1598">
        <v>54</v>
      </c>
      <c r="F1598" t="s">
        <v>28</v>
      </c>
      <c r="G1598">
        <v>1008.04</v>
      </c>
      <c r="H1598">
        <v>58</v>
      </c>
      <c r="I1598" t="s">
        <v>16</v>
      </c>
      <c r="J1598">
        <v>3.8</v>
      </c>
      <c r="K1598" t="s">
        <v>17</v>
      </c>
      <c r="L1598" t="s">
        <v>18</v>
      </c>
      <c r="M1598" t="str">
        <f>VLOOKUP(D1602,Restaurant_Master!A:B,2,FALSE)</f>
        <v>https://media-cdn.tripadvisor.com/media/photo-s/1c/c7/97/b6/photo6jpg.jpg</v>
      </c>
    </row>
    <row r="1599" spans="1:13" x14ac:dyDescent="0.3">
      <c r="A1599" t="s">
        <v>1629</v>
      </c>
      <c r="B1599" s="1">
        <v>45330</v>
      </c>
      <c r="C1599" t="s">
        <v>43</v>
      </c>
      <c r="D1599" t="s">
        <v>25</v>
      </c>
      <c r="E1599">
        <v>48</v>
      </c>
      <c r="F1599" t="s">
        <v>15</v>
      </c>
      <c r="G1599">
        <v>585.1</v>
      </c>
      <c r="H1599">
        <v>27</v>
      </c>
      <c r="I1599" t="s">
        <v>22</v>
      </c>
      <c r="J1599">
        <v>4.5999999999999996</v>
      </c>
      <c r="K1599" t="s">
        <v>41</v>
      </c>
      <c r="L1599" t="s">
        <v>23</v>
      </c>
      <c r="M1599" t="str">
        <f>VLOOKUP(D1603,Restaurant_Master!A:B,2,FALSE)</f>
        <v>https://dineout-media-assets.swiggy.com/swiggy/image/upload/fl_lossy,f_auto,q_auto/v1660793737/fdqxvxcxg1wtdwvyv45v.jpg</v>
      </c>
    </row>
    <row r="1600" spans="1:13" x14ac:dyDescent="0.3">
      <c r="A1600" t="s">
        <v>1630</v>
      </c>
      <c r="B1600" s="1">
        <v>45566</v>
      </c>
      <c r="C1600" t="s">
        <v>34</v>
      </c>
      <c r="D1600" t="s">
        <v>21</v>
      </c>
      <c r="E1600">
        <v>22</v>
      </c>
      <c r="F1600" t="s">
        <v>28</v>
      </c>
      <c r="G1600">
        <v>818.67</v>
      </c>
      <c r="H1600">
        <v>48</v>
      </c>
      <c r="I1600" t="s">
        <v>16</v>
      </c>
      <c r="J1600">
        <v>3.1</v>
      </c>
      <c r="K1600" t="s">
        <v>26</v>
      </c>
      <c r="L1600" t="s">
        <v>18</v>
      </c>
      <c r="M1600" t="str">
        <f>VLOOKUP(D1604,Restaurant_Master!A:B,2,FALSE)</f>
        <v>https://content.jdmagicbox.com/comp/deoria/g6/9999p5568.5568.200119143033.m4g6/catalogue/biryani-house-deoria-ho-deoria-mktc2xph0o.jpg</v>
      </c>
    </row>
    <row r="1601" spans="1:13" x14ac:dyDescent="0.3">
      <c r="A1601" t="s">
        <v>1631</v>
      </c>
      <c r="B1601" s="1">
        <v>45526</v>
      </c>
      <c r="C1601" t="s">
        <v>36</v>
      </c>
      <c r="D1601" t="s">
        <v>25</v>
      </c>
      <c r="E1601">
        <v>19</v>
      </c>
      <c r="F1601" t="s">
        <v>28</v>
      </c>
      <c r="G1601">
        <v>893.61</v>
      </c>
      <c r="H1601">
        <v>50</v>
      </c>
      <c r="I1601" t="s">
        <v>16</v>
      </c>
      <c r="J1601">
        <v>3.3</v>
      </c>
      <c r="K1601" t="s">
        <v>17</v>
      </c>
      <c r="L1601" t="s">
        <v>23</v>
      </c>
      <c r="M1601" t="str">
        <f>VLOOKUP(D1605,Restaurant_Master!A:B,2,FALSE)</f>
        <v>https://www.chatswoodinterchange.com/storages/2018/08/Sushi-World_666x448.jpg</v>
      </c>
    </row>
    <row r="1602" spans="1:13" x14ac:dyDescent="0.3">
      <c r="A1602" t="s">
        <v>1632</v>
      </c>
      <c r="B1602" s="1">
        <v>45437</v>
      </c>
      <c r="C1602" t="s">
        <v>36</v>
      </c>
      <c r="D1602" t="s">
        <v>25</v>
      </c>
      <c r="E1602">
        <v>37</v>
      </c>
      <c r="F1602" t="s">
        <v>15</v>
      </c>
      <c r="G1602">
        <v>166.91</v>
      </c>
      <c r="H1602">
        <v>46</v>
      </c>
      <c r="I1602" t="s">
        <v>16</v>
      </c>
      <c r="J1602">
        <v>2.7</v>
      </c>
      <c r="K1602" t="s">
        <v>29</v>
      </c>
      <c r="L1602" t="s">
        <v>23</v>
      </c>
      <c r="M1602" t="str">
        <f>VLOOKUP(D1606,Restaurant_Master!A:B,2,FALSE)</f>
        <v>https://media-cdn.tripadvisor.com/media/photo-s/1c/c7/97/b6/photo6jpg.jpg</v>
      </c>
    </row>
    <row r="1603" spans="1:13" x14ac:dyDescent="0.3">
      <c r="A1603" t="s">
        <v>1633</v>
      </c>
      <c r="B1603" s="1">
        <v>45476</v>
      </c>
      <c r="C1603" t="s">
        <v>36</v>
      </c>
      <c r="D1603" t="s">
        <v>14</v>
      </c>
      <c r="E1603">
        <v>24</v>
      </c>
      <c r="F1603" t="s">
        <v>28</v>
      </c>
      <c r="G1603">
        <v>182.48</v>
      </c>
      <c r="H1603">
        <v>26</v>
      </c>
      <c r="I1603" t="s">
        <v>22</v>
      </c>
      <c r="J1603">
        <v>4.7</v>
      </c>
      <c r="K1603" t="s">
        <v>17</v>
      </c>
      <c r="L1603" t="s">
        <v>18</v>
      </c>
      <c r="M1603" t="str">
        <f>VLOOKUP(D1607,Restaurant_Master!A:B,2,FALSE)</f>
        <v>https://content.jdmagicbox.com/comp/deoria/g6/9999p5568.5568.200119143033.m4g6/catalogue/biryani-house-deoria-ho-deoria-mktc2xph0o.jpg</v>
      </c>
    </row>
    <row r="1604" spans="1:13" x14ac:dyDescent="0.3">
      <c r="A1604" t="s">
        <v>1634</v>
      </c>
      <c r="B1604" s="1">
        <v>45457</v>
      </c>
      <c r="C1604" t="s">
        <v>43</v>
      </c>
      <c r="D1604" t="s">
        <v>32</v>
      </c>
      <c r="E1604">
        <v>35</v>
      </c>
      <c r="F1604" t="s">
        <v>28</v>
      </c>
      <c r="G1604">
        <v>641.49</v>
      </c>
      <c r="H1604">
        <v>26</v>
      </c>
      <c r="I1604" t="s">
        <v>22</v>
      </c>
      <c r="J1604">
        <v>3.6</v>
      </c>
      <c r="K1604" t="s">
        <v>17</v>
      </c>
      <c r="L1604" t="s">
        <v>23</v>
      </c>
      <c r="M1604" t="str">
        <f>VLOOKUP(D1608,Restaurant_Master!A:B,2,FALSE)</f>
        <v>https://media-cdn.tripadvisor.com/media/photo-s/1c/c7/97/b6/photo6jpg.jpg</v>
      </c>
    </row>
    <row r="1605" spans="1:13" x14ac:dyDescent="0.3">
      <c r="A1605" t="s">
        <v>1635</v>
      </c>
      <c r="B1605" s="1">
        <v>45503</v>
      </c>
      <c r="C1605" t="s">
        <v>36</v>
      </c>
      <c r="D1605" t="s">
        <v>38</v>
      </c>
      <c r="E1605">
        <v>36</v>
      </c>
      <c r="F1605" t="s">
        <v>28</v>
      </c>
      <c r="G1605">
        <v>908.82</v>
      </c>
      <c r="H1605">
        <v>44</v>
      </c>
      <c r="I1605" t="s">
        <v>16</v>
      </c>
      <c r="J1605">
        <v>2.7</v>
      </c>
      <c r="K1605" t="s">
        <v>26</v>
      </c>
      <c r="L1605" t="s">
        <v>18</v>
      </c>
      <c r="M1605" t="str">
        <f>VLOOKUP(D1609,Restaurant_Master!A:B,2,FALSE)</f>
        <v>https://dineout-media-assets.swiggy.com/swiggy/image/upload/fl_lossy,f_auto,q_auto/v1660793737/fdqxvxcxg1wtdwvyv45v.jpg</v>
      </c>
    </row>
    <row r="1606" spans="1:13" x14ac:dyDescent="0.3">
      <c r="A1606" t="s">
        <v>1636</v>
      </c>
      <c r="B1606" s="1">
        <v>45335</v>
      </c>
      <c r="C1606" t="s">
        <v>34</v>
      </c>
      <c r="D1606" t="s">
        <v>25</v>
      </c>
      <c r="E1606">
        <v>26</v>
      </c>
      <c r="F1606" t="s">
        <v>28</v>
      </c>
      <c r="G1606">
        <v>1077.02</v>
      </c>
      <c r="H1606">
        <v>26</v>
      </c>
      <c r="I1606" t="s">
        <v>22</v>
      </c>
      <c r="J1606">
        <v>5</v>
      </c>
      <c r="K1606" t="s">
        <v>41</v>
      </c>
      <c r="L1606" t="s">
        <v>18</v>
      </c>
      <c r="M1606" t="str">
        <f>VLOOKUP(D1610,Restaurant_Master!A:B,2,FALSE)</f>
        <v>https://content.jdmagicbox.com/comp/deoria/g6/9999p5568.5568.200119143033.m4g6/catalogue/biryani-house-deoria-ho-deoria-mktc2xph0o.jpg</v>
      </c>
    </row>
    <row r="1607" spans="1:13" x14ac:dyDescent="0.3">
      <c r="A1607" t="s">
        <v>1637</v>
      </c>
      <c r="B1607" s="1">
        <v>45365</v>
      </c>
      <c r="C1607" t="s">
        <v>36</v>
      </c>
      <c r="D1607" t="s">
        <v>32</v>
      </c>
      <c r="E1607">
        <v>18</v>
      </c>
      <c r="F1607" t="s">
        <v>28</v>
      </c>
      <c r="G1607">
        <v>1045.45</v>
      </c>
      <c r="H1607">
        <v>37</v>
      </c>
      <c r="I1607" t="s">
        <v>22</v>
      </c>
      <c r="J1607">
        <v>4</v>
      </c>
      <c r="K1607" t="s">
        <v>41</v>
      </c>
      <c r="L1607" t="s">
        <v>23</v>
      </c>
      <c r="M1607" t="str">
        <f>VLOOKUP(D1611,Restaurant_Master!A:B,2,FALSE)</f>
        <v>https://content.jdmagicbox.com/comp/deoria/g6/9999p5568.5568.200119143033.m4g6/catalogue/biryani-house-deoria-ho-deoria-mktc2xph0o.jpg</v>
      </c>
    </row>
    <row r="1608" spans="1:13" x14ac:dyDescent="0.3">
      <c r="A1608" t="s">
        <v>1638</v>
      </c>
      <c r="B1608" s="1">
        <v>45411</v>
      </c>
      <c r="C1608" t="s">
        <v>36</v>
      </c>
      <c r="D1608" t="s">
        <v>25</v>
      </c>
      <c r="E1608">
        <v>46</v>
      </c>
      <c r="F1608" t="s">
        <v>28</v>
      </c>
      <c r="G1608">
        <v>1075.93</v>
      </c>
      <c r="H1608">
        <v>29</v>
      </c>
      <c r="I1608" t="s">
        <v>22</v>
      </c>
      <c r="J1608">
        <v>3.7</v>
      </c>
      <c r="K1608" t="s">
        <v>29</v>
      </c>
      <c r="L1608" t="s">
        <v>23</v>
      </c>
      <c r="M1608" t="str">
        <f>VLOOKUP(D1612,Restaurant_Master!A:B,2,FALSE)</f>
        <v>https://www.chatswoodinterchange.com/storages/2018/08/Sushi-World_666x448.jpg</v>
      </c>
    </row>
    <row r="1609" spans="1:13" x14ac:dyDescent="0.3">
      <c r="A1609" t="s">
        <v>1639</v>
      </c>
      <c r="B1609" s="1">
        <v>45388</v>
      </c>
      <c r="C1609" t="s">
        <v>36</v>
      </c>
      <c r="D1609" t="s">
        <v>14</v>
      </c>
      <c r="E1609">
        <v>20</v>
      </c>
      <c r="F1609" t="s">
        <v>28</v>
      </c>
      <c r="G1609">
        <v>1056.98</v>
      </c>
      <c r="H1609">
        <v>23</v>
      </c>
      <c r="I1609" t="s">
        <v>22</v>
      </c>
      <c r="J1609">
        <v>4.8</v>
      </c>
      <c r="K1609" t="s">
        <v>29</v>
      </c>
      <c r="L1609" t="s">
        <v>18</v>
      </c>
      <c r="M1609" t="str">
        <f>VLOOKUP(D1613,Restaurant_Master!A:B,2,FALSE)</f>
        <v>https://www.chatswoodinterchange.com/storages/2018/08/Sushi-World_666x448.jpg</v>
      </c>
    </row>
    <row r="1610" spans="1:13" x14ac:dyDescent="0.3">
      <c r="A1610" t="s">
        <v>1640</v>
      </c>
      <c r="B1610" s="1">
        <v>45516</v>
      </c>
      <c r="C1610" t="s">
        <v>43</v>
      </c>
      <c r="D1610" t="s">
        <v>32</v>
      </c>
      <c r="E1610">
        <v>19</v>
      </c>
      <c r="F1610" t="s">
        <v>15</v>
      </c>
      <c r="G1610">
        <v>426.78</v>
      </c>
      <c r="H1610">
        <v>49</v>
      </c>
      <c r="I1610" t="s">
        <v>16</v>
      </c>
      <c r="J1610">
        <v>4.8</v>
      </c>
      <c r="K1610" t="s">
        <v>17</v>
      </c>
      <c r="L1610" t="s">
        <v>18</v>
      </c>
      <c r="M1610" t="str">
        <f>VLOOKUP(D1614,Restaurant_Master!A:B,2,FALSE)</f>
        <v>https://media-cdn.tripadvisor.com/media/photo-s/1c/c7/97/b6/photo6jpg.jpg</v>
      </c>
    </row>
    <row r="1611" spans="1:13" x14ac:dyDescent="0.3">
      <c r="A1611" t="s">
        <v>1641</v>
      </c>
      <c r="B1611" s="1">
        <v>45621</v>
      </c>
      <c r="C1611" t="s">
        <v>43</v>
      </c>
      <c r="D1611" t="s">
        <v>32</v>
      </c>
      <c r="E1611">
        <v>37</v>
      </c>
      <c r="F1611" t="s">
        <v>15</v>
      </c>
      <c r="G1611">
        <v>1199.97</v>
      </c>
      <c r="H1611">
        <v>35</v>
      </c>
      <c r="I1611" t="s">
        <v>22</v>
      </c>
      <c r="J1611">
        <v>3.2</v>
      </c>
      <c r="K1611" t="s">
        <v>29</v>
      </c>
      <c r="L1611" t="s">
        <v>23</v>
      </c>
      <c r="M1611" t="str">
        <f>VLOOKUP(D1615,Restaurant_Master!A:B,2,FALSE)</f>
        <v>https://media-cdn.tripadvisor.com/media/photo-s/1c/c7/97/b6/photo6jpg.jpg</v>
      </c>
    </row>
    <row r="1612" spans="1:13" x14ac:dyDescent="0.3">
      <c r="A1612" t="s">
        <v>1642</v>
      </c>
      <c r="B1612" s="1">
        <v>45296</v>
      </c>
      <c r="C1612" t="s">
        <v>36</v>
      </c>
      <c r="D1612" t="s">
        <v>38</v>
      </c>
      <c r="E1612">
        <v>60</v>
      </c>
      <c r="F1612" t="s">
        <v>15</v>
      </c>
      <c r="G1612">
        <v>626</v>
      </c>
      <c r="H1612">
        <v>59</v>
      </c>
      <c r="I1612" t="s">
        <v>16</v>
      </c>
      <c r="J1612">
        <v>4.2</v>
      </c>
      <c r="K1612" t="s">
        <v>29</v>
      </c>
      <c r="L1612" t="s">
        <v>18</v>
      </c>
      <c r="M1612" t="str">
        <f>VLOOKUP(D1616,Restaurant_Master!A:B,2,FALSE)</f>
        <v>https://dineout-media-assets.swiggy.com/swiggy/image/upload/fl_lossy,f_auto,q_auto/v1660793737/fdqxvxcxg1wtdwvyv45v.jpg</v>
      </c>
    </row>
    <row r="1613" spans="1:13" x14ac:dyDescent="0.3">
      <c r="A1613" t="s">
        <v>1643</v>
      </c>
      <c r="B1613" s="1">
        <v>45464</v>
      </c>
      <c r="C1613" t="s">
        <v>34</v>
      </c>
      <c r="D1613" t="s">
        <v>38</v>
      </c>
      <c r="E1613">
        <v>31</v>
      </c>
      <c r="F1613" t="s">
        <v>15</v>
      </c>
      <c r="G1613">
        <v>540.66999999999996</v>
      </c>
      <c r="H1613">
        <v>56</v>
      </c>
      <c r="I1613" t="s">
        <v>16</v>
      </c>
      <c r="J1613">
        <v>4.8</v>
      </c>
      <c r="K1613" t="s">
        <v>29</v>
      </c>
      <c r="L1613" t="s">
        <v>18</v>
      </c>
      <c r="M1613" t="str">
        <f>VLOOKUP(D1617,Restaurant_Master!A:B,2,FALSE)</f>
        <v>https://media-cdn.tripadvisor.com/media/photo-s/1c/c7/97/b6/photo6jpg.jpg</v>
      </c>
    </row>
    <row r="1614" spans="1:13" x14ac:dyDescent="0.3">
      <c r="A1614" t="s">
        <v>1644</v>
      </c>
      <c r="B1614" s="1">
        <v>45436</v>
      </c>
      <c r="C1614" t="s">
        <v>34</v>
      </c>
      <c r="D1614" t="s">
        <v>25</v>
      </c>
      <c r="E1614">
        <v>23</v>
      </c>
      <c r="F1614" t="s">
        <v>15</v>
      </c>
      <c r="G1614">
        <v>878.83</v>
      </c>
      <c r="H1614">
        <v>39</v>
      </c>
      <c r="I1614" t="s">
        <v>22</v>
      </c>
      <c r="J1614">
        <v>3.8</v>
      </c>
      <c r="K1614" t="s">
        <v>26</v>
      </c>
      <c r="L1614" t="s">
        <v>23</v>
      </c>
      <c r="M1614" t="str">
        <f>VLOOKUP(D1618,Restaurant_Master!A:B,2,FALSE)</f>
        <v>https://media-cdn.tripadvisor.com/media/photo-s/1c/c7/97/b6/photo6jpg.jpg</v>
      </c>
    </row>
    <row r="1615" spans="1:13" x14ac:dyDescent="0.3">
      <c r="A1615" t="s">
        <v>1645</v>
      </c>
      <c r="B1615" s="1">
        <v>45473</v>
      </c>
      <c r="C1615" t="s">
        <v>43</v>
      </c>
      <c r="D1615" t="s">
        <v>25</v>
      </c>
      <c r="E1615">
        <v>42</v>
      </c>
      <c r="F1615" t="s">
        <v>15</v>
      </c>
      <c r="G1615">
        <v>897.01</v>
      </c>
      <c r="H1615">
        <v>23</v>
      </c>
      <c r="I1615" t="s">
        <v>22</v>
      </c>
      <c r="J1615">
        <v>3.7</v>
      </c>
      <c r="K1615" t="s">
        <v>17</v>
      </c>
      <c r="L1615" t="s">
        <v>23</v>
      </c>
      <c r="M1615" t="str">
        <f>VLOOKUP(D1619,Restaurant_Master!A:B,2,FALSE)</f>
        <v>https://media-cdn.tripadvisor.com/media/photo-s/1c/c7/97/b6/photo6jpg.jpg</v>
      </c>
    </row>
    <row r="1616" spans="1:13" x14ac:dyDescent="0.3">
      <c r="A1616" t="s">
        <v>1646</v>
      </c>
      <c r="B1616" s="1">
        <v>45601</v>
      </c>
      <c r="C1616" t="s">
        <v>20</v>
      </c>
      <c r="D1616" t="s">
        <v>14</v>
      </c>
      <c r="E1616">
        <v>28</v>
      </c>
      <c r="F1616" t="s">
        <v>28</v>
      </c>
      <c r="G1616">
        <v>1173.28</v>
      </c>
      <c r="H1616">
        <v>29</v>
      </c>
      <c r="I1616" t="s">
        <v>22</v>
      </c>
      <c r="J1616">
        <v>4.0999999999999996</v>
      </c>
      <c r="K1616" t="s">
        <v>26</v>
      </c>
      <c r="L1616" t="s">
        <v>18</v>
      </c>
      <c r="M1616" t="str">
        <f>VLOOKUP(D1620,Restaurant_Master!A:B,2,FALSE)</f>
        <v>https://dineout-media-assets.swiggy.com/swiggy/image/upload/fl_lossy,f_auto,q_auto/v1660793737/fdqxvxcxg1wtdwvyv45v.jpg</v>
      </c>
    </row>
    <row r="1617" spans="1:13" x14ac:dyDescent="0.3">
      <c r="A1617" t="s">
        <v>1647</v>
      </c>
      <c r="B1617" s="1">
        <v>45473</v>
      </c>
      <c r="C1617" t="s">
        <v>13</v>
      </c>
      <c r="D1617" t="s">
        <v>25</v>
      </c>
      <c r="E1617">
        <v>31</v>
      </c>
      <c r="F1617" t="s">
        <v>15</v>
      </c>
      <c r="G1617">
        <v>1011.2</v>
      </c>
      <c r="H1617">
        <v>37</v>
      </c>
      <c r="I1617" t="s">
        <v>22</v>
      </c>
      <c r="J1617">
        <v>3.1</v>
      </c>
      <c r="K1617" t="s">
        <v>26</v>
      </c>
      <c r="L1617" t="s">
        <v>23</v>
      </c>
      <c r="M1617" t="str">
        <f>VLOOKUP(D1621,Restaurant_Master!A:B,2,FALSE)</f>
        <v>https://media-cdn.tripadvisor.com/media/photo-s/1c/c7/97/b6/photo6jpg.jpg</v>
      </c>
    </row>
    <row r="1618" spans="1:13" x14ac:dyDescent="0.3">
      <c r="A1618" t="s">
        <v>1648</v>
      </c>
      <c r="B1618" s="1">
        <v>45589</v>
      </c>
      <c r="C1618" t="s">
        <v>13</v>
      </c>
      <c r="D1618" t="s">
        <v>25</v>
      </c>
      <c r="E1618">
        <v>29</v>
      </c>
      <c r="F1618" t="s">
        <v>15</v>
      </c>
      <c r="G1618">
        <v>203.42</v>
      </c>
      <c r="H1618">
        <v>30</v>
      </c>
      <c r="I1618" t="s">
        <v>22</v>
      </c>
      <c r="J1618">
        <v>3.7</v>
      </c>
      <c r="K1618" t="s">
        <v>29</v>
      </c>
      <c r="L1618" t="s">
        <v>23</v>
      </c>
      <c r="M1618" t="str">
        <f>VLOOKUP(D1622,Restaurant_Master!A:B,2,FALSE)</f>
        <v>https://media-cdn.tripadvisor.com/media/photo-s/1c/c7/97/b6/photo6jpg.jpg</v>
      </c>
    </row>
    <row r="1619" spans="1:13" x14ac:dyDescent="0.3">
      <c r="A1619" t="s">
        <v>1649</v>
      </c>
      <c r="B1619" s="1">
        <v>45323</v>
      </c>
      <c r="C1619" t="s">
        <v>13</v>
      </c>
      <c r="D1619" t="s">
        <v>25</v>
      </c>
      <c r="E1619">
        <v>52</v>
      </c>
      <c r="F1619" t="s">
        <v>15</v>
      </c>
      <c r="G1619">
        <v>281.48</v>
      </c>
      <c r="H1619">
        <v>32</v>
      </c>
      <c r="I1619" t="s">
        <v>22</v>
      </c>
      <c r="J1619">
        <v>3.2</v>
      </c>
      <c r="K1619" t="s">
        <v>29</v>
      </c>
      <c r="L1619" t="s">
        <v>23</v>
      </c>
      <c r="M1619" t="str">
        <f>VLOOKUP(D1623,Restaurant_Master!A:B,2,FALSE)</f>
        <v>https://dineout-media-assets.swiggy.com/swiggy/image/upload/fl_lossy,f_auto,q_auto/v1660793737/fdqxvxcxg1wtdwvyv45v.jpg</v>
      </c>
    </row>
    <row r="1620" spans="1:13" x14ac:dyDescent="0.3">
      <c r="A1620" t="s">
        <v>1650</v>
      </c>
      <c r="B1620" s="1">
        <v>45488</v>
      </c>
      <c r="C1620" t="s">
        <v>43</v>
      </c>
      <c r="D1620" t="s">
        <v>14</v>
      </c>
      <c r="E1620">
        <v>36</v>
      </c>
      <c r="F1620" t="s">
        <v>15</v>
      </c>
      <c r="G1620">
        <v>980.27</v>
      </c>
      <c r="H1620">
        <v>23</v>
      </c>
      <c r="I1620" t="s">
        <v>22</v>
      </c>
      <c r="J1620">
        <v>3.1</v>
      </c>
      <c r="K1620" t="s">
        <v>29</v>
      </c>
      <c r="L1620" t="s">
        <v>18</v>
      </c>
      <c r="M1620" t="str">
        <f>VLOOKUP(D1624,Restaurant_Master!A:B,2,FALSE)</f>
        <v>https://media-cdn.tripadvisor.com/media/photo-s/1c/c7/97/b6/photo6jpg.jpg</v>
      </c>
    </row>
    <row r="1621" spans="1:13" x14ac:dyDescent="0.3">
      <c r="A1621" t="s">
        <v>1651</v>
      </c>
      <c r="B1621" s="1">
        <v>45634</v>
      </c>
      <c r="C1621" t="s">
        <v>36</v>
      </c>
      <c r="D1621" t="s">
        <v>25</v>
      </c>
      <c r="E1621">
        <v>27</v>
      </c>
      <c r="F1621" t="s">
        <v>28</v>
      </c>
      <c r="G1621">
        <v>750.82</v>
      </c>
      <c r="H1621">
        <v>54</v>
      </c>
      <c r="I1621" t="s">
        <v>16</v>
      </c>
      <c r="J1621">
        <v>2.9</v>
      </c>
      <c r="K1621" t="s">
        <v>17</v>
      </c>
      <c r="L1621" t="s">
        <v>18</v>
      </c>
      <c r="M1621" t="str">
        <f>VLOOKUP(D1625,Restaurant_Master!A:B,2,FALSE)</f>
        <v>https://content.jdmagicbox.com/comp/deoria/g6/9999p5568.5568.200119143033.m4g6/catalogue/biryani-house-deoria-ho-deoria-mktc2xph0o.jpg</v>
      </c>
    </row>
    <row r="1622" spans="1:13" x14ac:dyDescent="0.3">
      <c r="A1622" t="s">
        <v>1652</v>
      </c>
      <c r="B1622" s="1">
        <v>45312</v>
      </c>
      <c r="C1622" t="s">
        <v>20</v>
      </c>
      <c r="D1622" t="s">
        <v>25</v>
      </c>
      <c r="E1622">
        <v>58</v>
      </c>
      <c r="F1622" t="s">
        <v>28</v>
      </c>
      <c r="G1622">
        <v>798.46</v>
      </c>
      <c r="H1622">
        <v>40</v>
      </c>
      <c r="I1622" t="s">
        <v>22</v>
      </c>
      <c r="J1622">
        <v>3.6</v>
      </c>
      <c r="K1622" t="s">
        <v>41</v>
      </c>
      <c r="L1622" t="s">
        <v>23</v>
      </c>
      <c r="M1622" t="str">
        <f>VLOOKUP(D1626,Restaurant_Master!A:B,2,FALSE)</f>
        <v>https://content.jdmagicbox.com/comp/deoria/g6/9999p5568.5568.200119143033.m4g6/catalogue/biryani-house-deoria-ho-deoria-mktc2xph0o.jpg</v>
      </c>
    </row>
    <row r="1623" spans="1:13" x14ac:dyDescent="0.3">
      <c r="A1623" t="s">
        <v>1653</v>
      </c>
      <c r="B1623" s="1">
        <v>45446</v>
      </c>
      <c r="C1623" t="s">
        <v>36</v>
      </c>
      <c r="D1623" t="s">
        <v>14</v>
      </c>
      <c r="E1623">
        <v>38</v>
      </c>
      <c r="F1623" t="s">
        <v>15</v>
      </c>
      <c r="G1623">
        <v>1180.97</v>
      </c>
      <c r="H1623">
        <v>60</v>
      </c>
      <c r="I1623" t="s">
        <v>16</v>
      </c>
      <c r="J1623">
        <v>3.8</v>
      </c>
      <c r="K1623" t="s">
        <v>17</v>
      </c>
      <c r="L1623" t="s">
        <v>18</v>
      </c>
      <c r="M1623" t="str">
        <f>VLOOKUP(D1627,Restaurant_Master!A:B,2,FALSE)</f>
        <v>https://www.chatswoodinterchange.com/storages/2018/08/Sushi-World_666x448.jpg</v>
      </c>
    </row>
    <row r="1624" spans="1:13" x14ac:dyDescent="0.3">
      <c r="A1624" t="s">
        <v>1654</v>
      </c>
      <c r="B1624" s="1">
        <v>45377</v>
      </c>
      <c r="C1624" t="s">
        <v>43</v>
      </c>
      <c r="D1624" t="s">
        <v>25</v>
      </c>
      <c r="E1624">
        <v>45</v>
      </c>
      <c r="F1624" t="s">
        <v>15</v>
      </c>
      <c r="G1624">
        <v>1133.3699999999999</v>
      </c>
      <c r="H1624">
        <v>45</v>
      </c>
      <c r="I1624" t="s">
        <v>16</v>
      </c>
      <c r="J1624">
        <v>3.4</v>
      </c>
      <c r="K1624" t="s">
        <v>26</v>
      </c>
      <c r="L1624" t="s">
        <v>23</v>
      </c>
      <c r="M1624" t="str">
        <f>VLOOKUP(D1628,Restaurant_Master!A:B,2,FALSE)</f>
        <v>https://media-cdn.tripadvisor.com/media/photo-s/1c/c7/97/b6/photo6jpg.jpg</v>
      </c>
    </row>
    <row r="1625" spans="1:13" x14ac:dyDescent="0.3">
      <c r="A1625" t="s">
        <v>1655</v>
      </c>
      <c r="B1625" s="1">
        <v>45652</v>
      </c>
      <c r="C1625" t="s">
        <v>36</v>
      </c>
      <c r="D1625" t="s">
        <v>32</v>
      </c>
      <c r="E1625">
        <v>58</v>
      </c>
      <c r="F1625" t="s">
        <v>15</v>
      </c>
      <c r="G1625">
        <v>453.76</v>
      </c>
      <c r="H1625">
        <v>28</v>
      </c>
      <c r="I1625" t="s">
        <v>22</v>
      </c>
      <c r="J1625">
        <v>4.7</v>
      </c>
      <c r="K1625" t="s">
        <v>26</v>
      </c>
      <c r="L1625" t="s">
        <v>18</v>
      </c>
      <c r="M1625" t="str">
        <f>VLOOKUP(D1629,Restaurant_Master!A:B,2,FALSE)</f>
        <v>https://dineout-media-assets.swiggy.com/swiggy/image/upload/fl_lossy,f_auto,q_auto/v1660793737/fdqxvxcxg1wtdwvyv45v.jpg</v>
      </c>
    </row>
    <row r="1626" spans="1:13" x14ac:dyDescent="0.3">
      <c r="A1626" t="s">
        <v>1656</v>
      </c>
      <c r="B1626" s="1">
        <v>45395</v>
      </c>
      <c r="C1626" t="s">
        <v>36</v>
      </c>
      <c r="D1626" t="s">
        <v>32</v>
      </c>
      <c r="E1626">
        <v>46</v>
      </c>
      <c r="F1626" t="s">
        <v>15</v>
      </c>
      <c r="G1626">
        <v>657.75</v>
      </c>
      <c r="H1626">
        <v>48</v>
      </c>
      <c r="I1626" t="s">
        <v>16</v>
      </c>
      <c r="J1626">
        <v>4.8</v>
      </c>
      <c r="K1626" t="s">
        <v>26</v>
      </c>
      <c r="L1626" t="s">
        <v>18</v>
      </c>
      <c r="M1626" t="str">
        <f>VLOOKUP(D1630,Restaurant_Master!A:B,2,FALSE)</f>
        <v>https://content.jdmagicbox.com/comp/deoria/g6/9999p5568.5568.200119143033.m4g6/catalogue/biryani-house-deoria-ho-deoria-mktc2xph0o.jpg</v>
      </c>
    </row>
    <row r="1627" spans="1:13" x14ac:dyDescent="0.3">
      <c r="A1627" t="s">
        <v>1657</v>
      </c>
      <c r="B1627" s="1">
        <v>45450</v>
      </c>
      <c r="C1627" t="s">
        <v>20</v>
      </c>
      <c r="D1627" t="s">
        <v>38</v>
      </c>
      <c r="E1627">
        <v>38</v>
      </c>
      <c r="F1627" t="s">
        <v>15</v>
      </c>
      <c r="G1627">
        <v>528.12</v>
      </c>
      <c r="H1627">
        <v>23</v>
      </c>
      <c r="I1627" t="s">
        <v>22</v>
      </c>
      <c r="J1627">
        <v>2.7</v>
      </c>
      <c r="K1627" t="s">
        <v>41</v>
      </c>
      <c r="L1627" t="s">
        <v>23</v>
      </c>
      <c r="M1627" t="str">
        <f>VLOOKUP(D1631,Restaurant_Master!A:B,2,FALSE)</f>
        <v>https://content.jdmagicbox.com/comp/deoria/g6/9999p5568.5568.200119143033.m4g6/catalogue/biryani-house-deoria-ho-deoria-mktc2xph0o.jpg</v>
      </c>
    </row>
    <row r="1628" spans="1:13" x14ac:dyDescent="0.3">
      <c r="A1628" t="s">
        <v>1658</v>
      </c>
      <c r="B1628" s="1">
        <v>45383</v>
      </c>
      <c r="C1628" t="s">
        <v>36</v>
      </c>
      <c r="D1628" t="s">
        <v>25</v>
      </c>
      <c r="E1628">
        <v>38</v>
      </c>
      <c r="F1628" t="s">
        <v>15</v>
      </c>
      <c r="G1628">
        <v>758.42</v>
      </c>
      <c r="H1628">
        <v>21</v>
      </c>
      <c r="I1628" t="s">
        <v>22</v>
      </c>
      <c r="J1628">
        <v>4.7</v>
      </c>
      <c r="K1628" t="s">
        <v>41</v>
      </c>
      <c r="L1628" t="s">
        <v>18</v>
      </c>
      <c r="M1628" t="str">
        <f>VLOOKUP(D1632,Restaurant_Master!A:B,2,FALSE)</f>
        <v>https://dynamic-media-cdn.tripadvisor.com/media/photo-o/1c/e7/04/0d/front-of-the-local-easily.jpg</v>
      </c>
    </row>
    <row r="1629" spans="1:13" x14ac:dyDescent="0.3">
      <c r="A1629" t="s">
        <v>1659</v>
      </c>
      <c r="B1629" s="1">
        <v>45437</v>
      </c>
      <c r="C1629" t="s">
        <v>13</v>
      </c>
      <c r="D1629" t="s">
        <v>14</v>
      </c>
      <c r="E1629">
        <v>25</v>
      </c>
      <c r="F1629" t="s">
        <v>28</v>
      </c>
      <c r="G1629">
        <v>294.14999999999998</v>
      </c>
      <c r="H1629">
        <v>31</v>
      </c>
      <c r="I1629" t="s">
        <v>22</v>
      </c>
      <c r="J1629">
        <v>4.5999999999999996</v>
      </c>
      <c r="K1629" t="s">
        <v>29</v>
      </c>
      <c r="L1629" t="s">
        <v>18</v>
      </c>
      <c r="M1629" t="str">
        <f>VLOOKUP(D1633,Restaurant_Master!A:B,2,FALSE)</f>
        <v>https://dineout-media-assets.swiggy.com/swiggy/image/upload/fl_lossy,f_auto,q_auto/v1660793737/fdqxvxcxg1wtdwvyv45v.jpg</v>
      </c>
    </row>
    <row r="1630" spans="1:13" x14ac:dyDescent="0.3">
      <c r="A1630" t="s">
        <v>1660</v>
      </c>
      <c r="B1630" s="1">
        <v>45627</v>
      </c>
      <c r="C1630" t="s">
        <v>13</v>
      </c>
      <c r="D1630" t="s">
        <v>32</v>
      </c>
      <c r="E1630">
        <v>45</v>
      </c>
      <c r="F1630" t="s">
        <v>15</v>
      </c>
      <c r="G1630">
        <v>353.21</v>
      </c>
      <c r="H1630">
        <v>45</v>
      </c>
      <c r="I1630" t="s">
        <v>16</v>
      </c>
      <c r="J1630">
        <v>3.7</v>
      </c>
      <c r="K1630" t="s">
        <v>29</v>
      </c>
      <c r="L1630" t="s">
        <v>18</v>
      </c>
      <c r="M1630" t="str">
        <f>VLOOKUP(D1634,Restaurant_Master!A:B,2,FALSE)</f>
        <v>https://content.jdmagicbox.com/comp/deoria/g6/9999p5568.5568.200119143033.m4g6/catalogue/biryani-house-deoria-ho-deoria-mktc2xph0o.jpg</v>
      </c>
    </row>
    <row r="1631" spans="1:13" x14ac:dyDescent="0.3">
      <c r="A1631" t="s">
        <v>1661</v>
      </c>
      <c r="B1631" s="1">
        <v>45540</v>
      </c>
      <c r="C1631" t="s">
        <v>36</v>
      </c>
      <c r="D1631" t="s">
        <v>32</v>
      </c>
      <c r="E1631">
        <v>37</v>
      </c>
      <c r="F1631" t="s">
        <v>15</v>
      </c>
      <c r="G1631">
        <v>207.58</v>
      </c>
      <c r="H1631">
        <v>31</v>
      </c>
      <c r="I1631" t="s">
        <v>22</v>
      </c>
      <c r="J1631">
        <v>4.9000000000000004</v>
      </c>
      <c r="K1631" t="s">
        <v>41</v>
      </c>
      <c r="L1631" t="s">
        <v>18</v>
      </c>
      <c r="M1631" t="str">
        <f>VLOOKUP(D1635,Restaurant_Master!A:B,2,FALSE)</f>
        <v>https://dineout-media-assets.swiggy.com/swiggy/image/upload/fl_lossy,f_auto,q_auto/v1660793737/fdqxvxcxg1wtdwvyv45v.jpg</v>
      </c>
    </row>
    <row r="1632" spans="1:13" x14ac:dyDescent="0.3">
      <c r="A1632" t="s">
        <v>1662</v>
      </c>
      <c r="B1632" s="1">
        <v>45375</v>
      </c>
      <c r="C1632" t="s">
        <v>20</v>
      </c>
      <c r="D1632" t="s">
        <v>21</v>
      </c>
      <c r="E1632">
        <v>32</v>
      </c>
      <c r="F1632" t="s">
        <v>15</v>
      </c>
      <c r="G1632">
        <v>882.96</v>
      </c>
      <c r="H1632">
        <v>53</v>
      </c>
      <c r="I1632" t="s">
        <v>16</v>
      </c>
      <c r="J1632">
        <v>3.8</v>
      </c>
      <c r="K1632" t="s">
        <v>41</v>
      </c>
      <c r="L1632" t="s">
        <v>23</v>
      </c>
      <c r="M1632" t="str">
        <f>VLOOKUP(D1636,Restaurant_Master!A:B,2,FALSE)</f>
        <v>https://content.jdmagicbox.com/comp/deoria/g6/9999p5568.5568.200119143033.m4g6/catalogue/biryani-house-deoria-ho-deoria-mktc2xph0o.jpg</v>
      </c>
    </row>
    <row r="1633" spans="1:13" x14ac:dyDescent="0.3">
      <c r="A1633" t="s">
        <v>1663</v>
      </c>
      <c r="B1633" s="1">
        <v>45557</v>
      </c>
      <c r="C1633" t="s">
        <v>20</v>
      </c>
      <c r="D1633" t="s">
        <v>14</v>
      </c>
      <c r="E1633">
        <v>43</v>
      </c>
      <c r="F1633" t="s">
        <v>28</v>
      </c>
      <c r="G1633">
        <v>1102.96</v>
      </c>
      <c r="H1633">
        <v>31</v>
      </c>
      <c r="I1633" t="s">
        <v>22</v>
      </c>
      <c r="J1633">
        <v>3.2</v>
      </c>
      <c r="K1633" t="s">
        <v>29</v>
      </c>
      <c r="L1633" t="s">
        <v>18</v>
      </c>
      <c r="M1633" t="str">
        <f>VLOOKUP(D1637,Restaurant_Master!A:B,2,FALSE)</f>
        <v>https://dynamic-media-cdn.tripadvisor.com/media/photo-o/1c/e7/04/0d/front-of-the-local-easily.jpg</v>
      </c>
    </row>
    <row r="1634" spans="1:13" x14ac:dyDescent="0.3">
      <c r="A1634" t="s">
        <v>1664</v>
      </c>
      <c r="B1634" s="1">
        <v>45393</v>
      </c>
      <c r="C1634" t="s">
        <v>43</v>
      </c>
      <c r="D1634" t="s">
        <v>32</v>
      </c>
      <c r="E1634">
        <v>29</v>
      </c>
      <c r="F1634" t="s">
        <v>28</v>
      </c>
      <c r="G1634">
        <v>327.45999999999998</v>
      </c>
      <c r="H1634">
        <v>20</v>
      </c>
      <c r="I1634" t="s">
        <v>22</v>
      </c>
      <c r="J1634">
        <v>4.0999999999999996</v>
      </c>
      <c r="K1634" t="s">
        <v>17</v>
      </c>
      <c r="L1634" t="s">
        <v>23</v>
      </c>
      <c r="M1634" t="str">
        <f>VLOOKUP(D1638,Restaurant_Master!A:B,2,FALSE)</f>
        <v>https://content.jdmagicbox.com/comp/deoria/g6/9999p5568.5568.200119143033.m4g6/catalogue/biryani-house-deoria-ho-deoria-mktc2xph0o.jpg</v>
      </c>
    </row>
    <row r="1635" spans="1:13" x14ac:dyDescent="0.3">
      <c r="A1635" t="s">
        <v>1665</v>
      </c>
      <c r="B1635" s="1">
        <v>45302</v>
      </c>
      <c r="C1635" t="s">
        <v>34</v>
      </c>
      <c r="D1635" t="s">
        <v>14</v>
      </c>
      <c r="E1635">
        <v>47</v>
      </c>
      <c r="F1635" t="s">
        <v>15</v>
      </c>
      <c r="G1635">
        <v>838.91</v>
      </c>
      <c r="H1635">
        <v>47</v>
      </c>
      <c r="I1635" t="s">
        <v>16</v>
      </c>
      <c r="J1635">
        <v>4.8</v>
      </c>
      <c r="K1635" t="s">
        <v>41</v>
      </c>
      <c r="L1635" t="s">
        <v>23</v>
      </c>
      <c r="M1635" t="str">
        <f>VLOOKUP(D1639,Restaurant_Master!A:B,2,FALSE)</f>
        <v>https://www.chatswoodinterchange.com/storages/2018/08/Sushi-World_666x448.jpg</v>
      </c>
    </row>
    <row r="1636" spans="1:13" x14ac:dyDescent="0.3">
      <c r="A1636" t="s">
        <v>1666</v>
      </c>
      <c r="B1636" s="1">
        <v>45359</v>
      </c>
      <c r="C1636" t="s">
        <v>20</v>
      </c>
      <c r="D1636" t="s">
        <v>32</v>
      </c>
      <c r="E1636">
        <v>52</v>
      </c>
      <c r="F1636" t="s">
        <v>28</v>
      </c>
      <c r="G1636">
        <v>686.16</v>
      </c>
      <c r="H1636">
        <v>39</v>
      </c>
      <c r="I1636" t="s">
        <v>22</v>
      </c>
      <c r="J1636">
        <v>4.3</v>
      </c>
      <c r="K1636" t="s">
        <v>26</v>
      </c>
      <c r="L1636" t="s">
        <v>23</v>
      </c>
      <c r="M1636" t="str">
        <f>VLOOKUP(D1640,Restaurant_Master!A:B,2,FALSE)</f>
        <v>https://dineout-media-assets.swiggy.com/swiggy/image/upload/fl_lossy,f_auto,q_auto/v1660793737/fdqxvxcxg1wtdwvyv45v.jpg</v>
      </c>
    </row>
    <row r="1637" spans="1:13" x14ac:dyDescent="0.3">
      <c r="A1637" t="s">
        <v>1667</v>
      </c>
      <c r="B1637" s="1">
        <v>45609</v>
      </c>
      <c r="C1637" t="s">
        <v>13</v>
      </c>
      <c r="D1637" t="s">
        <v>21</v>
      </c>
      <c r="E1637">
        <v>20</v>
      </c>
      <c r="F1637" t="s">
        <v>28</v>
      </c>
      <c r="G1637">
        <v>839.4</v>
      </c>
      <c r="H1637">
        <v>53</v>
      </c>
      <c r="I1637" t="s">
        <v>16</v>
      </c>
      <c r="J1637">
        <v>4.2</v>
      </c>
      <c r="K1637" t="s">
        <v>26</v>
      </c>
      <c r="L1637" t="s">
        <v>18</v>
      </c>
      <c r="M1637" t="str">
        <f>VLOOKUP(D1641,Restaurant_Master!A:B,2,FALSE)</f>
        <v>https://www.chatswoodinterchange.com/storages/2018/08/Sushi-World_666x448.jpg</v>
      </c>
    </row>
    <row r="1638" spans="1:13" x14ac:dyDescent="0.3">
      <c r="A1638" t="s">
        <v>1668</v>
      </c>
      <c r="B1638" s="1">
        <v>45445</v>
      </c>
      <c r="C1638" t="s">
        <v>20</v>
      </c>
      <c r="D1638" t="s">
        <v>32</v>
      </c>
      <c r="E1638">
        <v>24</v>
      </c>
      <c r="F1638" t="s">
        <v>15</v>
      </c>
      <c r="G1638">
        <v>1014.09</v>
      </c>
      <c r="H1638">
        <v>48</v>
      </c>
      <c r="I1638" t="s">
        <v>16</v>
      </c>
      <c r="J1638">
        <v>4.2</v>
      </c>
      <c r="K1638" t="s">
        <v>26</v>
      </c>
      <c r="L1638" t="s">
        <v>23</v>
      </c>
      <c r="M1638" t="str">
        <f>VLOOKUP(D1642,Restaurant_Master!A:B,2,FALSE)</f>
        <v>https://www.chatswoodinterchange.com/storages/2018/08/Sushi-World_666x448.jpg</v>
      </c>
    </row>
    <row r="1639" spans="1:13" x14ac:dyDescent="0.3">
      <c r="A1639" t="s">
        <v>1669</v>
      </c>
      <c r="B1639" s="1">
        <v>45379</v>
      </c>
      <c r="C1639" t="s">
        <v>34</v>
      </c>
      <c r="D1639" t="s">
        <v>38</v>
      </c>
      <c r="E1639">
        <v>21</v>
      </c>
      <c r="F1639" t="s">
        <v>15</v>
      </c>
      <c r="G1639">
        <v>1087.79</v>
      </c>
      <c r="H1639">
        <v>35</v>
      </c>
      <c r="I1639" t="s">
        <v>22</v>
      </c>
      <c r="J1639">
        <v>4.4000000000000004</v>
      </c>
      <c r="K1639" t="s">
        <v>41</v>
      </c>
      <c r="L1639" t="s">
        <v>23</v>
      </c>
      <c r="M1639" t="str">
        <f>VLOOKUP(D1643,Restaurant_Master!A:B,2,FALSE)</f>
        <v>https://dineout-media-assets.swiggy.com/swiggy/image/upload/fl_lossy,f_auto,q_auto/v1660793737/fdqxvxcxg1wtdwvyv45v.jpg</v>
      </c>
    </row>
    <row r="1640" spans="1:13" x14ac:dyDescent="0.3">
      <c r="A1640" t="s">
        <v>1670</v>
      </c>
      <c r="B1640" s="1">
        <v>45626</v>
      </c>
      <c r="C1640" t="s">
        <v>34</v>
      </c>
      <c r="D1640" t="s">
        <v>14</v>
      </c>
      <c r="E1640">
        <v>34</v>
      </c>
      <c r="F1640" t="s">
        <v>15</v>
      </c>
      <c r="G1640">
        <v>467.22</v>
      </c>
      <c r="H1640">
        <v>48</v>
      </c>
      <c r="I1640" t="s">
        <v>16</v>
      </c>
      <c r="J1640">
        <v>3.4</v>
      </c>
      <c r="K1640" t="s">
        <v>41</v>
      </c>
      <c r="L1640" t="s">
        <v>23</v>
      </c>
      <c r="M1640" t="str">
        <f>VLOOKUP(D1644,Restaurant_Master!A:B,2,FALSE)</f>
        <v>https://www.chatswoodinterchange.com/storages/2018/08/Sushi-World_666x448.jpg</v>
      </c>
    </row>
    <row r="1641" spans="1:13" x14ac:dyDescent="0.3">
      <c r="A1641" t="s">
        <v>1671</v>
      </c>
      <c r="B1641" s="1">
        <v>45318</v>
      </c>
      <c r="C1641" t="s">
        <v>13</v>
      </c>
      <c r="D1641" t="s">
        <v>38</v>
      </c>
      <c r="E1641">
        <v>44</v>
      </c>
      <c r="F1641" t="s">
        <v>28</v>
      </c>
      <c r="G1641">
        <v>639.29999999999995</v>
      </c>
      <c r="H1641">
        <v>39</v>
      </c>
      <c r="I1641" t="s">
        <v>22</v>
      </c>
      <c r="J1641">
        <v>4.0999999999999996</v>
      </c>
      <c r="K1641" t="s">
        <v>41</v>
      </c>
      <c r="L1641" t="s">
        <v>18</v>
      </c>
      <c r="M1641" t="str">
        <f>VLOOKUP(D1645,Restaurant_Master!A:B,2,FALSE)</f>
        <v>https://media-cdn.tripadvisor.com/media/photo-s/1c/c7/97/b6/photo6jpg.jpg</v>
      </c>
    </row>
    <row r="1642" spans="1:13" x14ac:dyDescent="0.3">
      <c r="A1642" t="s">
        <v>1672</v>
      </c>
      <c r="B1642" s="1">
        <v>45639</v>
      </c>
      <c r="C1642" t="s">
        <v>43</v>
      </c>
      <c r="D1642" t="s">
        <v>38</v>
      </c>
      <c r="E1642">
        <v>30</v>
      </c>
      <c r="F1642" t="s">
        <v>15</v>
      </c>
      <c r="G1642">
        <v>325.10000000000002</v>
      </c>
      <c r="H1642">
        <v>43</v>
      </c>
      <c r="I1642" t="s">
        <v>16</v>
      </c>
      <c r="J1642">
        <v>3.5</v>
      </c>
      <c r="K1642" t="s">
        <v>26</v>
      </c>
      <c r="L1642" t="s">
        <v>23</v>
      </c>
      <c r="M1642" t="str">
        <f>VLOOKUP(D1646,Restaurant_Master!A:B,2,FALSE)</f>
        <v>https://dineout-media-assets.swiggy.com/swiggy/image/upload/fl_lossy,f_auto,q_auto/v1660793737/fdqxvxcxg1wtdwvyv45v.jpg</v>
      </c>
    </row>
    <row r="1643" spans="1:13" x14ac:dyDescent="0.3">
      <c r="A1643" t="s">
        <v>1673</v>
      </c>
      <c r="B1643" s="1">
        <v>45404</v>
      </c>
      <c r="C1643" t="s">
        <v>13</v>
      </c>
      <c r="D1643" t="s">
        <v>14</v>
      </c>
      <c r="E1643">
        <v>56</v>
      </c>
      <c r="F1643" t="s">
        <v>15</v>
      </c>
      <c r="G1643">
        <v>478.46</v>
      </c>
      <c r="H1643">
        <v>47</v>
      </c>
      <c r="I1643" t="s">
        <v>16</v>
      </c>
      <c r="J1643">
        <v>3.1</v>
      </c>
      <c r="K1643" t="s">
        <v>41</v>
      </c>
      <c r="L1643" t="s">
        <v>18</v>
      </c>
      <c r="M1643" t="str">
        <f>VLOOKUP(D1647,Restaurant_Master!A:B,2,FALSE)</f>
        <v>https://dineout-media-assets.swiggy.com/swiggy/image/upload/fl_lossy,f_auto,q_auto/v1660793737/fdqxvxcxg1wtdwvyv45v.jpg</v>
      </c>
    </row>
    <row r="1644" spans="1:13" x14ac:dyDescent="0.3">
      <c r="A1644" t="s">
        <v>1674</v>
      </c>
      <c r="B1644" s="1">
        <v>45543</v>
      </c>
      <c r="C1644" t="s">
        <v>20</v>
      </c>
      <c r="D1644" t="s">
        <v>38</v>
      </c>
      <c r="E1644">
        <v>50</v>
      </c>
      <c r="F1644" t="s">
        <v>15</v>
      </c>
      <c r="G1644">
        <v>649.11</v>
      </c>
      <c r="H1644">
        <v>20</v>
      </c>
      <c r="I1644" t="s">
        <v>22</v>
      </c>
      <c r="J1644">
        <v>3.2</v>
      </c>
      <c r="K1644" t="s">
        <v>41</v>
      </c>
      <c r="L1644" t="s">
        <v>18</v>
      </c>
      <c r="M1644" t="str">
        <f>VLOOKUP(D1648,Restaurant_Master!A:B,2,FALSE)</f>
        <v>https://media-cdn.tripadvisor.com/media/photo-s/1c/c7/97/b6/photo6jpg.jpg</v>
      </c>
    </row>
    <row r="1645" spans="1:13" x14ac:dyDescent="0.3">
      <c r="A1645" t="s">
        <v>1675</v>
      </c>
      <c r="B1645" s="1">
        <v>45412</v>
      </c>
      <c r="C1645" t="s">
        <v>34</v>
      </c>
      <c r="D1645" t="s">
        <v>25</v>
      </c>
      <c r="E1645">
        <v>59</v>
      </c>
      <c r="F1645" t="s">
        <v>28</v>
      </c>
      <c r="G1645">
        <v>367.71</v>
      </c>
      <c r="H1645">
        <v>44</v>
      </c>
      <c r="I1645" t="s">
        <v>16</v>
      </c>
      <c r="J1645">
        <v>4</v>
      </c>
      <c r="K1645" t="s">
        <v>26</v>
      </c>
      <c r="L1645" t="s">
        <v>18</v>
      </c>
      <c r="M1645" t="str">
        <f>VLOOKUP(D1649,Restaurant_Master!A:B,2,FALSE)</f>
        <v>https://media-cdn.tripadvisor.com/media/photo-s/1c/c7/97/b6/photo6jpg.jpg</v>
      </c>
    </row>
    <row r="1646" spans="1:13" x14ac:dyDescent="0.3">
      <c r="A1646" t="s">
        <v>1676</v>
      </c>
      <c r="B1646" s="1">
        <v>45295</v>
      </c>
      <c r="C1646" t="s">
        <v>34</v>
      </c>
      <c r="D1646" t="s">
        <v>14</v>
      </c>
      <c r="E1646">
        <v>34</v>
      </c>
      <c r="F1646" t="s">
        <v>15</v>
      </c>
      <c r="G1646">
        <v>293.14999999999998</v>
      </c>
      <c r="H1646">
        <v>58</v>
      </c>
      <c r="I1646" t="s">
        <v>16</v>
      </c>
      <c r="J1646">
        <v>4.5</v>
      </c>
      <c r="K1646" t="s">
        <v>26</v>
      </c>
      <c r="L1646" t="s">
        <v>23</v>
      </c>
      <c r="M1646" t="str">
        <f>VLOOKUP(D1650,Restaurant_Master!A:B,2,FALSE)</f>
        <v>https://www.chatswoodinterchange.com/storages/2018/08/Sushi-World_666x448.jpg</v>
      </c>
    </row>
    <row r="1647" spans="1:13" x14ac:dyDescent="0.3">
      <c r="A1647" t="s">
        <v>1677</v>
      </c>
      <c r="B1647" s="1">
        <v>45294</v>
      </c>
      <c r="C1647" t="s">
        <v>43</v>
      </c>
      <c r="D1647" t="s">
        <v>14</v>
      </c>
      <c r="E1647">
        <v>24</v>
      </c>
      <c r="F1647" t="s">
        <v>28</v>
      </c>
      <c r="G1647">
        <v>631.89</v>
      </c>
      <c r="H1647">
        <v>26</v>
      </c>
      <c r="I1647" t="s">
        <v>22</v>
      </c>
      <c r="J1647">
        <v>4.5999999999999996</v>
      </c>
      <c r="K1647" t="s">
        <v>17</v>
      </c>
      <c r="L1647" t="s">
        <v>23</v>
      </c>
      <c r="M1647" t="str">
        <f>VLOOKUP(D1651,Restaurant_Master!A:B,2,FALSE)</f>
        <v>https://dynamic-media-cdn.tripadvisor.com/media/photo-o/1c/e7/04/0d/front-of-the-local-easily.jpg</v>
      </c>
    </row>
    <row r="1648" spans="1:13" x14ac:dyDescent="0.3">
      <c r="A1648" t="s">
        <v>1678</v>
      </c>
      <c r="B1648" s="1">
        <v>45457</v>
      </c>
      <c r="C1648" t="s">
        <v>20</v>
      </c>
      <c r="D1648" t="s">
        <v>25</v>
      </c>
      <c r="E1648">
        <v>34</v>
      </c>
      <c r="F1648" t="s">
        <v>28</v>
      </c>
      <c r="G1648">
        <v>260.74</v>
      </c>
      <c r="H1648">
        <v>49</v>
      </c>
      <c r="I1648" t="s">
        <v>16</v>
      </c>
      <c r="J1648">
        <v>3.4</v>
      </c>
      <c r="K1648" t="s">
        <v>41</v>
      </c>
      <c r="L1648" t="s">
        <v>23</v>
      </c>
      <c r="M1648" t="str">
        <f>VLOOKUP(D1652,Restaurant_Master!A:B,2,FALSE)</f>
        <v>https://www.chatswoodinterchange.com/storages/2018/08/Sushi-World_666x448.jpg</v>
      </c>
    </row>
    <row r="1649" spans="1:13" x14ac:dyDescent="0.3">
      <c r="A1649" t="s">
        <v>1679</v>
      </c>
      <c r="B1649" s="1">
        <v>45595</v>
      </c>
      <c r="C1649" t="s">
        <v>20</v>
      </c>
      <c r="D1649" t="s">
        <v>25</v>
      </c>
      <c r="E1649">
        <v>32</v>
      </c>
      <c r="F1649" t="s">
        <v>15</v>
      </c>
      <c r="G1649">
        <v>1143.54</v>
      </c>
      <c r="H1649">
        <v>34</v>
      </c>
      <c r="I1649" t="s">
        <v>22</v>
      </c>
      <c r="J1649">
        <v>4.5</v>
      </c>
      <c r="K1649" t="s">
        <v>26</v>
      </c>
      <c r="L1649" t="s">
        <v>23</v>
      </c>
      <c r="M1649" t="str">
        <f>VLOOKUP(D1653,Restaurant_Master!A:B,2,FALSE)</f>
        <v>https://www.chatswoodinterchange.com/storages/2018/08/Sushi-World_666x448.jpg</v>
      </c>
    </row>
    <row r="1650" spans="1:13" x14ac:dyDescent="0.3">
      <c r="A1650" t="s">
        <v>1680</v>
      </c>
      <c r="B1650" s="1">
        <v>45397</v>
      </c>
      <c r="C1650" t="s">
        <v>34</v>
      </c>
      <c r="D1650" t="s">
        <v>38</v>
      </c>
      <c r="E1650">
        <v>18</v>
      </c>
      <c r="F1650" t="s">
        <v>15</v>
      </c>
      <c r="G1650">
        <v>828.55</v>
      </c>
      <c r="H1650">
        <v>54</v>
      </c>
      <c r="I1650" t="s">
        <v>16</v>
      </c>
      <c r="J1650">
        <v>4</v>
      </c>
      <c r="K1650" t="s">
        <v>41</v>
      </c>
      <c r="L1650" t="s">
        <v>18</v>
      </c>
      <c r="M1650" t="str">
        <f>VLOOKUP(D1654,Restaurant_Master!A:B,2,FALSE)</f>
        <v>https://dynamic-media-cdn.tripadvisor.com/media/photo-o/1c/e7/04/0d/front-of-the-local-easily.jpg</v>
      </c>
    </row>
    <row r="1651" spans="1:13" x14ac:dyDescent="0.3">
      <c r="A1651" t="s">
        <v>1681</v>
      </c>
      <c r="B1651" s="1">
        <v>45360</v>
      </c>
      <c r="C1651" t="s">
        <v>36</v>
      </c>
      <c r="D1651" t="s">
        <v>21</v>
      </c>
      <c r="E1651">
        <v>39</v>
      </c>
      <c r="F1651" t="s">
        <v>15</v>
      </c>
      <c r="G1651">
        <v>740.64</v>
      </c>
      <c r="H1651">
        <v>25</v>
      </c>
      <c r="I1651" t="s">
        <v>22</v>
      </c>
      <c r="J1651">
        <v>3.3</v>
      </c>
      <c r="K1651" t="s">
        <v>41</v>
      </c>
      <c r="L1651" t="s">
        <v>18</v>
      </c>
      <c r="M1651" t="str">
        <f>VLOOKUP(D1655,Restaurant_Master!A:B,2,FALSE)</f>
        <v>https://dynamic-media-cdn.tripadvisor.com/media/photo-o/1c/e7/04/0d/front-of-the-local-easily.jpg</v>
      </c>
    </row>
    <row r="1652" spans="1:13" x14ac:dyDescent="0.3">
      <c r="A1652" t="s">
        <v>1682</v>
      </c>
      <c r="B1652" s="1">
        <v>45443</v>
      </c>
      <c r="C1652" t="s">
        <v>43</v>
      </c>
      <c r="D1652" t="s">
        <v>38</v>
      </c>
      <c r="E1652">
        <v>42</v>
      </c>
      <c r="F1652" t="s">
        <v>15</v>
      </c>
      <c r="G1652">
        <v>885.97</v>
      </c>
      <c r="H1652">
        <v>49</v>
      </c>
      <c r="I1652" t="s">
        <v>16</v>
      </c>
      <c r="J1652">
        <v>2.5</v>
      </c>
      <c r="K1652" t="s">
        <v>26</v>
      </c>
      <c r="L1652" t="s">
        <v>23</v>
      </c>
      <c r="M1652" t="str">
        <f>VLOOKUP(D1656,Restaurant_Master!A:B,2,FALSE)</f>
        <v>https://media-cdn.tripadvisor.com/media/photo-s/1c/c7/97/b6/photo6jpg.jpg</v>
      </c>
    </row>
    <row r="1653" spans="1:13" x14ac:dyDescent="0.3">
      <c r="A1653" t="s">
        <v>1683</v>
      </c>
      <c r="B1653" s="1">
        <v>45369</v>
      </c>
      <c r="C1653" t="s">
        <v>34</v>
      </c>
      <c r="D1653" t="s">
        <v>38</v>
      </c>
      <c r="E1653">
        <v>42</v>
      </c>
      <c r="F1653" t="s">
        <v>28</v>
      </c>
      <c r="G1653">
        <v>502.33</v>
      </c>
      <c r="H1653">
        <v>35</v>
      </c>
      <c r="I1653" t="s">
        <v>22</v>
      </c>
      <c r="J1653">
        <v>3.3</v>
      </c>
      <c r="K1653" t="s">
        <v>17</v>
      </c>
      <c r="L1653" t="s">
        <v>23</v>
      </c>
      <c r="M1653" t="str">
        <f>VLOOKUP(D1657,Restaurant_Master!A:B,2,FALSE)</f>
        <v>https://www.chatswoodinterchange.com/storages/2018/08/Sushi-World_666x448.jpg</v>
      </c>
    </row>
    <row r="1654" spans="1:13" x14ac:dyDescent="0.3">
      <c r="A1654" t="s">
        <v>1684</v>
      </c>
      <c r="B1654" s="1">
        <v>45417</v>
      </c>
      <c r="C1654" t="s">
        <v>36</v>
      </c>
      <c r="D1654" t="s">
        <v>21</v>
      </c>
      <c r="E1654">
        <v>20</v>
      </c>
      <c r="F1654" t="s">
        <v>15</v>
      </c>
      <c r="G1654">
        <v>506.94</v>
      </c>
      <c r="H1654">
        <v>35</v>
      </c>
      <c r="I1654" t="s">
        <v>22</v>
      </c>
      <c r="J1654">
        <v>3.6</v>
      </c>
      <c r="K1654" t="s">
        <v>41</v>
      </c>
      <c r="L1654" t="s">
        <v>18</v>
      </c>
      <c r="M1654" t="str">
        <f>VLOOKUP(D1658,Restaurant_Master!A:B,2,FALSE)</f>
        <v>https://content.jdmagicbox.com/comp/deoria/g6/9999p5568.5568.200119143033.m4g6/catalogue/biryani-house-deoria-ho-deoria-mktc2xph0o.jpg</v>
      </c>
    </row>
    <row r="1655" spans="1:13" x14ac:dyDescent="0.3">
      <c r="A1655" t="s">
        <v>1685</v>
      </c>
      <c r="B1655" s="1">
        <v>45461</v>
      </c>
      <c r="C1655" t="s">
        <v>34</v>
      </c>
      <c r="D1655" t="s">
        <v>21</v>
      </c>
      <c r="E1655">
        <v>49</v>
      </c>
      <c r="F1655" t="s">
        <v>15</v>
      </c>
      <c r="G1655">
        <v>282.74</v>
      </c>
      <c r="H1655">
        <v>48</v>
      </c>
      <c r="I1655" t="s">
        <v>16</v>
      </c>
      <c r="J1655">
        <v>2.8</v>
      </c>
      <c r="K1655" t="s">
        <v>29</v>
      </c>
      <c r="L1655" t="s">
        <v>18</v>
      </c>
      <c r="M1655" t="str">
        <f>VLOOKUP(D1659,Restaurant_Master!A:B,2,FALSE)</f>
        <v>https://dineout-media-assets.swiggy.com/swiggy/image/upload/fl_lossy,f_auto,q_auto/v1660793737/fdqxvxcxg1wtdwvyv45v.jpg</v>
      </c>
    </row>
    <row r="1656" spans="1:13" x14ac:dyDescent="0.3">
      <c r="A1656" t="s">
        <v>1686</v>
      </c>
      <c r="B1656" s="1">
        <v>45471</v>
      </c>
      <c r="C1656" t="s">
        <v>20</v>
      </c>
      <c r="D1656" t="s">
        <v>25</v>
      </c>
      <c r="E1656">
        <v>25</v>
      </c>
      <c r="F1656" t="s">
        <v>28</v>
      </c>
      <c r="G1656">
        <v>390.21</v>
      </c>
      <c r="H1656">
        <v>29</v>
      </c>
      <c r="I1656" t="s">
        <v>22</v>
      </c>
      <c r="J1656">
        <v>3.4</v>
      </c>
      <c r="K1656" t="s">
        <v>29</v>
      </c>
      <c r="L1656" t="s">
        <v>18</v>
      </c>
      <c r="M1656" t="str">
        <f>VLOOKUP(D1660,Restaurant_Master!A:B,2,FALSE)</f>
        <v>https://dineout-media-assets.swiggy.com/swiggy/image/upload/fl_lossy,f_auto,q_auto/v1660793737/fdqxvxcxg1wtdwvyv45v.jpg</v>
      </c>
    </row>
    <row r="1657" spans="1:13" x14ac:dyDescent="0.3">
      <c r="A1657" t="s">
        <v>1687</v>
      </c>
      <c r="B1657" s="1">
        <v>45570</v>
      </c>
      <c r="C1657" t="s">
        <v>36</v>
      </c>
      <c r="D1657" t="s">
        <v>38</v>
      </c>
      <c r="E1657">
        <v>33</v>
      </c>
      <c r="F1657" t="s">
        <v>28</v>
      </c>
      <c r="G1657">
        <v>611.13</v>
      </c>
      <c r="H1657">
        <v>24</v>
      </c>
      <c r="I1657" t="s">
        <v>22</v>
      </c>
      <c r="J1657">
        <v>2.7</v>
      </c>
      <c r="K1657" t="s">
        <v>17</v>
      </c>
      <c r="L1657" t="s">
        <v>23</v>
      </c>
      <c r="M1657" t="str">
        <f>VLOOKUP(D1661,Restaurant_Master!A:B,2,FALSE)</f>
        <v>https://media-cdn.tripadvisor.com/media/photo-s/1c/c7/97/b6/photo6jpg.jpg</v>
      </c>
    </row>
    <row r="1658" spans="1:13" x14ac:dyDescent="0.3">
      <c r="A1658" t="s">
        <v>1688</v>
      </c>
      <c r="B1658" s="1">
        <v>45570</v>
      </c>
      <c r="C1658" t="s">
        <v>34</v>
      </c>
      <c r="D1658" t="s">
        <v>32</v>
      </c>
      <c r="E1658">
        <v>20</v>
      </c>
      <c r="F1658" t="s">
        <v>28</v>
      </c>
      <c r="G1658">
        <v>668.45</v>
      </c>
      <c r="H1658">
        <v>40</v>
      </c>
      <c r="I1658" t="s">
        <v>22</v>
      </c>
      <c r="J1658">
        <v>3.3</v>
      </c>
      <c r="K1658" t="s">
        <v>29</v>
      </c>
      <c r="L1658" t="s">
        <v>18</v>
      </c>
      <c r="M1658" t="str">
        <f>VLOOKUP(D1662,Restaurant_Master!A:B,2,FALSE)</f>
        <v>https://www.chatswoodinterchange.com/storages/2018/08/Sushi-World_666x448.jpg</v>
      </c>
    </row>
    <row r="1659" spans="1:13" x14ac:dyDescent="0.3">
      <c r="A1659" t="s">
        <v>1689</v>
      </c>
      <c r="B1659" s="1">
        <v>45486</v>
      </c>
      <c r="C1659" t="s">
        <v>13</v>
      </c>
      <c r="D1659" t="s">
        <v>14</v>
      </c>
      <c r="E1659">
        <v>59</v>
      </c>
      <c r="F1659" t="s">
        <v>28</v>
      </c>
      <c r="G1659">
        <v>1170.8399999999999</v>
      </c>
      <c r="H1659">
        <v>50</v>
      </c>
      <c r="I1659" t="s">
        <v>16</v>
      </c>
      <c r="J1659">
        <v>4.9000000000000004</v>
      </c>
      <c r="K1659" t="s">
        <v>17</v>
      </c>
      <c r="L1659" t="s">
        <v>18</v>
      </c>
      <c r="M1659" t="str">
        <f>VLOOKUP(D1663,Restaurant_Master!A:B,2,FALSE)</f>
        <v>https://media-cdn.tripadvisor.com/media/photo-s/1c/c7/97/b6/photo6jpg.jpg</v>
      </c>
    </row>
    <row r="1660" spans="1:13" x14ac:dyDescent="0.3">
      <c r="A1660" t="s">
        <v>1690</v>
      </c>
      <c r="B1660" s="1">
        <v>45377</v>
      </c>
      <c r="C1660" t="s">
        <v>20</v>
      </c>
      <c r="D1660" t="s">
        <v>14</v>
      </c>
      <c r="E1660">
        <v>47</v>
      </c>
      <c r="F1660" t="s">
        <v>15</v>
      </c>
      <c r="G1660">
        <v>553.5</v>
      </c>
      <c r="H1660">
        <v>49</v>
      </c>
      <c r="I1660" t="s">
        <v>16</v>
      </c>
      <c r="J1660">
        <v>4.5999999999999996</v>
      </c>
      <c r="K1660" t="s">
        <v>17</v>
      </c>
      <c r="L1660" t="s">
        <v>18</v>
      </c>
      <c r="M1660" t="str">
        <f>VLOOKUP(D1664,Restaurant_Master!A:B,2,FALSE)</f>
        <v>https://dineout-media-assets.swiggy.com/swiggy/image/upload/fl_lossy,f_auto,q_auto/v1660793737/fdqxvxcxg1wtdwvyv45v.jpg</v>
      </c>
    </row>
    <row r="1661" spans="1:13" x14ac:dyDescent="0.3">
      <c r="A1661" t="s">
        <v>1691</v>
      </c>
      <c r="B1661" s="1">
        <v>45454</v>
      </c>
      <c r="C1661" t="s">
        <v>20</v>
      </c>
      <c r="D1661" t="s">
        <v>25</v>
      </c>
      <c r="E1661">
        <v>47</v>
      </c>
      <c r="F1661" t="s">
        <v>28</v>
      </c>
      <c r="G1661">
        <v>474.88</v>
      </c>
      <c r="H1661">
        <v>33</v>
      </c>
      <c r="I1661" t="s">
        <v>22</v>
      </c>
      <c r="J1661">
        <v>3.2</v>
      </c>
      <c r="K1661" t="s">
        <v>26</v>
      </c>
      <c r="L1661" t="s">
        <v>18</v>
      </c>
      <c r="M1661" t="str">
        <f>VLOOKUP(D1665,Restaurant_Master!A:B,2,FALSE)</f>
        <v>https://media-cdn.tripadvisor.com/media/photo-s/1c/c7/97/b6/photo6jpg.jpg</v>
      </c>
    </row>
    <row r="1662" spans="1:13" x14ac:dyDescent="0.3">
      <c r="A1662" t="s">
        <v>1692</v>
      </c>
      <c r="B1662" s="1">
        <v>45641</v>
      </c>
      <c r="C1662" t="s">
        <v>13</v>
      </c>
      <c r="D1662" t="s">
        <v>38</v>
      </c>
      <c r="E1662">
        <v>44</v>
      </c>
      <c r="F1662" t="s">
        <v>28</v>
      </c>
      <c r="G1662">
        <v>1003.2</v>
      </c>
      <c r="H1662">
        <v>53</v>
      </c>
      <c r="I1662" t="s">
        <v>16</v>
      </c>
      <c r="J1662">
        <v>4.5999999999999996</v>
      </c>
      <c r="K1662" t="s">
        <v>26</v>
      </c>
      <c r="L1662" t="s">
        <v>23</v>
      </c>
      <c r="M1662" t="str">
        <f>VLOOKUP(D1666,Restaurant_Master!A:B,2,FALSE)</f>
        <v>https://dineout-media-assets.swiggy.com/swiggy/image/upload/fl_lossy,f_auto,q_auto/v1660793737/fdqxvxcxg1wtdwvyv45v.jpg</v>
      </c>
    </row>
    <row r="1663" spans="1:13" x14ac:dyDescent="0.3">
      <c r="A1663" t="s">
        <v>1693</v>
      </c>
      <c r="B1663" s="1">
        <v>45562</v>
      </c>
      <c r="C1663" t="s">
        <v>34</v>
      </c>
      <c r="D1663" t="s">
        <v>25</v>
      </c>
      <c r="E1663">
        <v>34</v>
      </c>
      <c r="F1663" t="s">
        <v>28</v>
      </c>
      <c r="G1663">
        <v>733.66</v>
      </c>
      <c r="H1663">
        <v>48</v>
      </c>
      <c r="I1663" t="s">
        <v>16</v>
      </c>
      <c r="J1663">
        <v>3.5</v>
      </c>
      <c r="K1663" t="s">
        <v>26</v>
      </c>
      <c r="L1663" t="s">
        <v>23</v>
      </c>
      <c r="M1663" t="str">
        <f>VLOOKUP(D1667,Restaurant_Master!A:B,2,FALSE)</f>
        <v>https://content.jdmagicbox.com/comp/deoria/g6/9999p5568.5568.200119143033.m4g6/catalogue/biryani-house-deoria-ho-deoria-mktc2xph0o.jpg</v>
      </c>
    </row>
    <row r="1664" spans="1:13" x14ac:dyDescent="0.3">
      <c r="A1664" t="s">
        <v>1694</v>
      </c>
      <c r="B1664" s="1">
        <v>45321</v>
      </c>
      <c r="C1664" t="s">
        <v>34</v>
      </c>
      <c r="D1664" t="s">
        <v>14</v>
      </c>
      <c r="E1664">
        <v>39</v>
      </c>
      <c r="F1664" t="s">
        <v>15</v>
      </c>
      <c r="G1664">
        <v>674.53</v>
      </c>
      <c r="H1664">
        <v>23</v>
      </c>
      <c r="I1664" t="s">
        <v>22</v>
      </c>
      <c r="J1664">
        <v>4.2</v>
      </c>
      <c r="K1664" t="s">
        <v>29</v>
      </c>
      <c r="L1664" t="s">
        <v>23</v>
      </c>
      <c r="M1664" t="str">
        <f>VLOOKUP(D1668,Restaurant_Master!A:B,2,FALSE)</f>
        <v>https://media-cdn.tripadvisor.com/media/photo-s/1c/c7/97/b6/photo6jpg.jpg</v>
      </c>
    </row>
    <row r="1665" spans="1:13" x14ac:dyDescent="0.3">
      <c r="A1665" t="s">
        <v>1695</v>
      </c>
      <c r="B1665" s="1">
        <v>45481</v>
      </c>
      <c r="C1665" t="s">
        <v>43</v>
      </c>
      <c r="D1665" t="s">
        <v>25</v>
      </c>
      <c r="E1665">
        <v>39</v>
      </c>
      <c r="F1665" t="s">
        <v>15</v>
      </c>
      <c r="G1665">
        <v>279.14999999999998</v>
      </c>
      <c r="H1665">
        <v>38</v>
      </c>
      <c r="I1665" t="s">
        <v>22</v>
      </c>
      <c r="J1665">
        <v>2.9</v>
      </c>
      <c r="K1665" t="s">
        <v>26</v>
      </c>
      <c r="L1665" t="s">
        <v>23</v>
      </c>
      <c r="M1665" t="str">
        <f>VLOOKUP(D1669,Restaurant_Master!A:B,2,FALSE)</f>
        <v>https://content.jdmagicbox.com/comp/deoria/g6/9999p5568.5568.200119143033.m4g6/catalogue/biryani-house-deoria-ho-deoria-mktc2xph0o.jpg</v>
      </c>
    </row>
    <row r="1666" spans="1:13" x14ac:dyDescent="0.3">
      <c r="A1666" t="s">
        <v>1696</v>
      </c>
      <c r="B1666" s="1">
        <v>45407</v>
      </c>
      <c r="C1666" t="s">
        <v>34</v>
      </c>
      <c r="D1666" t="s">
        <v>14</v>
      </c>
      <c r="E1666">
        <v>57</v>
      </c>
      <c r="F1666" t="s">
        <v>28</v>
      </c>
      <c r="G1666">
        <v>777.75</v>
      </c>
      <c r="H1666">
        <v>21</v>
      </c>
      <c r="I1666" t="s">
        <v>22</v>
      </c>
      <c r="J1666">
        <v>3.2</v>
      </c>
      <c r="K1666" t="s">
        <v>17</v>
      </c>
      <c r="L1666" t="s">
        <v>23</v>
      </c>
      <c r="M1666" t="str">
        <f>VLOOKUP(D1670,Restaurant_Master!A:B,2,FALSE)</f>
        <v>https://www.chatswoodinterchange.com/storages/2018/08/Sushi-World_666x448.jpg</v>
      </c>
    </row>
    <row r="1667" spans="1:13" x14ac:dyDescent="0.3">
      <c r="A1667" t="s">
        <v>1697</v>
      </c>
      <c r="B1667" s="1">
        <v>45295</v>
      </c>
      <c r="C1667" t="s">
        <v>36</v>
      </c>
      <c r="D1667" t="s">
        <v>32</v>
      </c>
      <c r="E1667">
        <v>43</v>
      </c>
      <c r="F1667" t="s">
        <v>28</v>
      </c>
      <c r="G1667">
        <v>1141.6400000000001</v>
      </c>
      <c r="H1667">
        <v>22</v>
      </c>
      <c r="I1667" t="s">
        <v>22</v>
      </c>
      <c r="J1667">
        <v>4.3</v>
      </c>
      <c r="K1667" t="s">
        <v>17</v>
      </c>
      <c r="L1667" t="s">
        <v>23</v>
      </c>
      <c r="M1667" t="str">
        <f>VLOOKUP(D1671,Restaurant_Master!A:B,2,FALSE)</f>
        <v>https://dineout-media-assets.swiggy.com/swiggy/image/upload/fl_lossy,f_auto,q_auto/v1660793737/fdqxvxcxg1wtdwvyv45v.jpg</v>
      </c>
    </row>
    <row r="1668" spans="1:13" x14ac:dyDescent="0.3">
      <c r="A1668" t="s">
        <v>1698</v>
      </c>
      <c r="B1668" s="1">
        <v>45417</v>
      </c>
      <c r="C1668" t="s">
        <v>43</v>
      </c>
      <c r="D1668" t="s">
        <v>25</v>
      </c>
      <c r="E1668">
        <v>41</v>
      </c>
      <c r="F1668" t="s">
        <v>28</v>
      </c>
      <c r="G1668">
        <v>1022.03</v>
      </c>
      <c r="H1668">
        <v>52</v>
      </c>
      <c r="I1668" t="s">
        <v>16</v>
      </c>
      <c r="J1668">
        <v>4.0999999999999996</v>
      </c>
      <c r="K1668" t="s">
        <v>26</v>
      </c>
      <c r="L1668" t="s">
        <v>18</v>
      </c>
      <c r="M1668" t="str">
        <f>VLOOKUP(D1672,Restaurant_Master!A:B,2,FALSE)</f>
        <v>https://dineout-media-assets.swiggy.com/swiggy/image/upload/fl_lossy,f_auto,q_auto/v1660793737/fdqxvxcxg1wtdwvyv45v.jpg</v>
      </c>
    </row>
    <row r="1669" spans="1:13" x14ac:dyDescent="0.3">
      <c r="A1669" t="s">
        <v>1699</v>
      </c>
      <c r="B1669" s="1">
        <v>45458</v>
      </c>
      <c r="C1669" t="s">
        <v>20</v>
      </c>
      <c r="D1669" t="s">
        <v>32</v>
      </c>
      <c r="E1669">
        <v>50</v>
      </c>
      <c r="F1669" t="s">
        <v>15</v>
      </c>
      <c r="G1669">
        <v>737.8</v>
      </c>
      <c r="H1669">
        <v>44</v>
      </c>
      <c r="I1669" t="s">
        <v>16</v>
      </c>
      <c r="J1669">
        <v>3.9</v>
      </c>
      <c r="K1669" t="s">
        <v>26</v>
      </c>
      <c r="L1669" t="s">
        <v>23</v>
      </c>
      <c r="M1669" t="str">
        <f>VLOOKUP(D1673,Restaurant_Master!A:B,2,FALSE)</f>
        <v>https://media-cdn.tripadvisor.com/media/photo-s/1c/c7/97/b6/photo6jpg.jpg</v>
      </c>
    </row>
    <row r="1670" spans="1:13" x14ac:dyDescent="0.3">
      <c r="A1670" t="s">
        <v>1700</v>
      </c>
      <c r="B1670" s="1">
        <v>45581</v>
      </c>
      <c r="C1670" t="s">
        <v>43</v>
      </c>
      <c r="D1670" t="s">
        <v>38</v>
      </c>
      <c r="E1670">
        <v>41</v>
      </c>
      <c r="F1670" t="s">
        <v>28</v>
      </c>
      <c r="G1670">
        <v>210.01</v>
      </c>
      <c r="H1670">
        <v>56</v>
      </c>
      <c r="I1670" t="s">
        <v>16</v>
      </c>
      <c r="J1670">
        <v>3.6</v>
      </c>
      <c r="K1670" t="s">
        <v>29</v>
      </c>
      <c r="L1670" t="s">
        <v>23</v>
      </c>
      <c r="M1670" t="str">
        <f>VLOOKUP(D1674,Restaurant_Master!A:B,2,FALSE)</f>
        <v>https://content.jdmagicbox.com/comp/deoria/g6/9999p5568.5568.200119143033.m4g6/catalogue/biryani-house-deoria-ho-deoria-mktc2xph0o.jpg</v>
      </c>
    </row>
    <row r="1671" spans="1:13" x14ac:dyDescent="0.3">
      <c r="A1671" t="s">
        <v>1701</v>
      </c>
      <c r="B1671" s="1">
        <v>45521</v>
      </c>
      <c r="C1671" t="s">
        <v>20</v>
      </c>
      <c r="D1671" t="s">
        <v>14</v>
      </c>
      <c r="E1671">
        <v>49</v>
      </c>
      <c r="F1671" t="s">
        <v>15</v>
      </c>
      <c r="G1671">
        <v>1068.0899999999999</v>
      </c>
      <c r="H1671">
        <v>51</v>
      </c>
      <c r="I1671" t="s">
        <v>16</v>
      </c>
      <c r="J1671">
        <v>4.9000000000000004</v>
      </c>
      <c r="K1671" t="s">
        <v>29</v>
      </c>
      <c r="L1671" t="s">
        <v>23</v>
      </c>
      <c r="M1671" t="str">
        <f>VLOOKUP(D1675,Restaurant_Master!A:B,2,FALSE)</f>
        <v>https://media-cdn.tripadvisor.com/media/photo-s/1c/c7/97/b6/photo6jpg.jpg</v>
      </c>
    </row>
    <row r="1672" spans="1:13" x14ac:dyDescent="0.3">
      <c r="A1672" t="s">
        <v>1702</v>
      </c>
      <c r="B1672" s="1">
        <v>45296</v>
      </c>
      <c r="C1672" t="s">
        <v>34</v>
      </c>
      <c r="D1672" t="s">
        <v>14</v>
      </c>
      <c r="E1672">
        <v>35</v>
      </c>
      <c r="F1672" t="s">
        <v>28</v>
      </c>
      <c r="G1672">
        <v>437.14</v>
      </c>
      <c r="H1672">
        <v>29</v>
      </c>
      <c r="I1672" t="s">
        <v>22</v>
      </c>
      <c r="J1672">
        <v>3.3</v>
      </c>
      <c r="K1672" t="s">
        <v>26</v>
      </c>
      <c r="L1672" t="s">
        <v>18</v>
      </c>
      <c r="M1672" t="str">
        <f>VLOOKUP(D1676,Restaurant_Master!A:B,2,FALSE)</f>
        <v>https://dineout-media-assets.swiggy.com/swiggy/image/upload/fl_lossy,f_auto,q_auto/v1660793737/fdqxvxcxg1wtdwvyv45v.jpg</v>
      </c>
    </row>
    <row r="1673" spans="1:13" x14ac:dyDescent="0.3">
      <c r="A1673" t="s">
        <v>1703</v>
      </c>
      <c r="B1673" s="1">
        <v>45326</v>
      </c>
      <c r="C1673" t="s">
        <v>20</v>
      </c>
      <c r="D1673" t="s">
        <v>25</v>
      </c>
      <c r="E1673">
        <v>29</v>
      </c>
      <c r="F1673" t="s">
        <v>28</v>
      </c>
      <c r="G1673">
        <v>857.66</v>
      </c>
      <c r="H1673">
        <v>40</v>
      </c>
      <c r="I1673" t="s">
        <v>22</v>
      </c>
      <c r="J1673">
        <v>2.9</v>
      </c>
      <c r="K1673" t="s">
        <v>29</v>
      </c>
      <c r="L1673" t="s">
        <v>18</v>
      </c>
      <c r="M1673" t="str">
        <f>VLOOKUP(D1677,Restaurant_Master!A:B,2,FALSE)</f>
        <v>https://content.jdmagicbox.com/comp/deoria/g6/9999p5568.5568.200119143033.m4g6/catalogue/biryani-house-deoria-ho-deoria-mktc2xph0o.jpg</v>
      </c>
    </row>
    <row r="1674" spans="1:13" x14ac:dyDescent="0.3">
      <c r="A1674" t="s">
        <v>1704</v>
      </c>
      <c r="B1674" s="1">
        <v>45656</v>
      </c>
      <c r="C1674" t="s">
        <v>13</v>
      </c>
      <c r="D1674" t="s">
        <v>32</v>
      </c>
      <c r="E1674">
        <v>20</v>
      </c>
      <c r="F1674" t="s">
        <v>28</v>
      </c>
      <c r="G1674">
        <v>472.31</v>
      </c>
      <c r="H1674">
        <v>35</v>
      </c>
      <c r="I1674" t="s">
        <v>22</v>
      </c>
      <c r="J1674">
        <v>4.8</v>
      </c>
      <c r="K1674" t="s">
        <v>29</v>
      </c>
      <c r="L1674" t="s">
        <v>23</v>
      </c>
      <c r="M1674" t="str">
        <f>VLOOKUP(D1678,Restaurant_Master!A:B,2,FALSE)</f>
        <v>https://media-cdn.tripadvisor.com/media/photo-s/1c/c7/97/b6/photo6jpg.jpg</v>
      </c>
    </row>
    <row r="1675" spans="1:13" x14ac:dyDescent="0.3">
      <c r="A1675" t="s">
        <v>1705</v>
      </c>
      <c r="B1675" s="1">
        <v>45572</v>
      </c>
      <c r="C1675" t="s">
        <v>36</v>
      </c>
      <c r="D1675" t="s">
        <v>25</v>
      </c>
      <c r="E1675">
        <v>25</v>
      </c>
      <c r="F1675" t="s">
        <v>15</v>
      </c>
      <c r="G1675">
        <v>673.1</v>
      </c>
      <c r="H1675">
        <v>30</v>
      </c>
      <c r="I1675" t="s">
        <v>22</v>
      </c>
      <c r="J1675">
        <v>4.9000000000000004</v>
      </c>
      <c r="K1675" t="s">
        <v>41</v>
      </c>
      <c r="L1675" t="s">
        <v>23</v>
      </c>
      <c r="M1675" t="str">
        <f>VLOOKUP(D1679,Restaurant_Master!A:B,2,FALSE)</f>
        <v>https://www.chatswoodinterchange.com/storages/2018/08/Sushi-World_666x448.jpg</v>
      </c>
    </row>
    <row r="1676" spans="1:13" x14ac:dyDescent="0.3">
      <c r="A1676" t="s">
        <v>1706</v>
      </c>
      <c r="B1676" s="1">
        <v>45641</v>
      </c>
      <c r="C1676" t="s">
        <v>13</v>
      </c>
      <c r="D1676" t="s">
        <v>14</v>
      </c>
      <c r="E1676">
        <v>24</v>
      </c>
      <c r="F1676" t="s">
        <v>28</v>
      </c>
      <c r="G1676">
        <v>1193.17</v>
      </c>
      <c r="H1676">
        <v>30</v>
      </c>
      <c r="I1676" t="s">
        <v>22</v>
      </c>
      <c r="J1676">
        <v>4.5</v>
      </c>
      <c r="K1676" t="s">
        <v>17</v>
      </c>
      <c r="L1676" t="s">
        <v>18</v>
      </c>
      <c r="M1676" t="str">
        <f>VLOOKUP(D1680,Restaurant_Master!A:B,2,FALSE)</f>
        <v>https://www.chatswoodinterchange.com/storages/2018/08/Sushi-World_666x448.jpg</v>
      </c>
    </row>
    <row r="1677" spans="1:13" x14ac:dyDescent="0.3">
      <c r="A1677" t="s">
        <v>1707</v>
      </c>
      <c r="B1677" s="1">
        <v>45401</v>
      </c>
      <c r="C1677" t="s">
        <v>43</v>
      </c>
      <c r="D1677" t="s">
        <v>32</v>
      </c>
      <c r="E1677">
        <v>24</v>
      </c>
      <c r="F1677" t="s">
        <v>28</v>
      </c>
      <c r="G1677">
        <v>195.18</v>
      </c>
      <c r="H1677">
        <v>26</v>
      </c>
      <c r="I1677" t="s">
        <v>22</v>
      </c>
      <c r="J1677">
        <v>4.8</v>
      </c>
      <c r="K1677" t="s">
        <v>26</v>
      </c>
      <c r="L1677" t="s">
        <v>23</v>
      </c>
      <c r="M1677" t="str">
        <f>VLOOKUP(D1681,Restaurant_Master!A:B,2,FALSE)</f>
        <v>https://dynamic-media-cdn.tripadvisor.com/media/photo-o/1c/e7/04/0d/front-of-the-local-easily.jpg</v>
      </c>
    </row>
    <row r="1678" spans="1:13" x14ac:dyDescent="0.3">
      <c r="A1678" t="s">
        <v>1708</v>
      </c>
      <c r="B1678" s="1">
        <v>45479</v>
      </c>
      <c r="C1678" t="s">
        <v>43</v>
      </c>
      <c r="D1678" t="s">
        <v>25</v>
      </c>
      <c r="E1678">
        <v>53</v>
      </c>
      <c r="F1678" t="s">
        <v>28</v>
      </c>
      <c r="G1678">
        <v>577.01</v>
      </c>
      <c r="H1678">
        <v>60</v>
      </c>
      <c r="I1678" t="s">
        <v>16</v>
      </c>
      <c r="J1678">
        <v>3.3</v>
      </c>
      <c r="K1678" t="s">
        <v>17</v>
      </c>
      <c r="L1678" t="s">
        <v>18</v>
      </c>
      <c r="M1678" t="str">
        <f>VLOOKUP(D1682,Restaurant_Master!A:B,2,FALSE)</f>
        <v>https://content.jdmagicbox.com/comp/deoria/g6/9999p5568.5568.200119143033.m4g6/catalogue/biryani-house-deoria-ho-deoria-mktc2xph0o.jpg</v>
      </c>
    </row>
    <row r="1679" spans="1:13" x14ac:dyDescent="0.3">
      <c r="A1679" t="s">
        <v>1709</v>
      </c>
      <c r="B1679" s="1">
        <v>45555</v>
      </c>
      <c r="C1679" t="s">
        <v>34</v>
      </c>
      <c r="D1679" t="s">
        <v>38</v>
      </c>
      <c r="E1679">
        <v>54</v>
      </c>
      <c r="F1679" t="s">
        <v>28</v>
      </c>
      <c r="G1679">
        <v>571.5</v>
      </c>
      <c r="H1679">
        <v>32</v>
      </c>
      <c r="I1679" t="s">
        <v>22</v>
      </c>
      <c r="J1679">
        <v>3.7</v>
      </c>
      <c r="K1679" t="s">
        <v>41</v>
      </c>
      <c r="L1679" t="s">
        <v>23</v>
      </c>
      <c r="M1679" t="str">
        <f>VLOOKUP(D1683,Restaurant_Master!A:B,2,FALSE)</f>
        <v>https://dynamic-media-cdn.tripadvisor.com/media/photo-o/1c/e7/04/0d/front-of-the-local-easily.jpg</v>
      </c>
    </row>
    <row r="1680" spans="1:13" x14ac:dyDescent="0.3">
      <c r="A1680" t="s">
        <v>1710</v>
      </c>
      <c r="B1680" s="1">
        <v>45437</v>
      </c>
      <c r="C1680" t="s">
        <v>20</v>
      </c>
      <c r="D1680" t="s">
        <v>38</v>
      </c>
      <c r="E1680">
        <v>39</v>
      </c>
      <c r="F1680" t="s">
        <v>15</v>
      </c>
      <c r="G1680">
        <v>1178.3499999999999</v>
      </c>
      <c r="H1680">
        <v>40</v>
      </c>
      <c r="I1680" t="s">
        <v>22</v>
      </c>
      <c r="J1680">
        <v>3.5</v>
      </c>
      <c r="K1680" t="s">
        <v>17</v>
      </c>
      <c r="L1680" t="s">
        <v>18</v>
      </c>
      <c r="M1680" t="str">
        <f>VLOOKUP(D1684,Restaurant_Master!A:B,2,FALSE)</f>
        <v>https://media-cdn.tripadvisor.com/media/photo-s/1c/c7/97/b6/photo6jpg.jpg</v>
      </c>
    </row>
    <row r="1681" spans="1:13" x14ac:dyDescent="0.3">
      <c r="A1681" t="s">
        <v>1711</v>
      </c>
      <c r="B1681" s="1">
        <v>45541</v>
      </c>
      <c r="C1681" t="s">
        <v>13</v>
      </c>
      <c r="D1681" t="s">
        <v>21</v>
      </c>
      <c r="E1681">
        <v>40</v>
      </c>
      <c r="F1681" t="s">
        <v>15</v>
      </c>
      <c r="G1681">
        <v>641.51</v>
      </c>
      <c r="H1681">
        <v>59</v>
      </c>
      <c r="I1681" t="s">
        <v>16</v>
      </c>
      <c r="J1681">
        <v>3.2</v>
      </c>
      <c r="K1681" t="s">
        <v>29</v>
      </c>
      <c r="L1681" t="s">
        <v>23</v>
      </c>
      <c r="M1681" t="str">
        <f>VLOOKUP(D1685,Restaurant_Master!A:B,2,FALSE)</f>
        <v>https://content.jdmagicbox.com/comp/deoria/g6/9999p5568.5568.200119143033.m4g6/catalogue/biryani-house-deoria-ho-deoria-mktc2xph0o.jpg</v>
      </c>
    </row>
    <row r="1682" spans="1:13" x14ac:dyDescent="0.3">
      <c r="A1682" t="s">
        <v>1712</v>
      </c>
      <c r="B1682" s="1">
        <v>45394</v>
      </c>
      <c r="C1682" t="s">
        <v>43</v>
      </c>
      <c r="D1682" t="s">
        <v>32</v>
      </c>
      <c r="E1682">
        <v>23</v>
      </c>
      <c r="F1682" t="s">
        <v>15</v>
      </c>
      <c r="G1682">
        <v>497.12</v>
      </c>
      <c r="H1682">
        <v>49</v>
      </c>
      <c r="I1682" t="s">
        <v>16</v>
      </c>
      <c r="J1682">
        <v>4</v>
      </c>
      <c r="K1682" t="s">
        <v>17</v>
      </c>
      <c r="L1682" t="s">
        <v>23</v>
      </c>
      <c r="M1682" t="str">
        <f>VLOOKUP(D1686,Restaurant_Master!A:B,2,FALSE)</f>
        <v>https://content.jdmagicbox.com/comp/deoria/g6/9999p5568.5568.200119143033.m4g6/catalogue/biryani-house-deoria-ho-deoria-mktc2xph0o.jpg</v>
      </c>
    </row>
    <row r="1683" spans="1:13" x14ac:dyDescent="0.3">
      <c r="A1683" t="s">
        <v>1713</v>
      </c>
      <c r="B1683" s="1">
        <v>45303</v>
      </c>
      <c r="C1683" t="s">
        <v>20</v>
      </c>
      <c r="D1683" t="s">
        <v>21</v>
      </c>
      <c r="E1683">
        <v>46</v>
      </c>
      <c r="F1683" t="s">
        <v>15</v>
      </c>
      <c r="G1683">
        <v>397.53</v>
      </c>
      <c r="H1683">
        <v>32</v>
      </c>
      <c r="I1683" t="s">
        <v>22</v>
      </c>
      <c r="J1683">
        <v>4</v>
      </c>
      <c r="K1683" t="s">
        <v>29</v>
      </c>
      <c r="L1683" t="s">
        <v>18</v>
      </c>
      <c r="M1683" t="str">
        <f>VLOOKUP(D1687,Restaurant_Master!A:B,2,FALSE)</f>
        <v>https://www.chatswoodinterchange.com/storages/2018/08/Sushi-World_666x448.jpg</v>
      </c>
    </row>
    <row r="1684" spans="1:13" x14ac:dyDescent="0.3">
      <c r="A1684" t="s">
        <v>1714</v>
      </c>
      <c r="B1684" s="1">
        <v>45604</v>
      </c>
      <c r="C1684" t="s">
        <v>13</v>
      </c>
      <c r="D1684" t="s">
        <v>25</v>
      </c>
      <c r="E1684">
        <v>18</v>
      </c>
      <c r="F1684" t="s">
        <v>28</v>
      </c>
      <c r="G1684">
        <v>1122.46</v>
      </c>
      <c r="H1684">
        <v>47</v>
      </c>
      <c r="I1684" t="s">
        <v>16</v>
      </c>
      <c r="J1684">
        <v>3.1</v>
      </c>
      <c r="K1684" t="s">
        <v>29</v>
      </c>
      <c r="L1684" t="s">
        <v>23</v>
      </c>
      <c r="M1684" t="str">
        <f>VLOOKUP(D1688,Restaurant_Master!A:B,2,FALSE)</f>
        <v>https://www.chatswoodinterchange.com/storages/2018/08/Sushi-World_666x448.jpg</v>
      </c>
    </row>
    <row r="1685" spans="1:13" x14ac:dyDescent="0.3">
      <c r="A1685" t="s">
        <v>1715</v>
      </c>
      <c r="B1685" s="1">
        <v>45392</v>
      </c>
      <c r="C1685" t="s">
        <v>13</v>
      </c>
      <c r="D1685" t="s">
        <v>32</v>
      </c>
      <c r="E1685">
        <v>52</v>
      </c>
      <c r="F1685" t="s">
        <v>28</v>
      </c>
      <c r="G1685">
        <v>234.72</v>
      </c>
      <c r="H1685">
        <v>50</v>
      </c>
      <c r="I1685" t="s">
        <v>16</v>
      </c>
      <c r="J1685">
        <v>2.7</v>
      </c>
      <c r="K1685" t="s">
        <v>17</v>
      </c>
      <c r="L1685" t="s">
        <v>18</v>
      </c>
      <c r="M1685" t="str">
        <f>VLOOKUP(D1689,Restaurant_Master!A:B,2,FALSE)</f>
        <v>https://www.chatswoodinterchange.com/storages/2018/08/Sushi-World_666x448.jpg</v>
      </c>
    </row>
    <row r="1686" spans="1:13" x14ac:dyDescent="0.3">
      <c r="A1686" t="s">
        <v>1716</v>
      </c>
      <c r="B1686" s="1">
        <v>45374</v>
      </c>
      <c r="C1686" t="s">
        <v>36</v>
      </c>
      <c r="D1686" t="s">
        <v>32</v>
      </c>
      <c r="E1686">
        <v>45</v>
      </c>
      <c r="F1686" t="s">
        <v>15</v>
      </c>
      <c r="G1686">
        <v>495.04</v>
      </c>
      <c r="H1686">
        <v>39</v>
      </c>
      <c r="I1686" t="s">
        <v>22</v>
      </c>
      <c r="J1686">
        <v>4.2</v>
      </c>
      <c r="K1686" t="s">
        <v>29</v>
      </c>
      <c r="L1686" t="s">
        <v>23</v>
      </c>
      <c r="M1686" t="str">
        <f>VLOOKUP(D1690,Restaurant_Master!A:B,2,FALSE)</f>
        <v>https://www.chatswoodinterchange.com/storages/2018/08/Sushi-World_666x448.jpg</v>
      </c>
    </row>
    <row r="1687" spans="1:13" x14ac:dyDescent="0.3">
      <c r="A1687" t="s">
        <v>1717</v>
      </c>
      <c r="B1687" s="1">
        <v>45606</v>
      </c>
      <c r="C1687" t="s">
        <v>43</v>
      </c>
      <c r="D1687" t="s">
        <v>38</v>
      </c>
      <c r="E1687">
        <v>19</v>
      </c>
      <c r="F1687" t="s">
        <v>15</v>
      </c>
      <c r="G1687">
        <v>861.76</v>
      </c>
      <c r="H1687">
        <v>29</v>
      </c>
      <c r="I1687" t="s">
        <v>22</v>
      </c>
      <c r="J1687">
        <v>4</v>
      </c>
      <c r="K1687" t="s">
        <v>17</v>
      </c>
      <c r="L1687" t="s">
        <v>18</v>
      </c>
      <c r="M1687" t="str">
        <f>VLOOKUP(D1691,Restaurant_Master!A:B,2,FALSE)</f>
        <v>https://media-cdn.tripadvisor.com/media/photo-s/1c/c7/97/b6/photo6jpg.jpg</v>
      </c>
    </row>
    <row r="1688" spans="1:13" x14ac:dyDescent="0.3">
      <c r="A1688" t="s">
        <v>1718</v>
      </c>
      <c r="B1688" s="1">
        <v>45498</v>
      </c>
      <c r="C1688" t="s">
        <v>20</v>
      </c>
      <c r="D1688" t="s">
        <v>38</v>
      </c>
      <c r="E1688">
        <v>29</v>
      </c>
      <c r="F1688" t="s">
        <v>28</v>
      </c>
      <c r="G1688">
        <v>661.67</v>
      </c>
      <c r="H1688">
        <v>44</v>
      </c>
      <c r="I1688" t="s">
        <v>16</v>
      </c>
      <c r="J1688">
        <v>3.2</v>
      </c>
      <c r="K1688" t="s">
        <v>41</v>
      </c>
      <c r="L1688" t="s">
        <v>18</v>
      </c>
      <c r="M1688" t="str">
        <f>VLOOKUP(D1692,Restaurant_Master!A:B,2,FALSE)</f>
        <v>https://dynamic-media-cdn.tripadvisor.com/media/photo-o/1c/e7/04/0d/front-of-the-local-easily.jpg</v>
      </c>
    </row>
    <row r="1689" spans="1:13" x14ac:dyDescent="0.3">
      <c r="A1689" t="s">
        <v>1719</v>
      </c>
      <c r="B1689" s="1">
        <v>45343</v>
      </c>
      <c r="C1689" t="s">
        <v>20</v>
      </c>
      <c r="D1689" t="s">
        <v>38</v>
      </c>
      <c r="E1689">
        <v>55</v>
      </c>
      <c r="F1689" t="s">
        <v>15</v>
      </c>
      <c r="G1689">
        <v>902.67</v>
      </c>
      <c r="H1689">
        <v>57</v>
      </c>
      <c r="I1689" t="s">
        <v>16</v>
      </c>
      <c r="J1689">
        <v>4.5999999999999996</v>
      </c>
      <c r="K1689" t="s">
        <v>26</v>
      </c>
      <c r="L1689" t="s">
        <v>23</v>
      </c>
      <c r="M1689" t="str">
        <f>VLOOKUP(D1693,Restaurant_Master!A:B,2,FALSE)</f>
        <v>https://www.chatswoodinterchange.com/storages/2018/08/Sushi-World_666x448.jpg</v>
      </c>
    </row>
    <row r="1690" spans="1:13" x14ac:dyDescent="0.3">
      <c r="A1690" t="s">
        <v>1720</v>
      </c>
      <c r="B1690" s="1">
        <v>45323</v>
      </c>
      <c r="C1690" t="s">
        <v>13</v>
      </c>
      <c r="D1690" t="s">
        <v>38</v>
      </c>
      <c r="E1690">
        <v>33</v>
      </c>
      <c r="F1690" t="s">
        <v>28</v>
      </c>
      <c r="G1690">
        <v>432.12</v>
      </c>
      <c r="H1690">
        <v>43</v>
      </c>
      <c r="I1690" t="s">
        <v>16</v>
      </c>
      <c r="J1690">
        <v>3.8</v>
      </c>
      <c r="K1690" t="s">
        <v>29</v>
      </c>
      <c r="L1690" t="s">
        <v>18</v>
      </c>
      <c r="M1690" t="str">
        <f>VLOOKUP(D1694,Restaurant_Master!A:B,2,FALSE)</f>
        <v>https://content.jdmagicbox.com/comp/deoria/g6/9999p5568.5568.200119143033.m4g6/catalogue/biryani-house-deoria-ho-deoria-mktc2xph0o.jpg</v>
      </c>
    </row>
    <row r="1691" spans="1:13" x14ac:dyDescent="0.3">
      <c r="A1691" t="s">
        <v>1721</v>
      </c>
      <c r="B1691" s="1">
        <v>45578</v>
      </c>
      <c r="C1691" t="s">
        <v>20</v>
      </c>
      <c r="D1691" t="s">
        <v>25</v>
      </c>
      <c r="E1691">
        <v>25</v>
      </c>
      <c r="F1691" t="s">
        <v>28</v>
      </c>
      <c r="G1691">
        <v>637.46</v>
      </c>
      <c r="H1691">
        <v>41</v>
      </c>
      <c r="I1691" t="s">
        <v>16</v>
      </c>
      <c r="J1691">
        <v>2.6</v>
      </c>
      <c r="K1691" t="s">
        <v>29</v>
      </c>
      <c r="L1691" t="s">
        <v>23</v>
      </c>
      <c r="M1691" t="str">
        <f>VLOOKUP(D1695,Restaurant_Master!A:B,2,FALSE)</f>
        <v>https://media-cdn.tripadvisor.com/media/photo-s/1c/c7/97/b6/photo6jpg.jpg</v>
      </c>
    </row>
    <row r="1692" spans="1:13" x14ac:dyDescent="0.3">
      <c r="A1692" t="s">
        <v>1722</v>
      </c>
      <c r="B1692" s="1">
        <v>45317</v>
      </c>
      <c r="C1692" t="s">
        <v>36</v>
      </c>
      <c r="D1692" t="s">
        <v>21</v>
      </c>
      <c r="E1692">
        <v>53</v>
      </c>
      <c r="F1692" t="s">
        <v>15</v>
      </c>
      <c r="G1692">
        <v>615.61</v>
      </c>
      <c r="H1692">
        <v>60</v>
      </c>
      <c r="I1692" t="s">
        <v>16</v>
      </c>
      <c r="J1692">
        <v>3.3</v>
      </c>
      <c r="K1692" t="s">
        <v>29</v>
      </c>
      <c r="L1692" t="s">
        <v>23</v>
      </c>
      <c r="M1692" t="str">
        <f>VLOOKUP(D1696,Restaurant_Master!A:B,2,FALSE)</f>
        <v>https://dineout-media-assets.swiggy.com/swiggy/image/upload/fl_lossy,f_auto,q_auto/v1660793737/fdqxvxcxg1wtdwvyv45v.jpg</v>
      </c>
    </row>
    <row r="1693" spans="1:13" x14ac:dyDescent="0.3">
      <c r="A1693" t="s">
        <v>1723</v>
      </c>
      <c r="B1693" s="1">
        <v>45316</v>
      </c>
      <c r="C1693" t="s">
        <v>43</v>
      </c>
      <c r="D1693" t="s">
        <v>38</v>
      </c>
      <c r="E1693">
        <v>55</v>
      </c>
      <c r="F1693" t="s">
        <v>15</v>
      </c>
      <c r="G1693">
        <v>245.35</v>
      </c>
      <c r="H1693">
        <v>24</v>
      </c>
      <c r="I1693" t="s">
        <v>22</v>
      </c>
      <c r="J1693">
        <v>3.5</v>
      </c>
      <c r="K1693" t="s">
        <v>29</v>
      </c>
      <c r="L1693" t="s">
        <v>18</v>
      </c>
      <c r="M1693" t="str">
        <f>VLOOKUP(D1697,Restaurant_Master!A:B,2,FALSE)</f>
        <v>https://www.chatswoodinterchange.com/storages/2018/08/Sushi-World_666x448.jpg</v>
      </c>
    </row>
    <row r="1694" spans="1:13" x14ac:dyDescent="0.3">
      <c r="A1694" t="s">
        <v>1724</v>
      </c>
      <c r="B1694" s="1">
        <v>45357</v>
      </c>
      <c r="C1694" t="s">
        <v>13</v>
      </c>
      <c r="D1694" t="s">
        <v>32</v>
      </c>
      <c r="E1694">
        <v>37</v>
      </c>
      <c r="F1694" t="s">
        <v>15</v>
      </c>
      <c r="G1694">
        <v>725.74</v>
      </c>
      <c r="H1694">
        <v>43</v>
      </c>
      <c r="I1694" t="s">
        <v>16</v>
      </c>
      <c r="J1694">
        <v>3.3</v>
      </c>
      <c r="K1694" t="s">
        <v>26</v>
      </c>
      <c r="L1694" t="s">
        <v>18</v>
      </c>
      <c r="M1694" t="str">
        <f>VLOOKUP(D1698,Restaurant_Master!A:B,2,FALSE)</f>
        <v>https://content.jdmagicbox.com/comp/deoria/g6/9999p5568.5568.200119143033.m4g6/catalogue/biryani-house-deoria-ho-deoria-mktc2xph0o.jpg</v>
      </c>
    </row>
    <row r="1695" spans="1:13" x14ac:dyDescent="0.3">
      <c r="A1695" t="s">
        <v>1725</v>
      </c>
      <c r="B1695" s="1">
        <v>45547</v>
      </c>
      <c r="C1695" t="s">
        <v>13</v>
      </c>
      <c r="D1695" t="s">
        <v>25</v>
      </c>
      <c r="E1695">
        <v>42</v>
      </c>
      <c r="F1695" t="s">
        <v>28</v>
      </c>
      <c r="G1695">
        <v>1051.42</v>
      </c>
      <c r="H1695">
        <v>42</v>
      </c>
      <c r="I1695" t="s">
        <v>16</v>
      </c>
      <c r="J1695">
        <v>4.0999999999999996</v>
      </c>
      <c r="K1695" t="s">
        <v>41</v>
      </c>
      <c r="L1695" t="s">
        <v>18</v>
      </c>
      <c r="M1695" t="str">
        <f>VLOOKUP(D1699,Restaurant_Master!A:B,2,FALSE)</f>
        <v>https://dineout-media-assets.swiggy.com/swiggy/image/upload/fl_lossy,f_auto,q_auto/v1660793737/fdqxvxcxg1wtdwvyv45v.jpg</v>
      </c>
    </row>
    <row r="1696" spans="1:13" x14ac:dyDescent="0.3">
      <c r="A1696" t="s">
        <v>1726</v>
      </c>
      <c r="B1696" s="1">
        <v>45301</v>
      </c>
      <c r="C1696" t="s">
        <v>36</v>
      </c>
      <c r="D1696" t="s">
        <v>14</v>
      </c>
      <c r="E1696">
        <v>40</v>
      </c>
      <c r="F1696" t="s">
        <v>15</v>
      </c>
      <c r="G1696">
        <v>549.08000000000004</v>
      </c>
      <c r="H1696">
        <v>30</v>
      </c>
      <c r="I1696" t="s">
        <v>22</v>
      </c>
      <c r="J1696">
        <v>3.7</v>
      </c>
      <c r="K1696" t="s">
        <v>26</v>
      </c>
      <c r="L1696" t="s">
        <v>23</v>
      </c>
      <c r="M1696" t="str">
        <f>VLOOKUP(D1700,Restaurant_Master!A:B,2,FALSE)</f>
        <v>https://www.chatswoodinterchange.com/storages/2018/08/Sushi-World_666x448.jpg</v>
      </c>
    </row>
    <row r="1697" spans="1:13" x14ac:dyDescent="0.3">
      <c r="A1697" t="s">
        <v>1727</v>
      </c>
      <c r="B1697" s="1">
        <v>45327</v>
      </c>
      <c r="C1697" t="s">
        <v>36</v>
      </c>
      <c r="D1697" t="s">
        <v>38</v>
      </c>
      <c r="E1697">
        <v>22</v>
      </c>
      <c r="F1697" t="s">
        <v>15</v>
      </c>
      <c r="G1697">
        <v>1085.54</v>
      </c>
      <c r="H1697">
        <v>32</v>
      </c>
      <c r="I1697" t="s">
        <v>22</v>
      </c>
      <c r="J1697">
        <v>4.2</v>
      </c>
      <c r="K1697" t="s">
        <v>41</v>
      </c>
      <c r="L1697" t="s">
        <v>18</v>
      </c>
      <c r="M1697" t="str">
        <f>VLOOKUP(D1701,Restaurant_Master!A:B,2,FALSE)</f>
        <v>https://dineout-media-assets.swiggy.com/swiggy/image/upload/fl_lossy,f_auto,q_auto/v1660793737/fdqxvxcxg1wtdwvyv45v.jpg</v>
      </c>
    </row>
    <row r="1698" spans="1:13" x14ac:dyDescent="0.3">
      <c r="A1698" t="s">
        <v>1728</v>
      </c>
      <c r="B1698" s="1">
        <v>45491</v>
      </c>
      <c r="C1698" t="s">
        <v>36</v>
      </c>
      <c r="D1698" t="s">
        <v>32</v>
      </c>
      <c r="E1698">
        <v>21</v>
      </c>
      <c r="F1698" t="s">
        <v>15</v>
      </c>
      <c r="G1698">
        <v>900.54</v>
      </c>
      <c r="H1698">
        <v>32</v>
      </c>
      <c r="I1698" t="s">
        <v>22</v>
      </c>
      <c r="J1698">
        <v>3.1</v>
      </c>
      <c r="K1698" t="s">
        <v>17</v>
      </c>
      <c r="L1698" t="s">
        <v>18</v>
      </c>
      <c r="M1698" t="str">
        <f>VLOOKUP(D1702,Restaurant_Master!A:B,2,FALSE)</f>
        <v>https://media-cdn.tripadvisor.com/media/photo-s/1c/c7/97/b6/photo6jpg.jpg</v>
      </c>
    </row>
    <row r="1699" spans="1:13" x14ac:dyDescent="0.3">
      <c r="A1699" t="s">
        <v>1729</v>
      </c>
      <c r="B1699" s="1">
        <v>45426</v>
      </c>
      <c r="C1699" t="s">
        <v>13</v>
      </c>
      <c r="D1699" t="s">
        <v>14</v>
      </c>
      <c r="E1699">
        <v>24</v>
      </c>
      <c r="F1699" t="s">
        <v>15</v>
      </c>
      <c r="G1699">
        <v>716.65</v>
      </c>
      <c r="H1699">
        <v>40</v>
      </c>
      <c r="I1699" t="s">
        <v>22</v>
      </c>
      <c r="J1699">
        <v>4.2</v>
      </c>
      <c r="K1699" t="s">
        <v>41</v>
      </c>
      <c r="L1699" t="s">
        <v>18</v>
      </c>
      <c r="M1699" t="str">
        <f>VLOOKUP(D1703,Restaurant_Master!A:B,2,FALSE)</f>
        <v>https://www.chatswoodinterchange.com/storages/2018/08/Sushi-World_666x448.jpg</v>
      </c>
    </row>
    <row r="1700" spans="1:13" x14ac:dyDescent="0.3">
      <c r="A1700" t="s">
        <v>1730</v>
      </c>
      <c r="B1700" s="1">
        <v>45452</v>
      </c>
      <c r="C1700" t="s">
        <v>34</v>
      </c>
      <c r="D1700" t="s">
        <v>38</v>
      </c>
      <c r="E1700">
        <v>29</v>
      </c>
      <c r="F1700" t="s">
        <v>28</v>
      </c>
      <c r="G1700">
        <v>970.32</v>
      </c>
      <c r="H1700">
        <v>28</v>
      </c>
      <c r="I1700" t="s">
        <v>22</v>
      </c>
      <c r="J1700">
        <v>2.6</v>
      </c>
      <c r="K1700" t="s">
        <v>17</v>
      </c>
      <c r="L1700" t="s">
        <v>18</v>
      </c>
      <c r="M1700" t="str">
        <f>VLOOKUP(D1704,Restaurant_Master!A:B,2,FALSE)</f>
        <v>https://www.chatswoodinterchange.com/storages/2018/08/Sushi-World_666x448.jpg</v>
      </c>
    </row>
    <row r="1701" spans="1:13" x14ac:dyDescent="0.3">
      <c r="A1701" t="s">
        <v>1731</v>
      </c>
      <c r="B1701" s="1">
        <v>45321</v>
      </c>
      <c r="C1701" t="s">
        <v>36</v>
      </c>
      <c r="D1701" t="s">
        <v>14</v>
      </c>
      <c r="E1701">
        <v>35</v>
      </c>
      <c r="F1701" t="s">
        <v>28</v>
      </c>
      <c r="G1701">
        <v>269.58999999999997</v>
      </c>
      <c r="H1701">
        <v>28</v>
      </c>
      <c r="I1701" t="s">
        <v>22</v>
      </c>
      <c r="J1701">
        <v>4.3</v>
      </c>
      <c r="K1701" t="s">
        <v>29</v>
      </c>
      <c r="L1701" t="s">
        <v>18</v>
      </c>
      <c r="M1701" t="str">
        <f>VLOOKUP(D1705,Restaurant_Master!A:B,2,FALSE)</f>
        <v>https://media-cdn.tripadvisor.com/media/photo-s/1c/c7/97/b6/photo6jpg.jpg</v>
      </c>
    </row>
    <row r="1702" spans="1:13" x14ac:dyDescent="0.3">
      <c r="A1702" t="s">
        <v>1732</v>
      </c>
      <c r="B1702" s="1">
        <v>45657</v>
      </c>
      <c r="C1702" t="s">
        <v>36</v>
      </c>
      <c r="D1702" t="s">
        <v>25</v>
      </c>
      <c r="E1702">
        <v>22</v>
      </c>
      <c r="F1702" t="s">
        <v>28</v>
      </c>
      <c r="G1702">
        <v>505.83</v>
      </c>
      <c r="H1702">
        <v>28</v>
      </c>
      <c r="I1702" t="s">
        <v>22</v>
      </c>
      <c r="J1702">
        <v>3.7</v>
      </c>
      <c r="K1702" t="s">
        <v>29</v>
      </c>
      <c r="L1702" t="s">
        <v>18</v>
      </c>
      <c r="M1702" t="str">
        <f>VLOOKUP(D1706,Restaurant_Master!A:B,2,FALSE)</f>
        <v>https://dineout-media-assets.swiggy.com/swiggy/image/upload/fl_lossy,f_auto,q_auto/v1660793737/fdqxvxcxg1wtdwvyv45v.jpg</v>
      </c>
    </row>
    <row r="1703" spans="1:13" x14ac:dyDescent="0.3">
      <c r="A1703" t="s">
        <v>1733</v>
      </c>
      <c r="B1703" s="1">
        <v>45352</v>
      </c>
      <c r="C1703" t="s">
        <v>20</v>
      </c>
      <c r="D1703" t="s">
        <v>38</v>
      </c>
      <c r="E1703">
        <v>51</v>
      </c>
      <c r="F1703" t="s">
        <v>28</v>
      </c>
      <c r="G1703">
        <v>419.64</v>
      </c>
      <c r="H1703">
        <v>39</v>
      </c>
      <c r="I1703" t="s">
        <v>22</v>
      </c>
      <c r="J1703">
        <v>4.4000000000000004</v>
      </c>
      <c r="K1703" t="s">
        <v>29</v>
      </c>
      <c r="L1703" t="s">
        <v>23</v>
      </c>
      <c r="M1703" t="str">
        <f>VLOOKUP(D1707,Restaurant_Master!A:B,2,FALSE)</f>
        <v>https://dynamic-media-cdn.tripadvisor.com/media/photo-o/1c/e7/04/0d/front-of-the-local-easily.jpg</v>
      </c>
    </row>
    <row r="1704" spans="1:13" x14ac:dyDescent="0.3">
      <c r="A1704" t="s">
        <v>1734</v>
      </c>
      <c r="B1704" s="1">
        <v>45411</v>
      </c>
      <c r="C1704" t="s">
        <v>36</v>
      </c>
      <c r="D1704" t="s">
        <v>38</v>
      </c>
      <c r="E1704">
        <v>19</v>
      </c>
      <c r="F1704" t="s">
        <v>15</v>
      </c>
      <c r="G1704">
        <v>873.01</v>
      </c>
      <c r="H1704">
        <v>46</v>
      </c>
      <c r="I1704" t="s">
        <v>16</v>
      </c>
      <c r="J1704">
        <v>2.7</v>
      </c>
      <c r="K1704" t="s">
        <v>17</v>
      </c>
      <c r="L1704" t="s">
        <v>18</v>
      </c>
      <c r="M1704" t="str">
        <f>VLOOKUP(D1708,Restaurant_Master!A:B,2,FALSE)</f>
        <v>https://dynamic-media-cdn.tripadvisor.com/media/photo-o/1c/e7/04/0d/front-of-the-local-easily.jpg</v>
      </c>
    </row>
    <row r="1705" spans="1:13" x14ac:dyDescent="0.3">
      <c r="A1705" t="s">
        <v>1735</v>
      </c>
      <c r="B1705" s="1">
        <v>45362</v>
      </c>
      <c r="C1705" t="s">
        <v>13</v>
      </c>
      <c r="D1705" t="s">
        <v>25</v>
      </c>
      <c r="E1705">
        <v>36</v>
      </c>
      <c r="F1705" t="s">
        <v>28</v>
      </c>
      <c r="G1705">
        <v>481.1</v>
      </c>
      <c r="H1705">
        <v>37</v>
      </c>
      <c r="I1705" t="s">
        <v>22</v>
      </c>
      <c r="J1705">
        <v>3.5</v>
      </c>
      <c r="K1705" t="s">
        <v>26</v>
      </c>
      <c r="L1705" t="s">
        <v>23</v>
      </c>
      <c r="M1705" t="str">
        <f>VLOOKUP(D1709,Restaurant_Master!A:B,2,FALSE)</f>
        <v>https://media-cdn.tripadvisor.com/media/photo-s/1c/c7/97/b6/photo6jpg.jpg</v>
      </c>
    </row>
    <row r="1706" spans="1:13" x14ac:dyDescent="0.3">
      <c r="A1706" t="s">
        <v>1736</v>
      </c>
      <c r="B1706" s="1">
        <v>45654</v>
      </c>
      <c r="C1706" t="s">
        <v>36</v>
      </c>
      <c r="D1706" t="s">
        <v>14</v>
      </c>
      <c r="E1706">
        <v>52</v>
      </c>
      <c r="F1706" t="s">
        <v>28</v>
      </c>
      <c r="G1706">
        <v>1081.23</v>
      </c>
      <c r="H1706">
        <v>60</v>
      </c>
      <c r="I1706" t="s">
        <v>16</v>
      </c>
      <c r="J1706">
        <v>3.1</v>
      </c>
      <c r="K1706" t="s">
        <v>41</v>
      </c>
      <c r="L1706" t="s">
        <v>23</v>
      </c>
      <c r="M1706" t="str">
        <f>VLOOKUP(D1710,Restaurant_Master!A:B,2,FALSE)</f>
        <v>https://content.jdmagicbox.com/comp/deoria/g6/9999p5568.5568.200119143033.m4g6/catalogue/biryani-house-deoria-ho-deoria-mktc2xph0o.jpg</v>
      </c>
    </row>
    <row r="1707" spans="1:13" x14ac:dyDescent="0.3">
      <c r="A1707" t="s">
        <v>1737</v>
      </c>
      <c r="B1707" s="1">
        <v>45570</v>
      </c>
      <c r="C1707" t="s">
        <v>20</v>
      </c>
      <c r="D1707" t="s">
        <v>21</v>
      </c>
      <c r="E1707">
        <v>46</v>
      </c>
      <c r="F1707" t="s">
        <v>15</v>
      </c>
      <c r="G1707">
        <v>1073.21</v>
      </c>
      <c r="H1707">
        <v>42</v>
      </c>
      <c r="I1707" t="s">
        <v>16</v>
      </c>
      <c r="J1707">
        <v>3.3</v>
      </c>
      <c r="K1707" t="s">
        <v>17</v>
      </c>
      <c r="L1707" t="s">
        <v>18</v>
      </c>
      <c r="M1707" t="str">
        <f>VLOOKUP(D1711,Restaurant_Master!A:B,2,FALSE)</f>
        <v>https://content.jdmagicbox.com/comp/deoria/g6/9999p5568.5568.200119143033.m4g6/catalogue/biryani-house-deoria-ho-deoria-mktc2xph0o.jpg</v>
      </c>
    </row>
    <row r="1708" spans="1:13" x14ac:dyDescent="0.3">
      <c r="A1708" t="s">
        <v>1738</v>
      </c>
      <c r="B1708" s="1">
        <v>45529</v>
      </c>
      <c r="C1708" t="s">
        <v>13</v>
      </c>
      <c r="D1708" t="s">
        <v>21</v>
      </c>
      <c r="E1708">
        <v>45</v>
      </c>
      <c r="F1708" t="s">
        <v>28</v>
      </c>
      <c r="G1708">
        <v>310.95999999999998</v>
      </c>
      <c r="H1708">
        <v>55</v>
      </c>
      <c r="I1708" t="s">
        <v>16</v>
      </c>
      <c r="J1708">
        <v>4.7</v>
      </c>
      <c r="K1708" t="s">
        <v>17</v>
      </c>
      <c r="L1708" t="s">
        <v>18</v>
      </c>
      <c r="M1708" t="str">
        <f>VLOOKUP(D1712,Restaurant_Master!A:B,2,FALSE)</f>
        <v>https://media-cdn.tripadvisor.com/media/photo-s/1c/c7/97/b6/photo6jpg.jpg</v>
      </c>
    </row>
    <row r="1709" spans="1:13" x14ac:dyDescent="0.3">
      <c r="A1709" t="s">
        <v>1739</v>
      </c>
      <c r="B1709" s="1">
        <v>45621</v>
      </c>
      <c r="C1709" t="s">
        <v>20</v>
      </c>
      <c r="D1709" t="s">
        <v>25</v>
      </c>
      <c r="E1709">
        <v>27</v>
      </c>
      <c r="F1709" t="s">
        <v>15</v>
      </c>
      <c r="G1709">
        <v>958.54</v>
      </c>
      <c r="H1709">
        <v>46</v>
      </c>
      <c r="I1709" t="s">
        <v>16</v>
      </c>
      <c r="J1709">
        <v>2.6</v>
      </c>
      <c r="K1709" t="s">
        <v>17</v>
      </c>
      <c r="L1709" t="s">
        <v>18</v>
      </c>
      <c r="M1709" t="str">
        <f>VLOOKUP(D1713,Restaurant_Master!A:B,2,FALSE)</f>
        <v>https://dineout-media-assets.swiggy.com/swiggy/image/upload/fl_lossy,f_auto,q_auto/v1660793737/fdqxvxcxg1wtdwvyv45v.jpg</v>
      </c>
    </row>
    <row r="1710" spans="1:13" x14ac:dyDescent="0.3">
      <c r="A1710" t="s">
        <v>1740</v>
      </c>
      <c r="B1710" s="1">
        <v>45479</v>
      </c>
      <c r="C1710" t="s">
        <v>34</v>
      </c>
      <c r="D1710" t="s">
        <v>32</v>
      </c>
      <c r="E1710">
        <v>40</v>
      </c>
      <c r="F1710" t="s">
        <v>28</v>
      </c>
      <c r="G1710">
        <v>1007.39</v>
      </c>
      <c r="H1710">
        <v>22</v>
      </c>
      <c r="I1710" t="s">
        <v>22</v>
      </c>
      <c r="J1710">
        <v>3.8</v>
      </c>
      <c r="K1710" t="s">
        <v>26</v>
      </c>
      <c r="L1710" t="s">
        <v>18</v>
      </c>
      <c r="M1710" t="str">
        <f>VLOOKUP(D1714,Restaurant_Master!A:B,2,FALSE)</f>
        <v>https://content.jdmagicbox.com/comp/deoria/g6/9999p5568.5568.200119143033.m4g6/catalogue/biryani-house-deoria-ho-deoria-mktc2xph0o.jpg</v>
      </c>
    </row>
    <row r="1711" spans="1:13" x14ac:dyDescent="0.3">
      <c r="A1711" t="s">
        <v>1741</v>
      </c>
      <c r="B1711" s="1">
        <v>45340</v>
      </c>
      <c r="C1711" t="s">
        <v>34</v>
      </c>
      <c r="D1711" t="s">
        <v>32</v>
      </c>
      <c r="E1711">
        <v>49</v>
      </c>
      <c r="F1711" t="s">
        <v>28</v>
      </c>
      <c r="G1711">
        <v>804.48</v>
      </c>
      <c r="H1711">
        <v>56</v>
      </c>
      <c r="I1711" t="s">
        <v>16</v>
      </c>
      <c r="J1711">
        <v>4.2</v>
      </c>
      <c r="K1711" t="s">
        <v>26</v>
      </c>
      <c r="L1711" t="s">
        <v>23</v>
      </c>
      <c r="M1711" t="str">
        <f>VLOOKUP(D1715,Restaurant_Master!A:B,2,FALSE)</f>
        <v>https://content.jdmagicbox.com/comp/deoria/g6/9999p5568.5568.200119143033.m4g6/catalogue/biryani-house-deoria-ho-deoria-mktc2xph0o.jpg</v>
      </c>
    </row>
    <row r="1712" spans="1:13" x14ac:dyDescent="0.3">
      <c r="A1712" t="s">
        <v>1742</v>
      </c>
      <c r="B1712" s="1">
        <v>45487</v>
      </c>
      <c r="C1712" t="s">
        <v>43</v>
      </c>
      <c r="D1712" t="s">
        <v>25</v>
      </c>
      <c r="E1712">
        <v>45</v>
      </c>
      <c r="F1712" t="s">
        <v>28</v>
      </c>
      <c r="G1712">
        <v>1043.58</v>
      </c>
      <c r="H1712">
        <v>24</v>
      </c>
      <c r="I1712" t="s">
        <v>22</v>
      </c>
      <c r="J1712">
        <v>4.8</v>
      </c>
      <c r="K1712" t="s">
        <v>29</v>
      </c>
      <c r="L1712" t="s">
        <v>18</v>
      </c>
      <c r="M1712" t="str">
        <f>VLOOKUP(D1716,Restaurant_Master!A:B,2,FALSE)</f>
        <v>https://dynamic-media-cdn.tripadvisor.com/media/photo-o/1c/e7/04/0d/front-of-the-local-easily.jpg</v>
      </c>
    </row>
    <row r="1713" spans="1:13" x14ac:dyDescent="0.3">
      <c r="A1713" t="s">
        <v>1743</v>
      </c>
      <c r="B1713" s="1">
        <v>45509</v>
      </c>
      <c r="C1713" t="s">
        <v>13</v>
      </c>
      <c r="D1713" t="s">
        <v>14</v>
      </c>
      <c r="E1713">
        <v>52</v>
      </c>
      <c r="F1713" t="s">
        <v>28</v>
      </c>
      <c r="G1713">
        <v>815.59</v>
      </c>
      <c r="H1713">
        <v>45</v>
      </c>
      <c r="I1713" t="s">
        <v>16</v>
      </c>
      <c r="J1713">
        <v>5</v>
      </c>
      <c r="K1713" t="s">
        <v>29</v>
      </c>
      <c r="L1713" t="s">
        <v>18</v>
      </c>
      <c r="M1713" t="str">
        <f>VLOOKUP(D1717,Restaurant_Master!A:B,2,FALSE)</f>
        <v>https://www.chatswoodinterchange.com/storages/2018/08/Sushi-World_666x448.jpg</v>
      </c>
    </row>
    <row r="1714" spans="1:13" x14ac:dyDescent="0.3">
      <c r="A1714" t="s">
        <v>1744</v>
      </c>
      <c r="B1714" s="1">
        <v>45587</v>
      </c>
      <c r="C1714" t="s">
        <v>34</v>
      </c>
      <c r="D1714" t="s">
        <v>32</v>
      </c>
      <c r="E1714">
        <v>46</v>
      </c>
      <c r="F1714" t="s">
        <v>28</v>
      </c>
      <c r="G1714">
        <v>852.88</v>
      </c>
      <c r="H1714">
        <v>42</v>
      </c>
      <c r="I1714" t="s">
        <v>16</v>
      </c>
      <c r="J1714">
        <v>4.9000000000000004</v>
      </c>
      <c r="K1714" t="s">
        <v>41</v>
      </c>
      <c r="L1714" t="s">
        <v>18</v>
      </c>
      <c r="M1714" t="str">
        <f>VLOOKUP(D1718,Restaurant_Master!A:B,2,FALSE)</f>
        <v>https://www.chatswoodinterchange.com/storages/2018/08/Sushi-World_666x448.jpg</v>
      </c>
    </row>
    <row r="1715" spans="1:13" x14ac:dyDescent="0.3">
      <c r="A1715" t="s">
        <v>1745</v>
      </c>
      <c r="B1715" s="1">
        <v>45611</v>
      </c>
      <c r="C1715" t="s">
        <v>13</v>
      </c>
      <c r="D1715" t="s">
        <v>32</v>
      </c>
      <c r="E1715">
        <v>53</v>
      </c>
      <c r="F1715" t="s">
        <v>15</v>
      </c>
      <c r="G1715">
        <v>1017.27</v>
      </c>
      <c r="H1715">
        <v>53</v>
      </c>
      <c r="I1715" t="s">
        <v>16</v>
      </c>
      <c r="J1715">
        <v>2.8</v>
      </c>
      <c r="K1715" t="s">
        <v>26</v>
      </c>
      <c r="L1715" t="s">
        <v>18</v>
      </c>
      <c r="M1715" t="str">
        <f>VLOOKUP(D1719,Restaurant_Master!A:B,2,FALSE)</f>
        <v>https://content.jdmagicbox.com/comp/deoria/g6/9999p5568.5568.200119143033.m4g6/catalogue/biryani-house-deoria-ho-deoria-mktc2xph0o.jpg</v>
      </c>
    </row>
    <row r="1716" spans="1:13" x14ac:dyDescent="0.3">
      <c r="A1716" t="s">
        <v>1746</v>
      </c>
      <c r="B1716" s="1">
        <v>45525</v>
      </c>
      <c r="C1716" t="s">
        <v>34</v>
      </c>
      <c r="D1716" t="s">
        <v>21</v>
      </c>
      <c r="E1716">
        <v>27</v>
      </c>
      <c r="F1716" t="s">
        <v>15</v>
      </c>
      <c r="G1716">
        <v>1172.8900000000001</v>
      </c>
      <c r="H1716">
        <v>50</v>
      </c>
      <c r="I1716" t="s">
        <v>16</v>
      </c>
      <c r="J1716">
        <v>3.1</v>
      </c>
      <c r="K1716" t="s">
        <v>41</v>
      </c>
      <c r="L1716" t="s">
        <v>18</v>
      </c>
      <c r="M1716" t="str">
        <f>VLOOKUP(D1720,Restaurant_Master!A:B,2,FALSE)</f>
        <v>https://dynamic-media-cdn.tripadvisor.com/media/photo-o/1c/e7/04/0d/front-of-the-local-easily.jpg</v>
      </c>
    </row>
    <row r="1717" spans="1:13" x14ac:dyDescent="0.3">
      <c r="A1717" t="s">
        <v>1747</v>
      </c>
      <c r="B1717" s="1">
        <v>45448</v>
      </c>
      <c r="C1717" t="s">
        <v>36</v>
      </c>
      <c r="D1717" t="s">
        <v>38</v>
      </c>
      <c r="E1717">
        <v>42</v>
      </c>
      <c r="F1717" t="s">
        <v>15</v>
      </c>
      <c r="G1717">
        <v>662.48</v>
      </c>
      <c r="H1717">
        <v>56</v>
      </c>
      <c r="I1717" t="s">
        <v>16</v>
      </c>
      <c r="J1717">
        <v>4.3</v>
      </c>
      <c r="K1717" t="s">
        <v>17</v>
      </c>
      <c r="L1717" t="s">
        <v>18</v>
      </c>
      <c r="M1717" t="str">
        <f>VLOOKUP(D1721,Restaurant_Master!A:B,2,FALSE)</f>
        <v>https://media-cdn.tripadvisor.com/media/photo-s/1c/c7/97/b6/photo6jpg.jpg</v>
      </c>
    </row>
    <row r="1718" spans="1:13" x14ac:dyDescent="0.3">
      <c r="A1718" t="s">
        <v>1748</v>
      </c>
      <c r="B1718" s="1">
        <v>45346</v>
      </c>
      <c r="C1718" t="s">
        <v>43</v>
      </c>
      <c r="D1718" t="s">
        <v>38</v>
      </c>
      <c r="E1718">
        <v>46</v>
      </c>
      <c r="F1718" t="s">
        <v>15</v>
      </c>
      <c r="G1718">
        <v>1098.52</v>
      </c>
      <c r="H1718">
        <v>33</v>
      </c>
      <c r="I1718" t="s">
        <v>22</v>
      </c>
      <c r="J1718">
        <v>4.8</v>
      </c>
      <c r="K1718" t="s">
        <v>41</v>
      </c>
      <c r="L1718" t="s">
        <v>18</v>
      </c>
      <c r="M1718" t="str">
        <f>VLOOKUP(D1722,Restaurant_Master!A:B,2,FALSE)</f>
        <v>https://content.jdmagicbox.com/comp/deoria/g6/9999p5568.5568.200119143033.m4g6/catalogue/biryani-house-deoria-ho-deoria-mktc2xph0o.jpg</v>
      </c>
    </row>
    <row r="1719" spans="1:13" x14ac:dyDescent="0.3">
      <c r="A1719" t="s">
        <v>1749</v>
      </c>
      <c r="B1719" s="1">
        <v>45473</v>
      </c>
      <c r="C1719" t="s">
        <v>20</v>
      </c>
      <c r="D1719" t="s">
        <v>32</v>
      </c>
      <c r="E1719">
        <v>38</v>
      </c>
      <c r="F1719" t="s">
        <v>15</v>
      </c>
      <c r="G1719">
        <v>290.70999999999998</v>
      </c>
      <c r="H1719">
        <v>59</v>
      </c>
      <c r="I1719" t="s">
        <v>16</v>
      </c>
      <c r="J1719">
        <v>3</v>
      </c>
      <c r="K1719" t="s">
        <v>26</v>
      </c>
      <c r="L1719" t="s">
        <v>23</v>
      </c>
      <c r="M1719" t="str">
        <f>VLOOKUP(D1723,Restaurant_Master!A:B,2,FALSE)</f>
        <v>https://content.jdmagicbox.com/comp/deoria/g6/9999p5568.5568.200119143033.m4g6/catalogue/biryani-house-deoria-ho-deoria-mktc2xph0o.jpg</v>
      </c>
    </row>
    <row r="1720" spans="1:13" x14ac:dyDescent="0.3">
      <c r="A1720" t="s">
        <v>1750</v>
      </c>
      <c r="B1720" s="1">
        <v>45451</v>
      </c>
      <c r="C1720" t="s">
        <v>13</v>
      </c>
      <c r="D1720" t="s">
        <v>21</v>
      </c>
      <c r="E1720">
        <v>48</v>
      </c>
      <c r="F1720" t="s">
        <v>28</v>
      </c>
      <c r="G1720">
        <v>173.7</v>
      </c>
      <c r="H1720">
        <v>20</v>
      </c>
      <c r="I1720" t="s">
        <v>22</v>
      </c>
      <c r="J1720">
        <v>3.8</v>
      </c>
      <c r="K1720" t="s">
        <v>41</v>
      </c>
      <c r="L1720" t="s">
        <v>18</v>
      </c>
      <c r="M1720" t="str">
        <f>VLOOKUP(D1724,Restaurant_Master!A:B,2,FALSE)</f>
        <v>https://dineout-media-assets.swiggy.com/swiggy/image/upload/fl_lossy,f_auto,q_auto/v1660793737/fdqxvxcxg1wtdwvyv45v.jpg</v>
      </c>
    </row>
    <row r="1721" spans="1:13" x14ac:dyDescent="0.3">
      <c r="A1721" t="s">
        <v>1751</v>
      </c>
      <c r="B1721" s="1">
        <v>45314</v>
      </c>
      <c r="C1721" t="s">
        <v>20</v>
      </c>
      <c r="D1721" t="s">
        <v>25</v>
      </c>
      <c r="E1721">
        <v>36</v>
      </c>
      <c r="F1721" t="s">
        <v>15</v>
      </c>
      <c r="G1721">
        <v>389.99</v>
      </c>
      <c r="H1721">
        <v>55</v>
      </c>
      <c r="I1721" t="s">
        <v>16</v>
      </c>
      <c r="J1721">
        <v>4.7</v>
      </c>
      <c r="K1721" t="s">
        <v>17</v>
      </c>
      <c r="L1721" t="s">
        <v>23</v>
      </c>
      <c r="M1721" t="str">
        <f>VLOOKUP(D1725,Restaurant_Master!A:B,2,FALSE)</f>
        <v>https://dynamic-media-cdn.tripadvisor.com/media/photo-o/1c/e7/04/0d/front-of-the-local-easily.jpg</v>
      </c>
    </row>
    <row r="1722" spans="1:13" x14ac:dyDescent="0.3">
      <c r="A1722" t="s">
        <v>1752</v>
      </c>
      <c r="B1722" s="1">
        <v>45512</v>
      </c>
      <c r="C1722" t="s">
        <v>36</v>
      </c>
      <c r="D1722" t="s">
        <v>32</v>
      </c>
      <c r="E1722">
        <v>21</v>
      </c>
      <c r="F1722" t="s">
        <v>28</v>
      </c>
      <c r="G1722">
        <v>202.81</v>
      </c>
      <c r="H1722">
        <v>24</v>
      </c>
      <c r="I1722" t="s">
        <v>22</v>
      </c>
      <c r="J1722">
        <v>3.5</v>
      </c>
      <c r="K1722" t="s">
        <v>29</v>
      </c>
      <c r="L1722" t="s">
        <v>23</v>
      </c>
      <c r="M1722" t="str">
        <f>VLOOKUP(D1726,Restaurant_Master!A:B,2,FALSE)</f>
        <v>https://dynamic-media-cdn.tripadvisor.com/media/photo-o/1c/e7/04/0d/front-of-the-local-easily.jpg</v>
      </c>
    </row>
    <row r="1723" spans="1:13" x14ac:dyDescent="0.3">
      <c r="A1723" t="s">
        <v>1753</v>
      </c>
      <c r="B1723" s="1">
        <v>45633</v>
      </c>
      <c r="C1723" t="s">
        <v>43</v>
      </c>
      <c r="D1723" t="s">
        <v>32</v>
      </c>
      <c r="E1723">
        <v>21</v>
      </c>
      <c r="F1723" t="s">
        <v>28</v>
      </c>
      <c r="G1723">
        <v>1142.72</v>
      </c>
      <c r="H1723">
        <v>43</v>
      </c>
      <c r="I1723" t="s">
        <v>16</v>
      </c>
      <c r="J1723">
        <v>4.5999999999999996</v>
      </c>
      <c r="K1723" t="s">
        <v>26</v>
      </c>
      <c r="L1723" t="s">
        <v>18</v>
      </c>
      <c r="M1723" t="str">
        <f>VLOOKUP(D1727,Restaurant_Master!A:B,2,FALSE)</f>
        <v>https://media-cdn.tripadvisor.com/media/photo-s/1c/c7/97/b6/photo6jpg.jpg</v>
      </c>
    </row>
    <row r="1724" spans="1:13" x14ac:dyDescent="0.3">
      <c r="A1724" t="s">
        <v>1754</v>
      </c>
      <c r="B1724" s="1">
        <v>45558</v>
      </c>
      <c r="C1724" t="s">
        <v>34</v>
      </c>
      <c r="D1724" t="s">
        <v>14</v>
      </c>
      <c r="E1724">
        <v>35</v>
      </c>
      <c r="F1724" t="s">
        <v>15</v>
      </c>
      <c r="G1724">
        <v>243.98</v>
      </c>
      <c r="H1724">
        <v>54</v>
      </c>
      <c r="I1724" t="s">
        <v>16</v>
      </c>
      <c r="J1724">
        <v>4.9000000000000004</v>
      </c>
      <c r="K1724" t="s">
        <v>29</v>
      </c>
      <c r="L1724" t="s">
        <v>18</v>
      </c>
      <c r="M1724" t="str">
        <f>VLOOKUP(D1728,Restaurant_Master!A:B,2,FALSE)</f>
        <v>https://media-cdn.tripadvisor.com/media/photo-s/1c/c7/97/b6/photo6jpg.jpg</v>
      </c>
    </row>
    <row r="1725" spans="1:13" x14ac:dyDescent="0.3">
      <c r="A1725" t="s">
        <v>1755</v>
      </c>
      <c r="B1725" s="1">
        <v>45417</v>
      </c>
      <c r="C1725" t="s">
        <v>34</v>
      </c>
      <c r="D1725" t="s">
        <v>21</v>
      </c>
      <c r="E1725">
        <v>30</v>
      </c>
      <c r="F1725" t="s">
        <v>28</v>
      </c>
      <c r="G1725">
        <v>275.37</v>
      </c>
      <c r="H1725">
        <v>55</v>
      </c>
      <c r="I1725" t="s">
        <v>16</v>
      </c>
      <c r="J1725">
        <v>3.6</v>
      </c>
      <c r="K1725" t="s">
        <v>29</v>
      </c>
      <c r="L1725" t="s">
        <v>23</v>
      </c>
      <c r="M1725" t="str">
        <f>VLOOKUP(D1729,Restaurant_Master!A:B,2,FALSE)</f>
        <v>https://media-cdn.tripadvisor.com/media/photo-s/1c/c7/97/b6/photo6jpg.jpg</v>
      </c>
    </row>
    <row r="1726" spans="1:13" x14ac:dyDescent="0.3">
      <c r="A1726" t="s">
        <v>1756</v>
      </c>
      <c r="B1726" s="1">
        <v>45452</v>
      </c>
      <c r="C1726" t="s">
        <v>43</v>
      </c>
      <c r="D1726" t="s">
        <v>21</v>
      </c>
      <c r="E1726">
        <v>34</v>
      </c>
      <c r="F1726" t="s">
        <v>28</v>
      </c>
      <c r="G1726">
        <v>179.55</v>
      </c>
      <c r="H1726">
        <v>32</v>
      </c>
      <c r="I1726" t="s">
        <v>22</v>
      </c>
      <c r="J1726">
        <v>3.2</v>
      </c>
      <c r="K1726" t="s">
        <v>29</v>
      </c>
      <c r="L1726" t="s">
        <v>23</v>
      </c>
      <c r="M1726" t="str">
        <f>VLOOKUP(D1730,Restaurant_Master!A:B,2,FALSE)</f>
        <v>https://dynamic-media-cdn.tripadvisor.com/media/photo-o/1c/e7/04/0d/front-of-the-local-easily.jpg</v>
      </c>
    </row>
    <row r="1727" spans="1:13" x14ac:dyDescent="0.3">
      <c r="A1727" t="s">
        <v>1757</v>
      </c>
      <c r="B1727" s="1">
        <v>45423</v>
      </c>
      <c r="C1727" t="s">
        <v>43</v>
      </c>
      <c r="D1727" t="s">
        <v>25</v>
      </c>
      <c r="E1727">
        <v>54</v>
      </c>
      <c r="F1727" t="s">
        <v>15</v>
      </c>
      <c r="G1727">
        <v>567.96</v>
      </c>
      <c r="H1727">
        <v>34</v>
      </c>
      <c r="I1727" t="s">
        <v>22</v>
      </c>
      <c r="J1727">
        <v>3.8</v>
      </c>
      <c r="K1727" t="s">
        <v>26</v>
      </c>
      <c r="L1727" t="s">
        <v>18</v>
      </c>
      <c r="M1727" t="str">
        <f>VLOOKUP(D1731,Restaurant_Master!A:B,2,FALSE)</f>
        <v>https://media-cdn.tripadvisor.com/media/photo-s/1c/c7/97/b6/photo6jpg.jpg</v>
      </c>
    </row>
    <row r="1728" spans="1:13" x14ac:dyDescent="0.3">
      <c r="A1728" t="s">
        <v>1758</v>
      </c>
      <c r="B1728" s="1">
        <v>45304</v>
      </c>
      <c r="C1728" t="s">
        <v>43</v>
      </c>
      <c r="D1728" t="s">
        <v>25</v>
      </c>
      <c r="E1728">
        <v>48</v>
      </c>
      <c r="F1728" t="s">
        <v>15</v>
      </c>
      <c r="G1728">
        <v>735.85</v>
      </c>
      <c r="H1728">
        <v>30</v>
      </c>
      <c r="I1728" t="s">
        <v>22</v>
      </c>
      <c r="J1728">
        <v>4.9000000000000004</v>
      </c>
      <c r="K1728" t="s">
        <v>26</v>
      </c>
      <c r="L1728" t="s">
        <v>23</v>
      </c>
      <c r="M1728" t="str">
        <f>VLOOKUP(D1732,Restaurant_Master!A:B,2,FALSE)</f>
        <v>https://content.jdmagicbox.com/comp/deoria/g6/9999p5568.5568.200119143033.m4g6/catalogue/biryani-house-deoria-ho-deoria-mktc2xph0o.jpg</v>
      </c>
    </row>
    <row r="1729" spans="1:13" x14ac:dyDescent="0.3">
      <c r="A1729" t="s">
        <v>1759</v>
      </c>
      <c r="B1729" s="1">
        <v>45446</v>
      </c>
      <c r="C1729" t="s">
        <v>36</v>
      </c>
      <c r="D1729" t="s">
        <v>25</v>
      </c>
      <c r="E1729">
        <v>57</v>
      </c>
      <c r="F1729" t="s">
        <v>15</v>
      </c>
      <c r="G1729">
        <v>379.5</v>
      </c>
      <c r="H1729">
        <v>34</v>
      </c>
      <c r="I1729" t="s">
        <v>22</v>
      </c>
      <c r="J1729">
        <v>2.8</v>
      </c>
      <c r="K1729" t="s">
        <v>26</v>
      </c>
      <c r="L1729" t="s">
        <v>23</v>
      </c>
      <c r="M1729" t="str">
        <f>VLOOKUP(D1733,Restaurant_Master!A:B,2,FALSE)</f>
        <v>https://www.chatswoodinterchange.com/storages/2018/08/Sushi-World_666x448.jpg</v>
      </c>
    </row>
    <row r="1730" spans="1:13" x14ac:dyDescent="0.3">
      <c r="A1730" t="s">
        <v>1760</v>
      </c>
      <c r="B1730" s="1">
        <v>45423</v>
      </c>
      <c r="C1730" t="s">
        <v>20</v>
      </c>
      <c r="D1730" t="s">
        <v>21</v>
      </c>
      <c r="E1730">
        <v>48</v>
      </c>
      <c r="F1730" t="s">
        <v>28</v>
      </c>
      <c r="G1730">
        <v>746.91</v>
      </c>
      <c r="H1730">
        <v>54</v>
      </c>
      <c r="I1730" t="s">
        <v>16</v>
      </c>
      <c r="J1730">
        <v>3.5</v>
      </c>
      <c r="K1730" t="s">
        <v>41</v>
      </c>
      <c r="L1730" t="s">
        <v>23</v>
      </c>
      <c r="M1730" t="str">
        <f>VLOOKUP(D1734,Restaurant_Master!A:B,2,FALSE)</f>
        <v>https://media-cdn.tripadvisor.com/media/photo-s/1c/c7/97/b6/photo6jpg.jpg</v>
      </c>
    </row>
    <row r="1731" spans="1:13" x14ac:dyDescent="0.3">
      <c r="A1731" t="s">
        <v>1761</v>
      </c>
      <c r="B1731" s="1">
        <v>45558</v>
      </c>
      <c r="C1731" t="s">
        <v>13</v>
      </c>
      <c r="D1731" t="s">
        <v>25</v>
      </c>
      <c r="E1731">
        <v>43</v>
      </c>
      <c r="F1731" t="s">
        <v>15</v>
      </c>
      <c r="G1731">
        <v>438.13</v>
      </c>
      <c r="H1731">
        <v>46</v>
      </c>
      <c r="I1731" t="s">
        <v>16</v>
      </c>
      <c r="J1731">
        <v>3</v>
      </c>
      <c r="K1731" t="s">
        <v>26</v>
      </c>
      <c r="L1731" t="s">
        <v>23</v>
      </c>
      <c r="M1731" t="str">
        <f>VLOOKUP(D1735,Restaurant_Master!A:B,2,FALSE)</f>
        <v>https://www.chatswoodinterchange.com/storages/2018/08/Sushi-World_666x448.jpg</v>
      </c>
    </row>
    <row r="1732" spans="1:13" x14ac:dyDescent="0.3">
      <c r="A1732" t="s">
        <v>1762</v>
      </c>
      <c r="B1732" s="1">
        <v>45298</v>
      </c>
      <c r="C1732" t="s">
        <v>36</v>
      </c>
      <c r="D1732" t="s">
        <v>32</v>
      </c>
      <c r="E1732">
        <v>48</v>
      </c>
      <c r="F1732" t="s">
        <v>15</v>
      </c>
      <c r="G1732">
        <v>1064.67</v>
      </c>
      <c r="H1732">
        <v>44</v>
      </c>
      <c r="I1732" t="s">
        <v>16</v>
      </c>
      <c r="J1732">
        <v>4</v>
      </c>
      <c r="K1732" t="s">
        <v>29</v>
      </c>
      <c r="L1732" t="s">
        <v>18</v>
      </c>
      <c r="M1732" t="str">
        <f>VLOOKUP(D1736,Restaurant_Master!A:B,2,FALSE)</f>
        <v>https://media-cdn.tripadvisor.com/media/photo-s/1c/c7/97/b6/photo6jpg.jpg</v>
      </c>
    </row>
    <row r="1733" spans="1:13" x14ac:dyDescent="0.3">
      <c r="A1733" t="s">
        <v>1763</v>
      </c>
      <c r="B1733" s="1">
        <v>45407</v>
      </c>
      <c r="C1733" t="s">
        <v>20</v>
      </c>
      <c r="D1733" t="s">
        <v>38</v>
      </c>
      <c r="E1733">
        <v>42</v>
      </c>
      <c r="F1733" t="s">
        <v>28</v>
      </c>
      <c r="G1733">
        <v>1095.97</v>
      </c>
      <c r="H1733">
        <v>30</v>
      </c>
      <c r="I1733" t="s">
        <v>22</v>
      </c>
      <c r="J1733">
        <v>4.0999999999999996</v>
      </c>
      <c r="K1733" t="s">
        <v>26</v>
      </c>
      <c r="L1733" t="s">
        <v>23</v>
      </c>
      <c r="M1733" t="str">
        <f>VLOOKUP(D1737,Restaurant_Master!A:B,2,FALSE)</f>
        <v>https://www.chatswoodinterchange.com/storages/2018/08/Sushi-World_666x448.jpg</v>
      </c>
    </row>
    <row r="1734" spans="1:13" x14ac:dyDescent="0.3">
      <c r="A1734" t="s">
        <v>1764</v>
      </c>
      <c r="B1734" s="1">
        <v>45521</v>
      </c>
      <c r="C1734" t="s">
        <v>43</v>
      </c>
      <c r="D1734" t="s">
        <v>25</v>
      </c>
      <c r="E1734">
        <v>42</v>
      </c>
      <c r="F1734" t="s">
        <v>15</v>
      </c>
      <c r="G1734">
        <v>807.11</v>
      </c>
      <c r="H1734">
        <v>30</v>
      </c>
      <c r="I1734" t="s">
        <v>22</v>
      </c>
      <c r="J1734">
        <v>3.2</v>
      </c>
      <c r="K1734" t="s">
        <v>17</v>
      </c>
      <c r="L1734" t="s">
        <v>23</v>
      </c>
      <c r="M1734" t="str">
        <f>VLOOKUP(D1738,Restaurant_Master!A:B,2,FALSE)</f>
        <v>https://www.chatswoodinterchange.com/storages/2018/08/Sushi-World_666x448.jpg</v>
      </c>
    </row>
    <row r="1735" spans="1:13" x14ac:dyDescent="0.3">
      <c r="A1735" t="s">
        <v>1765</v>
      </c>
      <c r="B1735" s="1">
        <v>45532</v>
      </c>
      <c r="C1735" t="s">
        <v>13</v>
      </c>
      <c r="D1735" t="s">
        <v>38</v>
      </c>
      <c r="E1735">
        <v>40</v>
      </c>
      <c r="F1735" t="s">
        <v>15</v>
      </c>
      <c r="G1735">
        <v>452.37</v>
      </c>
      <c r="H1735">
        <v>39</v>
      </c>
      <c r="I1735" t="s">
        <v>22</v>
      </c>
      <c r="J1735">
        <v>3.3</v>
      </c>
      <c r="K1735" t="s">
        <v>17</v>
      </c>
      <c r="L1735" t="s">
        <v>23</v>
      </c>
      <c r="M1735" t="str">
        <f>VLOOKUP(D1739,Restaurant_Master!A:B,2,FALSE)</f>
        <v>https://dynamic-media-cdn.tripadvisor.com/media/photo-o/1c/e7/04/0d/front-of-the-local-easily.jpg</v>
      </c>
    </row>
    <row r="1736" spans="1:13" x14ac:dyDescent="0.3">
      <c r="A1736" t="s">
        <v>1766</v>
      </c>
      <c r="B1736" s="1">
        <v>45642</v>
      </c>
      <c r="C1736" t="s">
        <v>20</v>
      </c>
      <c r="D1736" t="s">
        <v>25</v>
      </c>
      <c r="E1736">
        <v>28</v>
      </c>
      <c r="F1736" t="s">
        <v>28</v>
      </c>
      <c r="G1736">
        <v>1134.29</v>
      </c>
      <c r="H1736">
        <v>57</v>
      </c>
      <c r="I1736" t="s">
        <v>16</v>
      </c>
      <c r="J1736">
        <v>3.4</v>
      </c>
      <c r="K1736" t="s">
        <v>26</v>
      </c>
      <c r="L1736" t="s">
        <v>23</v>
      </c>
      <c r="M1736" t="str">
        <f>VLOOKUP(D1740,Restaurant_Master!A:B,2,FALSE)</f>
        <v>https://www.chatswoodinterchange.com/storages/2018/08/Sushi-World_666x448.jpg</v>
      </c>
    </row>
    <row r="1737" spans="1:13" x14ac:dyDescent="0.3">
      <c r="A1737" t="s">
        <v>1767</v>
      </c>
      <c r="B1737" s="1">
        <v>45389</v>
      </c>
      <c r="C1737" t="s">
        <v>43</v>
      </c>
      <c r="D1737" t="s">
        <v>38</v>
      </c>
      <c r="E1737">
        <v>38</v>
      </c>
      <c r="F1737" t="s">
        <v>15</v>
      </c>
      <c r="G1737">
        <v>337.64</v>
      </c>
      <c r="H1737">
        <v>20</v>
      </c>
      <c r="I1737" t="s">
        <v>22</v>
      </c>
      <c r="J1737">
        <v>3.5</v>
      </c>
      <c r="K1737" t="s">
        <v>17</v>
      </c>
      <c r="L1737" t="s">
        <v>23</v>
      </c>
      <c r="M1737" t="str">
        <f>VLOOKUP(D1741,Restaurant_Master!A:B,2,FALSE)</f>
        <v>https://content.jdmagicbox.com/comp/deoria/g6/9999p5568.5568.200119143033.m4g6/catalogue/biryani-house-deoria-ho-deoria-mktc2xph0o.jpg</v>
      </c>
    </row>
    <row r="1738" spans="1:13" x14ac:dyDescent="0.3">
      <c r="A1738" t="s">
        <v>1768</v>
      </c>
      <c r="B1738" s="1">
        <v>45312</v>
      </c>
      <c r="C1738" t="s">
        <v>36</v>
      </c>
      <c r="D1738" t="s">
        <v>38</v>
      </c>
      <c r="E1738">
        <v>23</v>
      </c>
      <c r="F1738" t="s">
        <v>28</v>
      </c>
      <c r="G1738">
        <v>314.74</v>
      </c>
      <c r="H1738">
        <v>55</v>
      </c>
      <c r="I1738" t="s">
        <v>16</v>
      </c>
      <c r="J1738">
        <v>4</v>
      </c>
      <c r="K1738" t="s">
        <v>26</v>
      </c>
      <c r="L1738" t="s">
        <v>23</v>
      </c>
      <c r="M1738" t="str">
        <f>VLOOKUP(D1742,Restaurant_Master!A:B,2,FALSE)</f>
        <v>https://www.chatswoodinterchange.com/storages/2018/08/Sushi-World_666x448.jpg</v>
      </c>
    </row>
    <row r="1739" spans="1:13" x14ac:dyDescent="0.3">
      <c r="A1739" t="s">
        <v>1769</v>
      </c>
      <c r="B1739" s="1">
        <v>45558</v>
      </c>
      <c r="C1739" t="s">
        <v>34</v>
      </c>
      <c r="D1739" t="s">
        <v>21</v>
      </c>
      <c r="E1739">
        <v>60</v>
      </c>
      <c r="F1739" t="s">
        <v>15</v>
      </c>
      <c r="G1739">
        <v>971.8</v>
      </c>
      <c r="H1739">
        <v>32</v>
      </c>
      <c r="I1739" t="s">
        <v>22</v>
      </c>
      <c r="J1739">
        <v>4.0999999999999996</v>
      </c>
      <c r="K1739" t="s">
        <v>26</v>
      </c>
      <c r="L1739" t="s">
        <v>23</v>
      </c>
      <c r="M1739" t="str">
        <f>VLOOKUP(D1743,Restaurant_Master!A:B,2,FALSE)</f>
        <v>https://dineout-media-assets.swiggy.com/swiggy/image/upload/fl_lossy,f_auto,q_auto/v1660793737/fdqxvxcxg1wtdwvyv45v.jpg</v>
      </c>
    </row>
    <row r="1740" spans="1:13" x14ac:dyDescent="0.3">
      <c r="A1740" t="s">
        <v>1770</v>
      </c>
      <c r="B1740" s="1">
        <v>45325</v>
      </c>
      <c r="C1740" t="s">
        <v>20</v>
      </c>
      <c r="D1740" t="s">
        <v>38</v>
      </c>
      <c r="E1740">
        <v>47</v>
      </c>
      <c r="F1740" t="s">
        <v>15</v>
      </c>
      <c r="G1740">
        <v>1018.14</v>
      </c>
      <c r="H1740">
        <v>24</v>
      </c>
      <c r="I1740" t="s">
        <v>22</v>
      </c>
      <c r="J1740">
        <v>4</v>
      </c>
      <c r="K1740" t="s">
        <v>17</v>
      </c>
      <c r="L1740" t="s">
        <v>18</v>
      </c>
      <c r="M1740" t="str">
        <f>VLOOKUP(D1744,Restaurant_Master!A:B,2,FALSE)</f>
        <v>https://dynamic-media-cdn.tripadvisor.com/media/photo-o/1c/e7/04/0d/front-of-the-local-easily.jpg</v>
      </c>
    </row>
    <row r="1741" spans="1:13" x14ac:dyDescent="0.3">
      <c r="A1741" t="s">
        <v>1771</v>
      </c>
      <c r="B1741" s="1">
        <v>45569</v>
      </c>
      <c r="C1741" t="s">
        <v>36</v>
      </c>
      <c r="D1741" t="s">
        <v>32</v>
      </c>
      <c r="E1741">
        <v>26</v>
      </c>
      <c r="F1741" t="s">
        <v>15</v>
      </c>
      <c r="G1741">
        <v>885.46</v>
      </c>
      <c r="H1741">
        <v>58</v>
      </c>
      <c r="I1741" t="s">
        <v>16</v>
      </c>
      <c r="J1741">
        <v>3.8</v>
      </c>
      <c r="K1741" t="s">
        <v>29</v>
      </c>
      <c r="L1741" t="s">
        <v>18</v>
      </c>
      <c r="M1741" t="str">
        <f>VLOOKUP(D1745,Restaurant_Master!A:B,2,FALSE)</f>
        <v>https://dineout-media-assets.swiggy.com/swiggy/image/upload/fl_lossy,f_auto,q_auto/v1660793737/fdqxvxcxg1wtdwvyv45v.jpg</v>
      </c>
    </row>
    <row r="1742" spans="1:13" x14ac:dyDescent="0.3">
      <c r="A1742" t="s">
        <v>1772</v>
      </c>
      <c r="B1742" s="1">
        <v>45514</v>
      </c>
      <c r="C1742" t="s">
        <v>20</v>
      </c>
      <c r="D1742" t="s">
        <v>38</v>
      </c>
      <c r="E1742">
        <v>42</v>
      </c>
      <c r="F1742" t="s">
        <v>28</v>
      </c>
      <c r="G1742">
        <v>469.9</v>
      </c>
      <c r="H1742">
        <v>34</v>
      </c>
      <c r="I1742" t="s">
        <v>22</v>
      </c>
      <c r="J1742">
        <v>4.9000000000000004</v>
      </c>
      <c r="K1742" t="s">
        <v>17</v>
      </c>
      <c r="L1742" t="s">
        <v>23</v>
      </c>
      <c r="M1742" t="str">
        <f>VLOOKUP(D1746,Restaurant_Master!A:B,2,FALSE)</f>
        <v>https://media-cdn.tripadvisor.com/media/photo-s/1c/c7/97/b6/photo6jpg.jpg</v>
      </c>
    </row>
    <row r="1743" spans="1:13" x14ac:dyDescent="0.3">
      <c r="A1743" t="s">
        <v>1773</v>
      </c>
      <c r="B1743" s="1">
        <v>45400</v>
      </c>
      <c r="C1743" t="s">
        <v>43</v>
      </c>
      <c r="D1743" t="s">
        <v>14</v>
      </c>
      <c r="E1743">
        <v>54</v>
      </c>
      <c r="F1743" t="s">
        <v>15</v>
      </c>
      <c r="G1743">
        <v>1186.8599999999999</v>
      </c>
      <c r="H1743">
        <v>34</v>
      </c>
      <c r="I1743" t="s">
        <v>22</v>
      </c>
      <c r="J1743">
        <v>2.5</v>
      </c>
      <c r="K1743" t="s">
        <v>29</v>
      </c>
      <c r="L1743" t="s">
        <v>18</v>
      </c>
      <c r="M1743" t="str">
        <f>VLOOKUP(D1747,Restaurant_Master!A:B,2,FALSE)</f>
        <v>https://content.jdmagicbox.com/comp/deoria/g6/9999p5568.5568.200119143033.m4g6/catalogue/biryani-house-deoria-ho-deoria-mktc2xph0o.jpg</v>
      </c>
    </row>
    <row r="1744" spans="1:13" x14ac:dyDescent="0.3">
      <c r="A1744" t="s">
        <v>1774</v>
      </c>
      <c r="B1744" s="1">
        <v>45352</v>
      </c>
      <c r="C1744" t="s">
        <v>20</v>
      </c>
      <c r="D1744" t="s">
        <v>21</v>
      </c>
      <c r="E1744">
        <v>22</v>
      </c>
      <c r="F1744" t="s">
        <v>28</v>
      </c>
      <c r="G1744">
        <v>1131.77</v>
      </c>
      <c r="H1744">
        <v>45</v>
      </c>
      <c r="I1744" t="s">
        <v>16</v>
      </c>
      <c r="J1744">
        <v>3.7</v>
      </c>
      <c r="K1744" t="s">
        <v>41</v>
      </c>
      <c r="L1744" t="s">
        <v>23</v>
      </c>
      <c r="M1744" t="str">
        <f>VLOOKUP(D1748,Restaurant_Master!A:B,2,FALSE)</f>
        <v>https://dineout-media-assets.swiggy.com/swiggy/image/upload/fl_lossy,f_auto,q_auto/v1660793737/fdqxvxcxg1wtdwvyv45v.jpg</v>
      </c>
    </row>
    <row r="1745" spans="1:13" x14ac:dyDescent="0.3">
      <c r="A1745" t="s">
        <v>1775</v>
      </c>
      <c r="B1745" s="1">
        <v>45319</v>
      </c>
      <c r="C1745" t="s">
        <v>13</v>
      </c>
      <c r="D1745" t="s">
        <v>14</v>
      </c>
      <c r="E1745">
        <v>24</v>
      </c>
      <c r="F1745" t="s">
        <v>28</v>
      </c>
      <c r="G1745">
        <v>1059.53</v>
      </c>
      <c r="H1745">
        <v>47</v>
      </c>
      <c r="I1745" t="s">
        <v>16</v>
      </c>
      <c r="J1745">
        <v>3.4</v>
      </c>
      <c r="K1745" t="s">
        <v>41</v>
      </c>
      <c r="L1745" t="s">
        <v>18</v>
      </c>
      <c r="M1745" t="str">
        <f>VLOOKUP(D1749,Restaurant_Master!A:B,2,FALSE)</f>
        <v>https://dineout-media-assets.swiggy.com/swiggy/image/upload/fl_lossy,f_auto,q_auto/v1660793737/fdqxvxcxg1wtdwvyv45v.jpg</v>
      </c>
    </row>
    <row r="1746" spans="1:13" x14ac:dyDescent="0.3">
      <c r="A1746" t="s">
        <v>1776</v>
      </c>
      <c r="B1746" s="1">
        <v>45351</v>
      </c>
      <c r="C1746" t="s">
        <v>36</v>
      </c>
      <c r="D1746" t="s">
        <v>25</v>
      </c>
      <c r="E1746">
        <v>32</v>
      </c>
      <c r="F1746" t="s">
        <v>28</v>
      </c>
      <c r="G1746">
        <v>331.55</v>
      </c>
      <c r="H1746">
        <v>24</v>
      </c>
      <c r="I1746" t="s">
        <v>22</v>
      </c>
      <c r="J1746">
        <v>2.6</v>
      </c>
      <c r="K1746" t="s">
        <v>29</v>
      </c>
      <c r="L1746" t="s">
        <v>23</v>
      </c>
      <c r="M1746" t="str">
        <f>VLOOKUP(D1750,Restaurant_Master!A:B,2,FALSE)</f>
        <v>https://dineout-media-assets.swiggy.com/swiggy/image/upload/fl_lossy,f_auto,q_auto/v1660793737/fdqxvxcxg1wtdwvyv45v.jpg</v>
      </c>
    </row>
    <row r="1747" spans="1:13" x14ac:dyDescent="0.3">
      <c r="A1747" t="s">
        <v>1777</v>
      </c>
      <c r="B1747" s="1">
        <v>45621</v>
      </c>
      <c r="C1747" t="s">
        <v>20</v>
      </c>
      <c r="D1747" t="s">
        <v>32</v>
      </c>
      <c r="E1747">
        <v>23</v>
      </c>
      <c r="F1747" t="s">
        <v>28</v>
      </c>
      <c r="G1747">
        <v>612.55999999999995</v>
      </c>
      <c r="H1747">
        <v>45</v>
      </c>
      <c r="I1747" t="s">
        <v>16</v>
      </c>
      <c r="J1747">
        <v>4.4000000000000004</v>
      </c>
      <c r="K1747" t="s">
        <v>26</v>
      </c>
      <c r="L1747" t="s">
        <v>23</v>
      </c>
      <c r="M1747" t="str">
        <f>VLOOKUP(D1751,Restaurant_Master!A:B,2,FALSE)</f>
        <v>https://dineout-media-assets.swiggy.com/swiggy/image/upload/fl_lossy,f_auto,q_auto/v1660793737/fdqxvxcxg1wtdwvyv45v.jpg</v>
      </c>
    </row>
    <row r="1748" spans="1:13" x14ac:dyDescent="0.3">
      <c r="A1748" t="s">
        <v>1778</v>
      </c>
      <c r="B1748" s="1">
        <v>45514</v>
      </c>
      <c r="C1748" t="s">
        <v>34</v>
      </c>
      <c r="D1748" t="s">
        <v>14</v>
      </c>
      <c r="E1748">
        <v>55</v>
      </c>
      <c r="F1748" t="s">
        <v>15</v>
      </c>
      <c r="G1748">
        <v>704.2</v>
      </c>
      <c r="H1748">
        <v>51</v>
      </c>
      <c r="I1748" t="s">
        <v>16</v>
      </c>
      <c r="J1748">
        <v>3.5</v>
      </c>
      <c r="K1748" t="s">
        <v>26</v>
      </c>
      <c r="L1748" t="s">
        <v>18</v>
      </c>
      <c r="M1748" t="str">
        <f>VLOOKUP(D1752,Restaurant_Master!A:B,2,FALSE)</f>
        <v>https://dynamic-media-cdn.tripadvisor.com/media/photo-o/1c/e7/04/0d/front-of-the-local-easily.jpg</v>
      </c>
    </row>
    <row r="1749" spans="1:13" x14ac:dyDescent="0.3">
      <c r="A1749" t="s">
        <v>1779</v>
      </c>
      <c r="B1749" s="1">
        <v>45435</v>
      </c>
      <c r="C1749" t="s">
        <v>34</v>
      </c>
      <c r="D1749" t="s">
        <v>14</v>
      </c>
      <c r="E1749">
        <v>41</v>
      </c>
      <c r="F1749" t="s">
        <v>15</v>
      </c>
      <c r="G1749">
        <v>431.32</v>
      </c>
      <c r="H1749">
        <v>27</v>
      </c>
      <c r="I1749" t="s">
        <v>22</v>
      </c>
      <c r="J1749">
        <v>3.1</v>
      </c>
      <c r="K1749" t="s">
        <v>29</v>
      </c>
      <c r="L1749" t="s">
        <v>18</v>
      </c>
      <c r="M1749" t="str">
        <f>VLOOKUP(D1753,Restaurant_Master!A:B,2,FALSE)</f>
        <v>https://www.chatswoodinterchange.com/storages/2018/08/Sushi-World_666x448.jpg</v>
      </c>
    </row>
    <row r="1750" spans="1:13" x14ac:dyDescent="0.3">
      <c r="A1750" t="s">
        <v>1780</v>
      </c>
      <c r="B1750" s="1">
        <v>45468</v>
      </c>
      <c r="C1750" t="s">
        <v>20</v>
      </c>
      <c r="D1750" t="s">
        <v>14</v>
      </c>
      <c r="E1750">
        <v>51</v>
      </c>
      <c r="F1750" t="s">
        <v>15</v>
      </c>
      <c r="G1750">
        <v>660.51</v>
      </c>
      <c r="H1750">
        <v>32</v>
      </c>
      <c r="I1750" t="s">
        <v>22</v>
      </c>
      <c r="J1750">
        <v>4.4000000000000004</v>
      </c>
      <c r="K1750" t="s">
        <v>41</v>
      </c>
      <c r="L1750" t="s">
        <v>23</v>
      </c>
      <c r="M1750" t="str">
        <f>VLOOKUP(D1754,Restaurant_Master!A:B,2,FALSE)</f>
        <v>https://content.jdmagicbox.com/comp/deoria/g6/9999p5568.5568.200119143033.m4g6/catalogue/biryani-house-deoria-ho-deoria-mktc2xph0o.jpg</v>
      </c>
    </row>
    <row r="1751" spans="1:13" x14ac:dyDescent="0.3">
      <c r="A1751" t="s">
        <v>1781</v>
      </c>
      <c r="B1751" s="1">
        <v>45494</v>
      </c>
      <c r="C1751" t="s">
        <v>36</v>
      </c>
      <c r="D1751" t="s">
        <v>14</v>
      </c>
      <c r="E1751">
        <v>57</v>
      </c>
      <c r="F1751" t="s">
        <v>15</v>
      </c>
      <c r="G1751">
        <v>465.29</v>
      </c>
      <c r="H1751">
        <v>36</v>
      </c>
      <c r="I1751" t="s">
        <v>22</v>
      </c>
      <c r="J1751">
        <v>3.5</v>
      </c>
      <c r="K1751" t="s">
        <v>41</v>
      </c>
      <c r="L1751" t="s">
        <v>23</v>
      </c>
      <c r="M1751" t="str">
        <f>VLOOKUP(D1755,Restaurant_Master!A:B,2,FALSE)</f>
        <v>https://media-cdn.tripadvisor.com/media/photo-s/1c/c7/97/b6/photo6jpg.jpg</v>
      </c>
    </row>
    <row r="1752" spans="1:13" x14ac:dyDescent="0.3">
      <c r="A1752" t="s">
        <v>1782</v>
      </c>
      <c r="B1752" s="1">
        <v>45576</v>
      </c>
      <c r="C1752" t="s">
        <v>13</v>
      </c>
      <c r="D1752" t="s">
        <v>21</v>
      </c>
      <c r="E1752">
        <v>29</v>
      </c>
      <c r="F1752" t="s">
        <v>15</v>
      </c>
      <c r="G1752">
        <v>837.99</v>
      </c>
      <c r="H1752">
        <v>51</v>
      </c>
      <c r="I1752" t="s">
        <v>16</v>
      </c>
      <c r="J1752">
        <v>3.9</v>
      </c>
      <c r="K1752" t="s">
        <v>41</v>
      </c>
      <c r="L1752" t="s">
        <v>18</v>
      </c>
      <c r="M1752" t="str">
        <f>VLOOKUP(D1756,Restaurant_Master!A:B,2,FALSE)</f>
        <v>https://dineout-media-assets.swiggy.com/swiggy/image/upload/fl_lossy,f_auto,q_auto/v1660793737/fdqxvxcxg1wtdwvyv45v.jpg</v>
      </c>
    </row>
    <row r="1753" spans="1:13" x14ac:dyDescent="0.3">
      <c r="A1753" t="s">
        <v>1783</v>
      </c>
      <c r="B1753" s="1">
        <v>45562</v>
      </c>
      <c r="C1753" t="s">
        <v>13</v>
      </c>
      <c r="D1753" t="s">
        <v>38</v>
      </c>
      <c r="E1753">
        <v>27</v>
      </c>
      <c r="F1753" t="s">
        <v>15</v>
      </c>
      <c r="G1753">
        <v>781.3</v>
      </c>
      <c r="H1753">
        <v>53</v>
      </c>
      <c r="I1753" t="s">
        <v>16</v>
      </c>
      <c r="J1753">
        <v>3.9</v>
      </c>
      <c r="K1753" t="s">
        <v>26</v>
      </c>
      <c r="L1753" t="s">
        <v>23</v>
      </c>
      <c r="M1753" t="str">
        <f>VLOOKUP(D1757,Restaurant_Master!A:B,2,FALSE)</f>
        <v>https://content.jdmagicbox.com/comp/deoria/g6/9999p5568.5568.200119143033.m4g6/catalogue/biryani-house-deoria-ho-deoria-mktc2xph0o.jpg</v>
      </c>
    </row>
    <row r="1754" spans="1:13" x14ac:dyDescent="0.3">
      <c r="A1754" t="s">
        <v>1784</v>
      </c>
      <c r="B1754" s="1">
        <v>45656</v>
      </c>
      <c r="C1754" t="s">
        <v>13</v>
      </c>
      <c r="D1754" t="s">
        <v>32</v>
      </c>
      <c r="E1754">
        <v>57</v>
      </c>
      <c r="F1754" t="s">
        <v>15</v>
      </c>
      <c r="G1754">
        <v>470.25</v>
      </c>
      <c r="H1754">
        <v>24</v>
      </c>
      <c r="I1754" t="s">
        <v>22</v>
      </c>
      <c r="J1754">
        <v>2.8</v>
      </c>
      <c r="K1754" t="s">
        <v>29</v>
      </c>
      <c r="L1754" t="s">
        <v>23</v>
      </c>
      <c r="M1754" t="str">
        <f>VLOOKUP(D1758,Restaurant_Master!A:B,2,FALSE)</f>
        <v>https://www.chatswoodinterchange.com/storages/2018/08/Sushi-World_666x448.jpg</v>
      </c>
    </row>
    <row r="1755" spans="1:13" x14ac:dyDescent="0.3">
      <c r="A1755" t="s">
        <v>1785</v>
      </c>
      <c r="B1755" s="1">
        <v>45581</v>
      </c>
      <c r="C1755" t="s">
        <v>13</v>
      </c>
      <c r="D1755" t="s">
        <v>25</v>
      </c>
      <c r="E1755">
        <v>37</v>
      </c>
      <c r="F1755" t="s">
        <v>28</v>
      </c>
      <c r="G1755">
        <v>419.6</v>
      </c>
      <c r="H1755">
        <v>58</v>
      </c>
      <c r="I1755" t="s">
        <v>16</v>
      </c>
      <c r="J1755">
        <v>4</v>
      </c>
      <c r="K1755" t="s">
        <v>41</v>
      </c>
      <c r="L1755" t="s">
        <v>18</v>
      </c>
      <c r="M1755" t="str">
        <f>VLOOKUP(D1759,Restaurant_Master!A:B,2,FALSE)</f>
        <v>https://dynamic-media-cdn.tripadvisor.com/media/photo-o/1c/e7/04/0d/front-of-the-local-easily.jpg</v>
      </c>
    </row>
    <row r="1756" spans="1:13" x14ac:dyDescent="0.3">
      <c r="A1756" t="s">
        <v>1786</v>
      </c>
      <c r="B1756" s="1">
        <v>45627</v>
      </c>
      <c r="C1756" t="s">
        <v>34</v>
      </c>
      <c r="D1756" t="s">
        <v>14</v>
      </c>
      <c r="E1756">
        <v>57</v>
      </c>
      <c r="F1756" t="s">
        <v>28</v>
      </c>
      <c r="G1756">
        <v>1071.8599999999999</v>
      </c>
      <c r="H1756">
        <v>31</v>
      </c>
      <c r="I1756" t="s">
        <v>22</v>
      </c>
      <c r="J1756">
        <v>4.7</v>
      </c>
      <c r="K1756" t="s">
        <v>26</v>
      </c>
      <c r="L1756" t="s">
        <v>23</v>
      </c>
      <c r="M1756" t="str">
        <f>VLOOKUP(D1760,Restaurant_Master!A:B,2,FALSE)</f>
        <v>https://media-cdn.tripadvisor.com/media/photo-s/1c/c7/97/b6/photo6jpg.jpg</v>
      </c>
    </row>
    <row r="1757" spans="1:13" x14ac:dyDescent="0.3">
      <c r="A1757" t="s">
        <v>1787</v>
      </c>
      <c r="B1757" s="1">
        <v>45573</v>
      </c>
      <c r="C1757" t="s">
        <v>36</v>
      </c>
      <c r="D1757" t="s">
        <v>32</v>
      </c>
      <c r="E1757">
        <v>53</v>
      </c>
      <c r="F1757" t="s">
        <v>15</v>
      </c>
      <c r="G1757">
        <v>1112.3800000000001</v>
      </c>
      <c r="H1757">
        <v>20</v>
      </c>
      <c r="I1757" t="s">
        <v>22</v>
      </c>
      <c r="J1757">
        <v>2.9</v>
      </c>
      <c r="K1757" t="s">
        <v>26</v>
      </c>
      <c r="L1757" t="s">
        <v>18</v>
      </c>
      <c r="M1757" t="str">
        <f>VLOOKUP(D1761,Restaurant_Master!A:B,2,FALSE)</f>
        <v>https://media-cdn.tripadvisor.com/media/photo-s/1c/c7/97/b6/photo6jpg.jpg</v>
      </c>
    </row>
    <row r="1758" spans="1:13" x14ac:dyDescent="0.3">
      <c r="A1758" t="s">
        <v>1788</v>
      </c>
      <c r="B1758" s="1">
        <v>45385</v>
      </c>
      <c r="C1758" t="s">
        <v>34</v>
      </c>
      <c r="D1758" t="s">
        <v>38</v>
      </c>
      <c r="E1758">
        <v>48</v>
      </c>
      <c r="F1758" t="s">
        <v>28</v>
      </c>
      <c r="G1758">
        <v>446.48</v>
      </c>
      <c r="H1758">
        <v>24</v>
      </c>
      <c r="I1758" t="s">
        <v>22</v>
      </c>
      <c r="J1758">
        <v>3.3</v>
      </c>
      <c r="K1758" t="s">
        <v>41</v>
      </c>
      <c r="L1758" t="s">
        <v>18</v>
      </c>
      <c r="M1758" t="str">
        <f>VLOOKUP(D1762,Restaurant_Master!A:B,2,FALSE)</f>
        <v>https://dineout-media-assets.swiggy.com/swiggy/image/upload/fl_lossy,f_auto,q_auto/v1660793737/fdqxvxcxg1wtdwvyv45v.jpg</v>
      </c>
    </row>
    <row r="1759" spans="1:13" x14ac:dyDescent="0.3">
      <c r="A1759" t="s">
        <v>1789</v>
      </c>
      <c r="B1759" s="1">
        <v>45345</v>
      </c>
      <c r="C1759" t="s">
        <v>20</v>
      </c>
      <c r="D1759" t="s">
        <v>21</v>
      </c>
      <c r="E1759">
        <v>21</v>
      </c>
      <c r="F1759" t="s">
        <v>28</v>
      </c>
      <c r="G1759">
        <v>464.12</v>
      </c>
      <c r="H1759">
        <v>53</v>
      </c>
      <c r="I1759" t="s">
        <v>16</v>
      </c>
      <c r="J1759">
        <v>3.5</v>
      </c>
      <c r="K1759" t="s">
        <v>29</v>
      </c>
      <c r="L1759" t="s">
        <v>18</v>
      </c>
      <c r="M1759" t="str">
        <f>VLOOKUP(D1763,Restaurant_Master!A:B,2,FALSE)</f>
        <v>https://www.chatswoodinterchange.com/storages/2018/08/Sushi-World_666x448.jpg</v>
      </c>
    </row>
    <row r="1760" spans="1:13" x14ac:dyDescent="0.3">
      <c r="A1760" t="s">
        <v>1790</v>
      </c>
      <c r="B1760" s="1">
        <v>45345</v>
      </c>
      <c r="C1760" t="s">
        <v>13</v>
      </c>
      <c r="D1760" t="s">
        <v>25</v>
      </c>
      <c r="E1760">
        <v>27</v>
      </c>
      <c r="F1760" t="s">
        <v>28</v>
      </c>
      <c r="G1760">
        <v>358.58</v>
      </c>
      <c r="H1760">
        <v>41</v>
      </c>
      <c r="I1760" t="s">
        <v>16</v>
      </c>
      <c r="J1760">
        <v>3.1</v>
      </c>
      <c r="K1760" t="s">
        <v>41</v>
      </c>
      <c r="L1760" t="s">
        <v>18</v>
      </c>
      <c r="M1760" t="str">
        <f>VLOOKUP(D1764,Restaurant_Master!A:B,2,FALSE)</f>
        <v>https://dineout-media-assets.swiggy.com/swiggy/image/upload/fl_lossy,f_auto,q_auto/v1660793737/fdqxvxcxg1wtdwvyv45v.jpg</v>
      </c>
    </row>
    <row r="1761" spans="1:13" x14ac:dyDescent="0.3">
      <c r="A1761" t="s">
        <v>1791</v>
      </c>
      <c r="B1761" s="1">
        <v>45294</v>
      </c>
      <c r="C1761" t="s">
        <v>43</v>
      </c>
      <c r="D1761" t="s">
        <v>25</v>
      </c>
      <c r="E1761">
        <v>32</v>
      </c>
      <c r="F1761" t="s">
        <v>28</v>
      </c>
      <c r="G1761">
        <v>1019.08</v>
      </c>
      <c r="H1761">
        <v>37</v>
      </c>
      <c r="I1761" t="s">
        <v>22</v>
      </c>
      <c r="J1761">
        <v>3.8</v>
      </c>
      <c r="K1761" t="s">
        <v>17</v>
      </c>
      <c r="L1761" t="s">
        <v>18</v>
      </c>
      <c r="M1761" t="str">
        <f>VLOOKUP(D1765,Restaurant_Master!A:B,2,FALSE)</f>
        <v>https://dineout-media-assets.swiggy.com/swiggy/image/upload/fl_lossy,f_auto,q_auto/v1660793737/fdqxvxcxg1wtdwvyv45v.jpg</v>
      </c>
    </row>
    <row r="1762" spans="1:13" x14ac:dyDescent="0.3">
      <c r="A1762" t="s">
        <v>1792</v>
      </c>
      <c r="B1762" s="1">
        <v>45338</v>
      </c>
      <c r="C1762" t="s">
        <v>34</v>
      </c>
      <c r="D1762" t="s">
        <v>14</v>
      </c>
      <c r="E1762">
        <v>36</v>
      </c>
      <c r="F1762" t="s">
        <v>15</v>
      </c>
      <c r="G1762">
        <v>762.71</v>
      </c>
      <c r="H1762">
        <v>40</v>
      </c>
      <c r="I1762" t="s">
        <v>22</v>
      </c>
      <c r="J1762">
        <v>3.8</v>
      </c>
      <c r="K1762" t="s">
        <v>41</v>
      </c>
      <c r="L1762" t="s">
        <v>18</v>
      </c>
      <c r="M1762" t="str">
        <f>VLOOKUP(D1766,Restaurant_Master!A:B,2,FALSE)</f>
        <v>https://dynamic-media-cdn.tripadvisor.com/media/photo-o/1c/e7/04/0d/front-of-the-local-easily.jpg</v>
      </c>
    </row>
    <row r="1763" spans="1:13" x14ac:dyDescent="0.3">
      <c r="A1763" t="s">
        <v>1793</v>
      </c>
      <c r="B1763" s="1">
        <v>45300</v>
      </c>
      <c r="C1763" t="s">
        <v>34</v>
      </c>
      <c r="D1763" t="s">
        <v>38</v>
      </c>
      <c r="E1763">
        <v>33</v>
      </c>
      <c r="F1763" t="s">
        <v>15</v>
      </c>
      <c r="G1763">
        <v>1177.8699999999999</v>
      </c>
      <c r="H1763">
        <v>35</v>
      </c>
      <c r="I1763" t="s">
        <v>22</v>
      </c>
      <c r="J1763">
        <v>3.4</v>
      </c>
      <c r="K1763" t="s">
        <v>29</v>
      </c>
      <c r="L1763" t="s">
        <v>18</v>
      </c>
      <c r="M1763" t="str">
        <f>VLOOKUP(D1767,Restaurant_Master!A:B,2,FALSE)</f>
        <v>https://media-cdn.tripadvisor.com/media/photo-s/1c/c7/97/b6/photo6jpg.jpg</v>
      </c>
    </row>
    <row r="1764" spans="1:13" x14ac:dyDescent="0.3">
      <c r="A1764" t="s">
        <v>1794</v>
      </c>
      <c r="B1764" s="1">
        <v>45486</v>
      </c>
      <c r="C1764" t="s">
        <v>34</v>
      </c>
      <c r="D1764" t="s">
        <v>14</v>
      </c>
      <c r="E1764">
        <v>51</v>
      </c>
      <c r="F1764" t="s">
        <v>28</v>
      </c>
      <c r="G1764">
        <v>188.89</v>
      </c>
      <c r="H1764">
        <v>36</v>
      </c>
      <c r="I1764" t="s">
        <v>22</v>
      </c>
      <c r="J1764">
        <v>3.6</v>
      </c>
      <c r="K1764" t="s">
        <v>29</v>
      </c>
      <c r="L1764" t="s">
        <v>23</v>
      </c>
      <c r="M1764" t="str">
        <f>VLOOKUP(D1768,Restaurant_Master!A:B,2,FALSE)</f>
        <v>https://dynamic-media-cdn.tripadvisor.com/media/photo-o/1c/e7/04/0d/front-of-the-local-easily.jpg</v>
      </c>
    </row>
    <row r="1765" spans="1:13" x14ac:dyDescent="0.3">
      <c r="A1765" t="s">
        <v>1795</v>
      </c>
      <c r="B1765" s="1">
        <v>45359</v>
      </c>
      <c r="C1765" t="s">
        <v>20</v>
      </c>
      <c r="D1765" t="s">
        <v>14</v>
      </c>
      <c r="E1765">
        <v>19</v>
      </c>
      <c r="F1765" t="s">
        <v>15</v>
      </c>
      <c r="G1765">
        <v>361.12</v>
      </c>
      <c r="H1765">
        <v>46</v>
      </c>
      <c r="I1765" t="s">
        <v>16</v>
      </c>
      <c r="J1765">
        <v>3</v>
      </c>
      <c r="K1765" t="s">
        <v>26</v>
      </c>
      <c r="L1765" t="s">
        <v>23</v>
      </c>
      <c r="M1765" t="str">
        <f>VLOOKUP(D1769,Restaurant_Master!A:B,2,FALSE)</f>
        <v>https://media-cdn.tripadvisor.com/media/photo-s/1c/c7/97/b6/photo6jpg.jpg</v>
      </c>
    </row>
    <row r="1766" spans="1:13" x14ac:dyDescent="0.3">
      <c r="A1766" t="s">
        <v>1796</v>
      </c>
      <c r="B1766" s="1">
        <v>45356</v>
      </c>
      <c r="C1766" t="s">
        <v>13</v>
      </c>
      <c r="D1766" t="s">
        <v>21</v>
      </c>
      <c r="E1766">
        <v>29</v>
      </c>
      <c r="F1766" t="s">
        <v>28</v>
      </c>
      <c r="G1766">
        <v>1106.78</v>
      </c>
      <c r="H1766">
        <v>37</v>
      </c>
      <c r="I1766" t="s">
        <v>22</v>
      </c>
      <c r="J1766">
        <v>4</v>
      </c>
      <c r="K1766" t="s">
        <v>29</v>
      </c>
      <c r="L1766" t="s">
        <v>23</v>
      </c>
      <c r="M1766" t="str">
        <f>VLOOKUP(D1770,Restaurant_Master!A:B,2,FALSE)</f>
        <v>https://www.chatswoodinterchange.com/storages/2018/08/Sushi-World_666x448.jpg</v>
      </c>
    </row>
    <row r="1767" spans="1:13" x14ac:dyDescent="0.3">
      <c r="A1767" t="s">
        <v>1797</v>
      </c>
      <c r="B1767" s="1">
        <v>45459</v>
      </c>
      <c r="C1767" t="s">
        <v>34</v>
      </c>
      <c r="D1767" t="s">
        <v>25</v>
      </c>
      <c r="E1767">
        <v>20</v>
      </c>
      <c r="F1767" t="s">
        <v>28</v>
      </c>
      <c r="G1767">
        <v>275.31</v>
      </c>
      <c r="H1767">
        <v>46</v>
      </c>
      <c r="I1767" t="s">
        <v>16</v>
      </c>
      <c r="J1767">
        <v>2.9</v>
      </c>
      <c r="K1767" t="s">
        <v>17</v>
      </c>
      <c r="L1767" t="s">
        <v>23</v>
      </c>
      <c r="M1767" t="str">
        <f>VLOOKUP(D1771,Restaurant_Master!A:B,2,FALSE)</f>
        <v>https://media-cdn.tripadvisor.com/media/photo-s/1c/c7/97/b6/photo6jpg.jpg</v>
      </c>
    </row>
    <row r="1768" spans="1:13" x14ac:dyDescent="0.3">
      <c r="A1768" t="s">
        <v>1798</v>
      </c>
      <c r="B1768" s="1">
        <v>45383</v>
      </c>
      <c r="C1768" t="s">
        <v>43</v>
      </c>
      <c r="D1768" t="s">
        <v>21</v>
      </c>
      <c r="E1768">
        <v>42</v>
      </c>
      <c r="F1768" t="s">
        <v>28</v>
      </c>
      <c r="G1768">
        <v>231.05</v>
      </c>
      <c r="H1768">
        <v>50</v>
      </c>
      <c r="I1768" t="s">
        <v>16</v>
      </c>
      <c r="J1768">
        <v>3.5</v>
      </c>
      <c r="K1768" t="s">
        <v>17</v>
      </c>
      <c r="L1768" t="s">
        <v>18</v>
      </c>
      <c r="M1768" t="str">
        <f>VLOOKUP(D1772,Restaurant_Master!A:B,2,FALSE)</f>
        <v>https://media-cdn.tripadvisor.com/media/photo-s/1c/c7/97/b6/photo6jpg.jpg</v>
      </c>
    </row>
    <row r="1769" spans="1:13" x14ac:dyDescent="0.3">
      <c r="A1769" t="s">
        <v>1799</v>
      </c>
      <c r="B1769" s="1">
        <v>45331</v>
      </c>
      <c r="C1769" t="s">
        <v>43</v>
      </c>
      <c r="D1769" t="s">
        <v>25</v>
      </c>
      <c r="E1769">
        <v>50</v>
      </c>
      <c r="F1769" t="s">
        <v>28</v>
      </c>
      <c r="G1769">
        <v>1152.3699999999999</v>
      </c>
      <c r="H1769">
        <v>21</v>
      </c>
      <c r="I1769" t="s">
        <v>22</v>
      </c>
      <c r="J1769">
        <v>4.3</v>
      </c>
      <c r="K1769" t="s">
        <v>17</v>
      </c>
      <c r="L1769" t="s">
        <v>18</v>
      </c>
      <c r="M1769" t="str">
        <f>VLOOKUP(D1773,Restaurant_Master!A:B,2,FALSE)</f>
        <v>https://www.chatswoodinterchange.com/storages/2018/08/Sushi-World_666x448.jpg</v>
      </c>
    </row>
    <row r="1770" spans="1:13" x14ac:dyDescent="0.3">
      <c r="A1770" t="s">
        <v>1800</v>
      </c>
      <c r="B1770" s="1">
        <v>45645</v>
      </c>
      <c r="C1770" t="s">
        <v>20</v>
      </c>
      <c r="D1770" t="s">
        <v>38</v>
      </c>
      <c r="E1770">
        <v>26</v>
      </c>
      <c r="F1770" t="s">
        <v>28</v>
      </c>
      <c r="G1770">
        <v>1049.3399999999999</v>
      </c>
      <c r="H1770">
        <v>48</v>
      </c>
      <c r="I1770" t="s">
        <v>16</v>
      </c>
      <c r="J1770">
        <v>4</v>
      </c>
      <c r="K1770" t="s">
        <v>26</v>
      </c>
      <c r="L1770" t="s">
        <v>23</v>
      </c>
      <c r="M1770" t="str">
        <f>VLOOKUP(D1774,Restaurant_Master!A:B,2,FALSE)</f>
        <v>https://content.jdmagicbox.com/comp/deoria/g6/9999p5568.5568.200119143033.m4g6/catalogue/biryani-house-deoria-ho-deoria-mktc2xph0o.jpg</v>
      </c>
    </row>
    <row r="1771" spans="1:13" x14ac:dyDescent="0.3">
      <c r="A1771" t="s">
        <v>1801</v>
      </c>
      <c r="B1771" s="1">
        <v>45339</v>
      </c>
      <c r="C1771" t="s">
        <v>43</v>
      </c>
      <c r="D1771" t="s">
        <v>25</v>
      </c>
      <c r="E1771">
        <v>21</v>
      </c>
      <c r="F1771" t="s">
        <v>15</v>
      </c>
      <c r="G1771">
        <v>1058.93</v>
      </c>
      <c r="H1771">
        <v>37</v>
      </c>
      <c r="I1771" t="s">
        <v>22</v>
      </c>
      <c r="J1771">
        <v>4</v>
      </c>
      <c r="K1771" t="s">
        <v>29</v>
      </c>
      <c r="L1771" t="s">
        <v>18</v>
      </c>
      <c r="M1771" t="str">
        <f>VLOOKUP(D1775,Restaurant_Master!A:B,2,FALSE)</f>
        <v>https://content.jdmagicbox.com/comp/deoria/g6/9999p5568.5568.200119143033.m4g6/catalogue/biryani-house-deoria-ho-deoria-mktc2xph0o.jpg</v>
      </c>
    </row>
    <row r="1772" spans="1:13" x14ac:dyDescent="0.3">
      <c r="A1772" t="s">
        <v>1802</v>
      </c>
      <c r="B1772" s="1">
        <v>45494</v>
      </c>
      <c r="C1772" t="s">
        <v>20</v>
      </c>
      <c r="D1772" t="s">
        <v>25</v>
      </c>
      <c r="E1772">
        <v>50</v>
      </c>
      <c r="F1772" t="s">
        <v>15</v>
      </c>
      <c r="G1772">
        <v>369.97</v>
      </c>
      <c r="H1772">
        <v>42</v>
      </c>
      <c r="I1772" t="s">
        <v>16</v>
      </c>
      <c r="J1772">
        <v>5</v>
      </c>
      <c r="K1772" t="s">
        <v>41</v>
      </c>
      <c r="L1772" t="s">
        <v>18</v>
      </c>
      <c r="M1772" t="str">
        <f>VLOOKUP(D1776,Restaurant_Master!A:B,2,FALSE)</f>
        <v>https://media-cdn.tripadvisor.com/media/photo-s/1c/c7/97/b6/photo6jpg.jpg</v>
      </c>
    </row>
    <row r="1773" spans="1:13" x14ac:dyDescent="0.3">
      <c r="A1773" t="s">
        <v>1803</v>
      </c>
      <c r="B1773" s="1">
        <v>45493</v>
      </c>
      <c r="C1773" t="s">
        <v>20</v>
      </c>
      <c r="D1773" t="s">
        <v>38</v>
      </c>
      <c r="E1773">
        <v>59</v>
      </c>
      <c r="F1773" t="s">
        <v>15</v>
      </c>
      <c r="G1773">
        <v>1015.41</v>
      </c>
      <c r="H1773">
        <v>58</v>
      </c>
      <c r="I1773" t="s">
        <v>16</v>
      </c>
      <c r="J1773">
        <v>3.1</v>
      </c>
      <c r="K1773" t="s">
        <v>26</v>
      </c>
      <c r="L1773" t="s">
        <v>18</v>
      </c>
      <c r="M1773" t="str">
        <f>VLOOKUP(D1777,Restaurant_Master!A:B,2,FALSE)</f>
        <v>https://www.chatswoodinterchange.com/storages/2018/08/Sushi-World_666x448.jpg</v>
      </c>
    </row>
    <row r="1774" spans="1:13" x14ac:dyDescent="0.3">
      <c r="A1774" t="s">
        <v>1804</v>
      </c>
      <c r="B1774" s="1">
        <v>45392</v>
      </c>
      <c r="C1774" t="s">
        <v>13</v>
      </c>
      <c r="D1774" t="s">
        <v>32</v>
      </c>
      <c r="E1774">
        <v>49</v>
      </c>
      <c r="F1774" t="s">
        <v>28</v>
      </c>
      <c r="G1774">
        <v>670.87</v>
      </c>
      <c r="H1774">
        <v>52</v>
      </c>
      <c r="I1774" t="s">
        <v>16</v>
      </c>
      <c r="J1774">
        <v>4.4000000000000004</v>
      </c>
      <c r="K1774" t="s">
        <v>29</v>
      </c>
      <c r="L1774" t="s">
        <v>18</v>
      </c>
      <c r="M1774" t="str">
        <f>VLOOKUP(D1778,Restaurant_Master!A:B,2,FALSE)</f>
        <v>https://content.jdmagicbox.com/comp/deoria/g6/9999p5568.5568.200119143033.m4g6/catalogue/biryani-house-deoria-ho-deoria-mktc2xph0o.jpg</v>
      </c>
    </row>
    <row r="1775" spans="1:13" x14ac:dyDescent="0.3">
      <c r="A1775" t="s">
        <v>1805</v>
      </c>
      <c r="B1775" s="1">
        <v>45381</v>
      </c>
      <c r="C1775" t="s">
        <v>20</v>
      </c>
      <c r="D1775" t="s">
        <v>32</v>
      </c>
      <c r="E1775">
        <v>24</v>
      </c>
      <c r="F1775" t="s">
        <v>15</v>
      </c>
      <c r="G1775">
        <v>464.23</v>
      </c>
      <c r="H1775">
        <v>29</v>
      </c>
      <c r="I1775" t="s">
        <v>22</v>
      </c>
      <c r="J1775">
        <v>2.9</v>
      </c>
      <c r="K1775" t="s">
        <v>41</v>
      </c>
      <c r="L1775" t="s">
        <v>23</v>
      </c>
      <c r="M1775" t="str">
        <f>VLOOKUP(D1779,Restaurant_Master!A:B,2,FALSE)</f>
        <v>https://dynamic-media-cdn.tripadvisor.com/media/photo-o/1c/e7/04/0d/front-of-the-local-easily.jpg</v>
      </c>
    </row>
    <row r="1776" spans="1:13" x14ac:dyDescent="0.3">
      <c r="A1776" t="s">
        <v>1806</v>
      </c>
      <c r="B1776" s="1">
        <v>45610</v>
      </c>
      <c r="C1776" t="s">
        <v>34</v>
      </c>
      <c r="D1776" t="s">
        <v>25</v>
      </c>
      <c r="E1776">
        <v>43</v>
      </c>
      <c r="F1776" t="s">
        <v>15</v>
      </c>
      <c r="G1776">
        <v>554.72</v>
      </c>
      <c r="H1776">
        <v>59</v>
      </c>
      <c r="I1776" t="s">
        <v>16</v>
      </c>
      <c r="J1776">
        <v>2.9</v>
      </c>
      <c r="K1776" t="s">
        <v>29</v>
      </c>
      <c r="L1776" t="s">
        <v>23</v>
      </c>
      <c r="M1776" t="str">
        <f>VLOOKUP(D1780,Restaurant_Master!A:B,2,FALSE)</f>
        <v>https://dynamic-media-cdn.tripadvisor.com/media/photo-o/1c/e7/04/0d/front-of-the-local-easily.jpg</v>
      </c>
    </row>
    <row r="1777" spans="1:13" x14ac:dyDescent="0.3">
      <c r="A1777" t="s">
        <v>1807</v>
      </c>
      <c r="B1777" s="1">
        <v>45643</v>
      </c>
      <c r="C1777" t="s">
        <v>13</v>
      </c>
      <c r="D1777" t="s">
        <v>38</v>
      </c>
      <c r="E1777">
        <v>49</v>
      </c>
      <c r="F1777" t="s">
        <v>15</v>
      </c>
      <c r="G1777">
        <v>314.64</v>
      </c>
      <c r="H1777">
        <v>57</v>
      </c>
      <c r="I1777" t="s">
        <v>16</v>
      </c>
      <c r="J1777">
        <v>3</v>
      </c>
      <c r="K1777" t="s">
        <v>26</v>
      </c>
      <c r="L1777" t="s">
        <v>18</v>
      </c>
      <c r="M1777" t="str">
        <f>VLOOKUP(D1781,Restaurant_Master!A:B,2,FALSE)</f>
        <v>https://dineout-media-assets.swiggy.com/swiggy/image/upload/fl_lossy,f_auto,q_auto/v1660793737/fdqxvxcxg1wtdwvyv45v.jpg</v>
      </c>
    </row>
    <row r="1778" spans="1:13" x14ac:dyDescent="0.3">
      <c r="A1778" t="s">
        <v>1808</v>
      </c>
      <c r="B1778" s="1">
        <v>45574</v>
      </c>
      <c r="C1778" t="s">
        <v>34</v>
      </c>
      <c r="D1778" t="s">
        <v>32</v>
      </c>
      <c r="E1778">
        <v>48</v>
      </c>
      <c r="F1778" t="s">
        <v>15</v>
      </c>
      <c r="G1778">
        <v>904.32</v>
      </c>
      <c r="H1778">
        <v>33</v>
      </c>
      <c r="I1778" t="s">
        <v>22</v>
      </c>
      <c r="J1778">
        <v>2.8</v>
      </c>
      <c r="K1778" t="s">
        <v>29</v>
      </c>
      <c r="L1778" t="s">
        <v>23</v>
      </c>
      <c r="M1778" t="str">
        <f>VLOOKUP(D1782,Restaurant_Master!A:B,2,FALSE)</f>
        <v>https://dineout-media-assets.swiggy.com/swiggy/image/upload/fl_lossy,f_auto,q_auto/v1660793737/fdqxvxcxg1wtdwvyv45v.jpg</v>
      </c>
    </row>
    <row r="1779" spans="1:13" x14ac:dyDescent="0.3">
      <c r="A1779" t="s">
        <v>1809</v>
      </c>
      <c r="B1779" s="1">
        <v>45562</v>
      </c>
      <c r="C1779" t="s">
        <v>43</v>
      </c>
      <c r="D1779" t="s">
        <v>21</v>
      </c>
      <c r="E1779">
        <v>23</v>
      </c>
      <c r="F1779" t="s">
        <v>28</v>
      </c>
      <c r="G1779">
        <v>620.65</v>
      </c>
      <c r="H1779">
        <v>59</v>
      </c>
      <c r="I1779" t="s">
        <v>16</v>
      </c>
      <c r="J1779">
        <v>2.7</v>
      </c>
      <c r="K1779" t="s">
        <v>26</v>
      </c>
      <c r="L1779" t="s">
        <v>23</v>
      </c>
      <c r="M1779" t="str">
        <f>VLOOKUP(D1783,Restaurant_Master!A:B,2,FALSE)</f>
        <v>https://content.jdmagicbox.com/comp/deoria/g6/9999p5568.5568.200119143033.m4g6/catalogue/biryani-house-deoria-ho-deoria-mktc2xph0o.jpg</v>
      </c>
    </row>
    <row r="1780" spans="1:13" x14ac:dyDescent="0.3">
      <c r="A1780" t="s">
        <v>1810</v>
      </c>
      <c r="B1780" s="1">
        <v>45566</v>
      </c>
      <c r="C1780" t="s">
        <v>34</v>
      </c>
      <c r="D1780" t="s">
        <v>21</v>
      </c>
      <c r="E1780">
        <v>44</v>
      </c>
      <c r="F1780" t="s">
        <v>15</v>
      </c>
      <c r="G1780">
        <v>967.9</v>
      </c>
      <c r="H1780">
        <v>36</v>
      </c>
      <c r="I1780" t="s">
        <v>22</v>
      </c>
      <c r="J1780">
        <v>2.6</v>
      </c>
      <c r="K1780" t="s">
        <v>29</v>
      </c>
      <c r="L1780" t="s">
        <v>23</v>
      </c>
      <c r="M1780" t="str">
        <f>VLOOKUP(D1784,Restaurant_Master!A:B,2,FALSE)</f>
        <v>https://www.chatswoodinterchange.com/storages/2018/08/Sushi-World_666x448.jpg</v>
      </c>
    </row>
    <row r="1781" spans="1:13" x14ac:dyDescent="0.3">
      <c r="A1781" t="s">
        <v>1811</v>
      </c>
      <c r="B1781" s="1">
        <v>45563</v>
      </c>
      <c r="C1781" t="s">
        <v>13</v>
      </c>
      <c r="D1781" t="s">
        <v>14</v>
      </c>
      <c r="E1781">
        <v>18</v>
      </c>
      <c r="F1781" t="s">
        <v>15</v>
      </c>
      <c r="G1781">
        <v>855.77</v>
      </c>
      <c r="H1781">
        <v>59</v>
      </c>
      <c r="I1781" t="s">
        <v>16</v>
      </c>
      <c r="J1781">
        <v>3.3</v>
      </c>
      <c r="K1781" t="s">
        <v>29</v>
      </c>
      <c r="L1781" t="s">
        <v>23</v>
      </c>
      <c r="M1781" t="str">
        <f>VLOOKUP(D1785,Restaurant_Master!A:B,2,FALSE)</f>
        <v>https://media-cdn.tripadvisor.com/media/photo-s/1c/c7/97/b6/photo6jpg.jpg</v>
      </c>
    </row>
    <row r="1782" spans="1:13" x14ac:dyDescent="0.3">
      <c r="A1782" t="s">
        <v>1812</v>
      </c>
      <c r="B1782" s="1">
        <v>45406</v>
      </c>
      <c r="C1782" t="s">
        <v>13</v>
      </c>
      <c r="D1782" t="s">
        <v>14</v>
      </c>
      <c r="E1782">
        <v>52</v>
      </c>
      <c r="F1782" t="s">
        <v>15</v>
      </c>
      <c r="G1782">
        <v>927.51</v>
      </c>
      <c r="H1782">
        <v>21</v>
      </c>
      <c r="I1782" t="s">
        <v>22</v>
      </c>
      <c r="J1782">
        <v>3.9</v>
      </c>
      <c r="K1782" t="s">
        <v>29</v>
      </c>
      <c r="L1782" t="s">
        <v>23</v>
      </c>
      <c r="M1782" t="str">
        <f>VLOOKUP(D1786,Restaurant_Master!A:B,2,FALSE)</f>
        <v>https://media-cdn.tripadvisor.com/media/photo-s/1c/c7/97/b6/photo6jpg.jpg</v>
      </c>
    </row>
    <row r="1783" spans="1:13" x14ac:dyDescent="0.3">
      <c r="A1783" t="s">
        <v>1813</v>
      </c>
      <c r="B1783" s="1">
        <v>45362</v>
      </c>
      <c r="C1783" t="s">
        <v>36</v>
      </c>
      <c r="D1783" t="s">
        <v>32</v>
      </c>
      <c r="E1783">
        <v>60</v>
      </c>
      <c r="F1783" t="s">
        <v>15</v>
      </c>
      <c r="G1783">
        <v>974.08</v>
      </c>
      <c r="H1783">
        <v>56</v>
      </c>
      <c r="I1783" t="s">
        <v>16</v>
      </c>
      <c r="J1783">
        <v>2.7</v>
      </c>
      <c r="K1783" t="s">
        <v>17</v>
      </c>
      <c r="L1783" t="s">
        <v>18</v>
      </c>
      <c r="M1783" t="str">
        <f>VLOOKUP(D1787,Restaurant_Master!A:B,2,FALSE)</f>
        <v>https://www.chatswoodinterchange.com/storages/2018/08/Sushi-World_666x448.jpg</v>
      </c>
    </row>
    <row r="1784" spans="1:13" x14ac:dyDescent="0.3">
      <c r="A1784" t="s">
        <v>1814</v>
      </c>
      <c r="B1784" s="1">
        <v>45341</v>
      </c>
      <c r="C1784" t="s">
        <v>36</v>
      </c>
      <c r="D1784" t="s">
        <v>38</v>
      </c>
      <c r="E1784">
        <v>50</v>
      </c>
      <c r="F1784" t="s">
        <v>15</v>
      </c>
      <c r="G1784">
        <v>172.39</v>
      </c>
      <c r="H1784">
        <v>56</v>
      </c>
      <c r="I1784" t="s">
        <v>16</v>
      </c>
      <c r="J1784">
        <v>2.9</v>
      </c>
      <c r="K1784" t="s">
        <v>26</v>
      </c>
      <c r="L1784" t="s">
        <v>23</v>
      </c>
      <c r="M1784" t="str">
        <f>VLOOKUP(D1788,Restaurant_Master!A:B,2,FALSE)</f>
        <v>https://media-cdn.tripadvisor.com/media/photo-s/1c/c7/97/b6/photo6jpg.jpg</v>
      </c>
    </row>
    <row r="1785" spans="1:13" x14ac:dyDescent="0.3">
      <c r="A1785" t="s">
        <v>1815</v>
      </c>
      <c r="B1785" s="1">
        <v>45485</v>
      </c>
      <c r="C1785" t="s">
        <v>13</v>
      </c>
      <c r="D1785" t="s">
        <v>25</v>
      </c>
      <c r="E1785">
        <v>21</v>
      </c>
      <c r="F1785" t="s">
        <v>28</v>
      </c>
      <c r="G1785">
        <v>847.34</v>
      </c>
      <c r="H1785">
        <v>55</v>
      </c>
      <c r="I1785" t="s">
        <v>16</v>
      </c>
      <c r="J1785">
        <v>4.0999999999999996</v>
      </c>
      <c r="K1785" t="s">
        <v>26</v>
      </c>
      <c r="L1785" t="s">
        <v>18</v>
      </c>
      <c r="M1785" t="str">
        <f>VLOOKUP(D1789,Restaurant_Master!A:B,2,FALSE)</f>
        <v>https://dineout-media-assets.swiggy.com/swiggy/image/upload/fl_lossy,f_auto,q_auto/v1660793737/fdqxvxcxg1wtdwvyv45v.jpg</v>
      </c>
    </row>
    <row r="1786" spans="1:13" x14ac:dyDescent="0.3">
      <c r="A1786" t="s">
        <v>1816</v>
      </c>
      <c r="B1786" s="1">
        <v>45360</v>
      </c>
      <c r="C1786" t="s">
        <v>20</v>
      </c>
      <c r="D1786" t="s">
        <v>25</v>
      </c>
      <c r="E1786">
        <v>53</v>
      </c>
      <c r="F1786" t="s">
        <v>28</v>
      </c>
      <c r="G1786">
        <v>655.78</v>
      </c>
      <c r="H1786">
        <v>56</v>
      </c>
      <c r="I1786" t="s">
        <v>16</v>
      </c>
      <c r="J1786">
        <v>3.1</v>
      </c>
      <c r="K1786" t="s">
        <v>17</v>
      </c>
      <c r="L1786" t="s">
        <v>23</v>
      </c>
      <c r="M1786" t="str">
        <f>VLOOKUP(D1790,Restaurant_Master!A:B,2,FALSE)</f>
        <v>https://dynamic-media-cdn.tripadvisor.com/media/photo-o/1c/e7/04/0d/front-of-the-local-easily.jpg</v>
      </c>
    </row>
    <row r="1787" spans="1:13" x14ac:dyDescent="0.3">
      <c r="A1787" t="s">
        <v>1817</v>
      </c>
      <c r="B1787" s="1">
        <v>45650</v>
      </c>
      <c r="C1787" t="s">
        <v>13</v>
      </c>
      <c r="D1787" t="s">
        <v>38</v>
      </c>
      <c r="E1787">
        <v>22</v>
      </c>
      <c r="F1787" t="s">
        <v>28</v>
      </c>
      <c r="G1787">
        <v>208.08</v>
      </c>
      <c r="H1787">
        <v>57</v>
      </c>
      <c r="I1787" t="s">
        <v>16</v>
      </c>
      <c r="J1787">
        <v>3.2</v>
      </c>
      <c r="K1787" t="s">
        <v>17</v>
      </c>
      <c r="L1787" t="s">
        <v>18</v>
      </c>
      <c r="M1787" t="str">
        <f>VLOOKUP(D1791,Restaurant_Master!A:B,2,FALSE)</f>
        <v>https://www.chatswoodinterchange.com/storages/2018/08/Sushi-World_666x448.jpg</v>
      </c>
    </row>
    <row r="1788" spans="1:13" x14ac:dyDescent="0.3">
      <c r="A1788" t="s">
        <v>1818</v>
      </c>
      <c r="B1788" s="1">
        <v>45362</v>
      </c>
      <c r="C1788" t="s">
        <v>34</v>
      </c>
      <c r="D1788" t="s">
        <v>25</v>
      </c>
      <c r="E1788">
        <v>21</v>
      </c>
      <c r="F1788" t="s">
        <v>28</v>
      </c>
      <c r="G1788">
        <v>246.74</v>
      </c>
      <c r="H1788">
        <v>30</v>
      </c>
      <c r="I1788" t="s">
        <v>22</v>
      </c>
      <c r="J1788">
        <v>4.2</v>
      </c>
      <c r="K1788" t="s">
        <v>26</v>
      </c>
      <c r="L1788" t="s">
        <v>18</v>
      </c>
      <c r="M1788" t="str">
        <f>VLOOKUP(D1792,Restaurant_Master!A:B,2,FALSE)</f>
        <v>https://dynamic-media-cdn.tripadvisor.com/media/photo-o/1c/e7/04/0d/front-of-the-local-easily.jpg</v>
      </c>
    </row>
    <row r="1789" spans="1:13" x14ac:dyDescent="0.3">
      <c r="A1789" t="s">
        <v>1819</v>
      </c>
      <c r="B1789" s="1">
        <v>45511</v>
      </c>
      <c r="C1789" t="s">
        <v>36</v>
      </c>
      <c r="D1789" t="s">
        <v>14</v>
      </c>
      <c r="E1789">
        <v>40</v>
      </c>
      <c r="F1789" t="s">
        <v>15</v>
      </c>
      <c r="G1789">
        <v>573.21</v>
      </c>
      <c r="H1789">
        <v>42</v>
      </c>
      <c r="I1789" t="s">
        <v>16</v>
      </c>
      <c r="J1789">
        <v>4.5999999999999996</v>
      </c>
      <c r="K1789" t="s">
        <v>26</v>
      </c>
      <c r="L1789" t="s">
        <v>18</v>
      </c>
      <c r="M1789" t="str">
        <f>VLOOKUP(D1793,Restaurant_Master!A:B,2,FALSE)</f>
        <v>https://www.chatswoodinterchange.com/storages/2018/08/Sushi-World_666x448.jpg</v>
      </c>
    </row>
    <row r="1790" spans="1:13" x14ac:dyDescent="0.3">
      <c r="A1790" t="s">
        <v>1820</v>
      </c>
      <c r="B1790" s="1">
        <v>45347</v>
      </c>
      <c r="C1790" t="s">
        <v>13</v>
      </c>
      <c r="D1790" t="s">
        <v>21</v>
      </c>
      <c r="E1790">
        <v>44</v>
      </c>
      <c r="F1790" t="s">
        <v>28</v>
      </c>
      <c r="G1790">
        <v>506.26</v>
      </c>
      <c r="H1790">
        <v>29</v>
      </c>
      <c r="I1790" t="s">
        <v>22</v>
      </c>
      <c r="J1790">
        <v>3.8</v>
      </c>
      <c r="K1790" t="s">
        <v>17</v>
      </c>
      <c r="L1790" t="s">
        <v>23</v>
      </c>
      <c r="M1790" t="str">
        <f>VLOOKUP(D1794,Restaurant_Master!A:B,2,FALSE)</f>
        <v>https://dynamic-media-cdn.tripadvisor.com/media/photo-o/1c/e7/04/0d/front-of-the-local-easily.jpg</v>
      </c>
    </row>
    <row r="1791" spans="1:13" x14ac:dyDescent="0.3">
      <c r="A1791" t="s">
        <v>1821</v>
      </c>
      <c r="B1791" s="1">
        <v>45535</v>
      </c>
      <c r="C1791" t="s">
        <v>36</v>
      </c>
      <c r="D1791" t="s">
        <v>38</v>
      </c>
      <c r="E1791">
        <v>34</v>
      </c>
      <c r="F1791" t="s">
        <v>28</v>
      </c>
      <c r="G1791">
        <v>563.38</v>
      </c>
      <c r="H1791">
        <v>55</v>
      </c>
      <c r="I1791" t="s">
        <v>16</v>
      </c>
      <c r="J1791">
        <v>2.8</v>
      </c>
      <c r="K1791" t="s">
        <v>41</v>
      </c>
      <c r="L1791" t="s">
        <v>23</v>
      </c>
      <c r="M1791" t="str">
        <f>VLOOKUP(D1795,Restaurant_Master!A:B,2,FALSE)</f>
        <v>https://content.jdmagicbox.com/comp/deoria/g6/9999p5568.5568.200119143033.m4g6/catalogue/biryani-house-deoria-ho-deoria-mktc2xph0o.jpg</v>
      </c>
    </row>
    <row r="1792" spans="1:13" x14ac:dyDescent="0.3">
      <c r="A1792" t="s">
        <v>1822</v>
      </c>
      <c r="B1792" s="1">
        <v>45374</v>
      </c>
      <c r="C1792" t="s">
        <v>20</v>
      </c>
      <c r="D1792" t="s">
        <v>21</v>
      </c>
      <c r="E1792">
        <v>58</v>
      </c>
      <c r="F1792" t="s">
        <v>15</v>
      </c>
      <c r="G1792">
        <v>986</v>
      </c>
      <c r="H1792">
        <v>36</v>
      </c>
      <c r="I1792" t="s">
        <v>22</v>
      </c>
      <c r="J1792">
        <v>3.6</v>
      </c>
      <c r="K1792" t="s">
        <v>26</v>
      </c>
      <c r="L1792" t="s">
        <v>18</v>
      </c>
      <c r="M1792" t="str">
        <f>VLOOKUP(D1796,Restaurant_Master!A:B,2,FALSE)</f>
        <v>https://media-cdn.tripadvisor.com/media/photo-s/1c/c7/97/b6/photo6jpg.jpg</v>
      </c>
    </row>
    <row r="1793" spans="1:13" x14ac:dyDescent="0.3">
      <c r="A1793" t="s">
        <v>1823</v>
      </c>
      <c r="B1793" s="1">
        <v>45336</v>
      </c>
      <c r="C1793" t="s">
        <v>34</v>
      </c>
      <c r="D1793" t="s">
        <v>38</v>
      </c>
      <c r="E1793">
        <v>40</v>
      </c>
      <c r="F1793" t="s">
        <v>15</v>
      </c>
      <c r="G1793">
        <v>1132.8800000000001</v>
      </c>
      <c r="H1793">
        <v>39</v>
      </c>
      <c r="I1793" t="s">
        <v>22</v>
      </c>
      <c r="J1793">
        <v>2.8</v>
      </c>
      <c r="K1793" t="s">
        <v>26</v>
      </c>
      <c r="L1793" t="s">
        <v>18</v>
      </c>
      <c r="M1793" t="str">
        <f>VLOOKUP(D1797,Restaurant_Master!A:B,2,FALSE)</f>
        <v>https://dynamic-media-cdn.tripadvisor.com/media/photo-o/1c/e7/04/0d/front-of-the-local-easily.jpg</v>
      </c>
    </row>
    <row r="1794" spans="1:13" x14ac:dyDescent="0.3">
      <c r="A1794" t="s">
        <v>1824</v>
      </c>
      <c r="B1794" s="1">
        <v>45506</v>
      </c>
      <c r="C1794" t="s">
        <v>13</v>
      </c>
      <c r="D1794" t="s">
        <v>21</v>
      </c>
      <c r="E1794">
        <v>51</v>
      </c>
      <c r="F1794" t="s">
        <v>28</v>
      </c>
      <c r="G1794">
        <v>172.52</v>
      </c>
      <c r="H1794">
        <v>21</v>
      </c>
      <c r="I1794" t="s">
        <v>22</v>
      </c>
      <c r="J1794">
        <v>4.4000000000000004</v>
      </c>
      <c r="K1794" t="s">
        <v>17</v>
      </c>
      <c r="L1794" t="s">
        <v>18</v>
      </c>
      <c r="M1794" t="str">
        <f>VLOOKUP(D1798,Restaurant_Master!A:B,2,FALSE)</f>
        <v>https://dynamic-media-cdn.tripadvisor.com/media/photo-o/1c/e7/04/0d/front-of-the-local-easily.jpg</v>
      </c>
    </row>
    <row r="1795" spans="1:13" x14ac:dyDescent="0.3">
      <c r="A1795" t="s">
        <v>1825</v>
      </c>
      <c r="B1795" s="1">
        <v>45424</v>
      </c>
      <c r="C1795" t="s">
        <v>43</v>
      </c>
      <c r="D1795" t="s">
        <v>32</v>
      </c>
      <c r="E1795">
        <v>37</v>
      </c>
      <c r="F1795" t="s">
        <v>28</v>
      </c>
      <c r="G1795">
        <v>506.55</v>
      </c>
      <c r="H1795">
        <v>56</v>
      </c>
      <c r="I1795" t="s">
        <v>16</v>
      </c>
      <c r="J1795">
        <v>3.7</v>
      </c>
      <c r="K1795" t="s">
        <v>29</v>
      </c>
      <c r="L1795" t="s">
        <v>23</v>
      </c>
      <c r="M1795" t="str">
        <f>VLOOKUP(D1799,Restaurant_Master!A:B,2,FALSE)</f>
        <v>https://dineout-media-assets.swiggy.com/swiggy/image/upload/fl_lossy,f_auto,q_auto/v1660793737/fdqxvxcxg1wtdwvyv45v.jpg</v>
      </c>
    </row>
    <row r="1796" spans="1:13" x14ac:dyDescent="0.3">
      <c r="A1796" t="s">
        <v>1826</v>
      </c>
      <c r="B1796" s="1">
        <v>45347</v>
      </c>
      <c r="C1796" t="s">
        <v>36</v>
      </c>
      <c r="D1796" t="s">
        <v>25</v>
      </c>
      <c r="E1796">
        <v>37</v>
      </c>
      <c r="F1796" t="s">
        <v>28</v>
      </c>
      <c r="G1796">
        <v>681.04</v>
      </c>
      <c r="H1796">
        <v>50</v>
      </c>
      <c r="I1796" t="s">
        <v>16</v>
      </c>
      <c r="J1796">
        <v>4.7</v>
      </c>
      <c r="K1796" t="s">
        <v>41</v>
      </c>
      <c r="L1796" t="s">
        <v>18</v>
      </c>
      <c r="M1796" t="str">
        <f>VLOOKUP(D1800,Restaurant_Master!A:B,2,FALSE)</f>
        <v>https://www.chatswoodinterchange.com/storages/2018/08/Sushi-World_666x448.jpg</v>
      </c>
    </row>
    <row r="1797" spans="1:13" x14ac:dyDescent="0.3">
      <c r="A1797" t="s">
        <v>1827</v>
      </c>
      <c r="B1797" s="1">
        <v>45498</v>
      </c>
      <c r="C1797" t="s">
        <v>34</v>
      </c>
      <c r="D1797" t="s">
        <v>21</v>
      </c>
      <c r="E1797">
        <v>22</v>
      </c>
      <c r="F1797" t="s">
        <v>15</v>
      </c>
      <c r="G1797">
        <v>551.69000000000005</v>
      </c>
      <c r="H1797">
        <v>45</v>
      </c>
      <c r="I1797" t="s">
        <v>16</v>
      </c>
      <c r="J1797">
        <v>2.6</v>
      </c>
      <c r="K1797" t="s">
        <v>41</v>
      </c>
      <c r="L1797" t="s">
        <v>18</v>
      </c>
      <c r="M1797" t="str">
        <f>VLOOKUP(D1801,Restaurant_Master!A:B,2,FALSE)</f>
        <v>https://media-cdn.tripadvisor.com/media/photo-s/1c/c7/97/b6/photo6jpg.jpg</v>
      </c>
    </row>
    <row r="1798" spans="1:13" x14ac:dyDescent="0.3">
      <c r="A1798" t="s">
        <v>1828</v>
      </c>
      <c r="B1798" s="1">
        <v>45557</v>
      </c>
      <c r="C1798" t="s">
        <v>43</v>
      </c>
      <c r="D1798" t="s">
        <v>21</v>
      </c>
      <c r="E1798">
        <v>23</v>
      </c>
      <c r="F1798" t="s">
        <v>28</v>
      </c>
      <c r="G1798">
        <v>787.14</v>
      </c>
      <c r="H1798">
        <v>45</v>
      </c>
      <c r="I1798" t="s">
        <v>16</v>
      </c>
      <c r="J1798">
        <v>3.6</v>
      </c>
      <c r="K1798" t="s">
        <v>17</v>
      </c>
      <c r="L1798" t="s">
        <v>18</v>
      </c>
      <c r="M1798" t="str">
        <f>VLOOKUP(D1802,Restaurant_Master!A:B,2,FALSE)</f>
        <v>https://www.chatswoodinterchange.com/storages/2018/08/Sushi-World_666x448.jpg</v>
      </c>
    </row>
    <row r="1799" spans="1:13" x14ac:dyDescent="0.3">
      <c r="A1799" t="s">
        <v>1829</v>
      </c>
      <c r="B1799" s="1">
        <v>45529</v>
      </c>
      <c r="C1799" t="s">
        <v>34</v>
      </c>
      <c r="D1799" t="s">
        <v>14</v>
      </c>
      <c r="E1799">
        <v>42</v>
      </c>
      <c r="F1799" t="s">
        <v>15</v>
      </c>
      <c r="G1799">
        <v>601.37</v>
      </c>
      <c r="H1799">
        <v>38</v>
      </c>
      <c r="I1799" t="s">
        <v>22</v>
      </c>
      <c r="J1799">
        <v>2.7</v>
      </c>
      <c r="K1799" t="s">
        <v>26</v>
      </c>
      <c r="L1799" t="s">
        <v>23</v>
      </c>
      <c r="M1799" t="str">
        <f>VLOOKUP(D1803,Restaurant_Master!A:B,2,FALSE)</f>
        <v>https://media-cdn.tripadvisor.com/media/photo-s/1c/c7/97/b6/photo6jpg.jpg</v>
      </c>
    </row>
    <row r="1800" spans="1:13" x14ac:dyDescent="0.3">
      <c r="A1800" t="s">
        <v>1830</v>
      </c>
      <c r="B1800" s="1">
        <v>45417</v>
      </c>
      <c r="C1800" t="s">
        <v>13</v>
      </c>
      <c r="D1800" t="s">
        <v>38</v>
      </c>
      <c r="E1800">
        <v>38</v>
      </c>
      <c r="F1800" t="s">
        <v>28</v>
      </c>
      <c r="G1800">
        <v>572.21</v>
      </c>
      <c r="H1800">
        <v>26</v>
      </c>
      <c r="I1800" t="s">
        <v>22</v>
      </c>
      <c r="J1800">
        <v>4.7</v>
      </c>
      <c r="K1800" t="s">
        <v>41</v>
      </c>
      <c r="L1800" t="s">
        <v>18</v>
      </c>
      <c r="M1800" t="str">
        <f>VLOOKUP(D1804,Restaurant_Master!A:B,2,FALSE)</f>
        <v>https://www.chatswoodinterchange.com/storages/2018/08/Sushi-World_666x448.jpg</v>
      </c>
    </row>
    <row r="1801" spans="1:13" x14ac:dyDescent="0.3">
      <c r="A1801" t="s">
        <v>1831</v>
      </c>
      <c r="B1801" s="1">
        <v>45371</v>
      </c>
      <c r="C1801" t="s">
        <v>36</v>
      </c>
      <c r="D1801" t="s">
        <v>25</v>
      </c>
      <c r="E1801">
        <v>52</v>
      </c>
      <c r="F1801" t="s">
        <v>28</v>
      </c>
      <c r="G1801">
        <v>235.17</v>
      </c>
      <c r="H1801">
        <v>50</v>
      </c>
      <c r="I1801" t="s">
        <v>16</v>
      </c>
      <c r="J1801">
        <v>2.7</v>
      </c>
      <c r="K1801" t="s">
        <v>41</v>
      </c>
      <c r="L1801" t="s">
        <v>23</v>
      </c>
      <c r="M1801" t="str">
        <f>VLOOKUP(D1805,Restaurant_Master!A:B,2,FALSE)</f>
        <v>https://media-cdn.tripadvisor.com/media/photo-s/1c/c7/97/b6/photo6jpg.jpg</v>
      </c>
    </row>
    <row r="1802" spans="1:13" x14ac:dyDescent="0.3">
      <c r="A1802" t="s">
        <v>1832</v>
      </c>
      <c r="B1802" s="1">
        <v>45564</v>
      </c>
      <c r="C1802" t="s">
        <v>36</v>
      </c>
      <c r="D1802" t="s">
        <v>38</v>
      </c>
      <c r="E1802">
        <v>35</v>
      </c>
      <c r="F1802" t="s">
        <v>15</v>
      </c>
      <c r="G1802">
        <v>417.45</v>
      </c>
      <c r="H1802">
        <v>50</v>
      </c>
      <c r="I1802" t="s">
        <v>16</v>
      </c>
      <c r="J1802">
        <v>4.4000000000000004</v>
      </c>
      <c r="K1802" t="s">
        <v>26</v>
      </c>
      <c r="L1802" t="s">
        <v>23</v>
      </c>
      <c r="M1802" t="str">
        <f>VLOOKUP(D1806,Restaurant_Master!A:B,2,FALSE)</f>
        <v>https://dynamic-media-cdn.tripadvisor.com/media/photo-o/1c/e7/04/0d/front-of-the-local-easily.jpg</v>
      </c>
    </row>
    <row r="1803" spans="1:13" x14ac:dyDescent="0.3">
      <c r="A1803" t="s">
        <v>1833</v>
      </c>
      <c r="B1803" s="1">
        <v>45597</v>
      </c>
      <c r="C1803" t="s">
        <v>13</v>
      </c>
      <c r="D1803" t="s">
        <v>25</v>
      </c>
      <c r="E1803">
        <v>26</v>
      </c>
      <c r="F1803" t="s">
        <v>15</v>
      </c>
      <c r="G1803">
        <v>774.21</v>
      </c>
      <c r="H1803">
        <v>60</v>
      </c>
      <c r="I1803" t="s">
        <v>16</v>
      </c>
      <c r="J1803">
        <v>2.7</v>
      </c>
      <c r="K1803" t="s">
        <v>29</v>
      </c>
      <c r="L1803" t="s">
        <v>18</v>
      </c>
      <c r="M1803" t="str">
        <f>VLOOKUP(D1807,Restaurant_Master!A:B,2,FALSE)</f>
        <v>https://media-cdn.tripadvisor.com/media/photo-s/1c/c7/97/b6/photo6jpg.jpg</v>
      </c>
    </row>
    <row r="1804" spans="1:13" x14ac:dyDescent="0.3">
      <c r="A1804" t="s">
        <v>1834</v>
      </c>
      <c r="B1804" s="1">
        <v>45516</v>
      </c>
      <c r="C1804" t="s">
        <v>43</v>
      </c>
      <c r="D1804" t="s">
        <v>38</v>
      </c>
      <c r="E1804">
        <v>29</v>
      </c>
      <c r="F1804" t="s">
        <v>15</v>
      </c>
      <c r="G1804">
        <v>260.97000000000003</v>
      </c>
      <c r="H1804">
        <v>57</v>
      </c>
      <c r="I1804" t="s">
        <v>16</v>
      </c>
      <c r="J1804">
        <v>2.7</v>
      </c>
      <c r="K1804" t="s">
        <v>17</v>
      </c>
      <c r="L1804" t="s">
        <v>23</v>
      </c>
      <c r="M1804" t="str">
        <f>VLOOKUP(D1808,Restaurant_Master!A:B,2,FALSE)</f>
        <v>https://dynamic-media-cdn.tripadvisor.com/media/photo-o/1c/e7/04/0d/front-of-the-local-easily.jpg</v>
      </c>
    </row>
    <row r="1805" spans="1:13" x14ac:dyDescent="0.3">
      <c r="A1805" t="s">
        <v>1835</v>
      </c>
      <c r="B1805" s="1">
        <v>45563</v>
      </c>
      <c r="C1805" t="s">
        <v>13</v>
      </c>
      <c r="D1805" t="s">
        <v>25</v>
      </c>
      <c r="E1805">
        <v>56</v>
      </c>
      <c r="F1805" t="s">
        <v>15</v>
      </c>
      <c r="G1805">
        <v>156.07</v>
      </c>
      <c r="H1805">
        <v>35</v>
      </c>
      <c r="I1805" t="s">
        <v>22</v>
      </c>
      <c r="J1805">
        <v>4.3</v>
      </c>
      <c r="K1805" t="s">
        <v>41</v>
      </c>
      <c r="L1805" t="s">
        <v>23</v>
      </c>
      <c r="M1805" t="str">
        <f>VLOOKUP(D1809,Restaurant_Master!A:B,2,FALSE)</f>
        <v>https://dynamic-media-cdn.tripadvisor.com/media/photo-o/1c/e7/04/0d/front-of-the-local-easily.jpg</v>
      </c>
    </row>
    <row r="1806" spans="1:13" x14ac:dyDescent="0.3">
      <c r="A1806" t="s">
        <v>1836</v>
      </c>
      <c r="B1806" s="1">
        <v>45375</v>
      </c>
      <c r="C1806" t="s">
        <v>20</v>
      </c>
      <c r="D1806" t="s">
        <v>21</v>
      </c>
      <c r="E1806">
        <v>56</v>
      </c>
      <c r="F1806" t="s">
        <v>28</v>
      </c>
      <c r="G1806">
        <v>918.3</v>
      </c>
      <c r="H1806">
        <v>35</v>
      </c>
      <c r="I1806" t="s">
        <v>22</v>
      </c>
      <c r="J1806">
        <v>3.2</v>
      </c>
      <c r="K1806" t="s">
        <v>17</v>
      </c>
      <c r="L1806" t="s">
        <v>23</v>
      </c>
      <c r="M1806" t="str">
        <f>VLOOKUP(D1810,Restaurant_Master!A:B,2,FALSE)</f>
        <v>https://dineout-media-assets.swiggy.com/swiggy/image/upload/fl_lossy,f_auto,q_auto/v1660793737/fdqxvxcxg1wtdwvyv45v.jpg</v>
      </c>
    </row>
    <row r="1807" spans="1:13" x14ac:dyDescent="0.3">
      <c r="A1807" t="s">
        <v>1837</v>
      </c>
      <c r="B1807" s="1">
        <v>45545</v>
      </c>
      <c r="C1807" t="s">
        <v>36</v>
      </c>
      <c r="D1807" t="s">
        <v>25</v>
      </c>
      <c r="E1807">
        <v>19</v>
      </c>
      <c r="F1807" t="s">
        <v>15</v>
      </c>
      <c r="G1807">
        <v>815.3</v>
      </c>
      <c r="H1807">
        <v>21</v>
      </c>
      <c r="I1807" t="s">
        <v>22</v>
      </c>
      <c r="J1807">
        <v>4.2</v>
      </c>
      <c r="K1807" t="s">
        <v>41</v>
      </c>
      <c r="L1807" t="s">
        <v>18</v>
      </c>
      <c r="M1807" t="str">
        <f>VLOOKUP(D1811,Restaurant_Master!A:B,2,FALSE)</f>
        <v>https://dineout-media-assets.swiggy.com/swiggy/image/upload/fl_lossy,f_auto,q_auto/v1660793737/fdqxvxcxg1wtdwvyv45v.jpg</v>
      </c>
    </row>
    <row r="1808" spans="1:13" x14ac:dyDescent="0.3">
      <c r="A1808" t="s">
        <v>1838</v>
      </c>
      <c r="B1808" s="1">
        <v>45612</v>
      </c>
      <c r="C1808" t="s">
        <v>13</v>
      </c>
      <c r="D1808" t="s">
        <v>21</v>
      </c>
      <c r="E1808">
        <v>42</v>
      </c>
      <c r="F1808" t="s">
        <v>15</v>
      </c>
      <c r="G1808">
        <v>810.1</v>
      </c>
      <c r="H1808">
        <v>59</v>
      </c>
      <c r="I1808" t="s">
        <v>16</v>
      </c>
      <c r="J1808">
        <v>4</v>
      </c>
      <c r="K1808" t="s">
        <v>26</v>
      </c>
      <c r="L1808" t="s">
        <v>18</v>
      </c>
      <c r="M1808" t="str">
        <f>VLOOKUP(D1812,Restaurant_Master!A:B,2,FALSE)</f>
        <v>https://content.jdmagicbox.com/comp/deoria/g6/9999p5568.5568.200119143033.m4g6/catalogue/biryani-house-deoria-ho-deoria-mktc2xph0o.jpg</v>
      </c>
    </row>
    <row r="1809" spans="1:13" x14ac:dyDescent="0.3">
      <c r="A1809" t="s">
        <v>1839</v>
      </c>
      <c r="B1809" s="1">
        <v>45595</v>
      </c>
      <c r="C1809" t="s">
        <v>43</v>
      </c>
      <c r="D1809" t="s">
        <v>21</v>
      </c>
      <c r="E1809">
        <v>45</v>
      </c>
      <c r="F1809" t="s">
        <v>15</v>
      </c>
      <c r="G1809">
        <v>347.67</v>
      </c>
      <c r="H1809">
        <v>60</v>
      </c>
      <c r="I1809" t="s">
        <v>16</v>
      </c>
      <c r="J1809">
        <v>4.7</v>
      </c>
      <c r="K1809" t="s">
        <v>26</v>
      </c>
      <c r="L1809" t="s">
        <v>23</v>
      </c>
      <c r="M1809" t="str">
        <f>VLOOKUP(D1813,Restaurant_Master!A:B,2,FALSE)</f>
        <v>https://content.jdmagicbox.com/comp/deoria/g6/9999p5568.5568.200119143033.m4g6/catalogue/biryani-house-deoria-ho-deoria-mktc2xph0o.jpg</v>
      </c>
    </row>
    <row r="1810" spans="1:13" x14ac:dyDescent="0.3">
      <c r="A1810" t="s">
        <v>1840</v>
      </c>
      <c r="B1810" s="1">
        <v>45654</v>
      </c>
      <c r="C1810" t="s">
        <v>34</v>
      </c>
      <c r="D1810" t="s">
        <v>14</v>
      </c>
      <c r="E1810">
        <v>50</v>
      </c>
      <c r="F1810" t="s">
        <v>28</v>
      </c>
      <c r="G1810">
        <v>917.12</v>
      </c>
      <c r="H1810">
        <v>27</v>
      </c>
      <c r="I1810" t="s">
        <v>22</v>
      </c>
      <c r="J1810">
        <v>4.0999999999999996</v>
      </c>
      <c r="K1810" t="s">
        <v>41</v>
      </c>
      <c r="L1810" t="s">
        <v>23</v>
      </c>
      <c r="M1810" t="str">
        <f>VLOOKUP(D1814,Restaurant_Master!A:B,2,FALSE)</f>
        <v>https://content.jdmagicbox.com/comp/deoria/g6/9999p5568.5568.200119143033.m4g6/catalogue/biryani-house-deoria-ho-deoria-mktc2xph0o.jpg</v>
      </c>
    </row>
    <row r="1811" spans="1:13" x14ac:dyDescent="0.3">
      <c r="A1811" t="s">
        <v>1841</v>
      </c>
      <c r="B1811" s="1">
        <v>45427</v>
      </c>
      <c r="C1811" t="s">
        <v>43</v>
      </c>
      <c r="D1811" t="s">
        <v>14</v>
      </c>
      <c r="E1811">
        <v>53</v>
      </c>
      <c r="F1811" t="s">
        <v>28</v>
      </c>
      <c r="G1811">
        <v>1102.82</v>
      </c>
      <c r="H1811">
        <v>26</v>
      </c>
      <c r="I1811" t="s">
        <v>22</v>
      </c>
      <c r="J1811">
        <v>2.8</v>
      </c>
      <c r="K1811" t="s">
        <v>29</v>
      </c>
      <c r="L1811" t="s">
        <v>23</v>
      </c>
      <c r="M1811" t="str">
        <f>VLOOKUP(D1815,Restaurant_Master!A:B,2,FALSE)</f>
        <v>https://dynamic-media-cdn.tripadvisor.com/media/photo-o/1c/e7/04/0d/front-of-the-local-easily.jpg</v>
      </c>
    </row>
    <row r="1812" spans="1:13" x14ac:dyDescent="0.3">
      <c r="A1812" t="s">
        <v>1842</v>
      </c>
      <c r="B1812" s="1">
        <v>45392</v>
      </c>
      <c r="C1812" t="s">
        <v>43</v>
      </c>
      <c r="D1812" t="s">
        <v>32</v>
      </c>
      <c r="E1812">
        <v>58</v>
      </c>
      <c r="F1812" t="s">
        <v>28</v>
      </c>
      <c r="G1812">
        <v>413.31</v>
      </c>
      <c r="H1812">
        <v>52</v>
      </c>
      <c r="I1812" t="s">
        <v>16</v>
      </c>
      <c r="J1812">
        <v>3</v>
      </c>
      <c r="K1812" t="s">
        <v>26</v>
      </c>
      <c r="L1812" t="s">
        <v>23</v>
      </c>
      <c r="M1812" t="str">
        <f>VLOOKUP(D1816,Restaurant_Master!A:B,2,FALSE)</f>
        <v>https://content.jdmagicbox.com/comp/deoria/g6/9999p5568.5568.200119143033.m4g6/catalogue/biryani-house-deoria-ho-deoria-mktc2xph0o.jpg</v>
      </c>
    </row>
    <row r="1813" spans="1:13" x14ac:dyDescent="0.3">
      <c r="A1813" t="s">
        <v>1843</v>
      </c>
      <c r="B1813" s="1">
        <v>45470</v>
      </c>
      <c r="C1813" t="s">
        <v>34</v>
      </c>
      <c r="D1813" t="s">
        <v>32</v>
      </c>
      <c r="E1813">
        <v>32</v>
      </c>
      <c r="F1813" t="s">
        <v>15</v>
      </c>
      <c r="G1813">
        <v>444.73</v>
      </c>
      <c r="H1813">
        <v>55</v>
      </c>
      <c r="I1813" t="s">
        <v>16</v>
      </c>
      <c r="J1813">
        <v>4.0999999999999996</v>
      </c>
      <c r="K1813" t="s">
        <v>29</v>
      </c>
      <c r="L1813" t="s">
        <v>18</v>
      </c>
      <c r="M1813" t="str">
        <f>VLOOKUP(D1817,Restaurant_Master!A:B,2,FALSE)</f>
        <v>https://dineout-media-assets.swiggy.com/swiggy/image/upload/fl_lossy,f_auto,q_auto/v1660793737/fdqxvxcxg1wtdwvyv45v.jpg</v>
      </c>
    </row>
    <row r="1814" spans="1:13" x14ac:dyDescent="0.3">
      <c r="A1814" t="s">
        <v>1844</v>
      </c>
      <c r="B1814" s="1">
        <v>45389</v>
      </c>
      <c r="C1814" t="s">
        <v>34</v>
      </c>
      <c r="D1814" t="s">
        <v>32</v>
      </c>
      <c r="E1814">
        <v>55</v>
      </c>
      <c r="F1814" t="s">
        <v>15</v>
      </c>
      <c r="G1814">
        <v>430.73</v>
      </c>
      <c r="H1814">
        <v>22</v>
      </c>
      <c r="I1814" t="s">
        <v>22</v>
      </c>
      <c r="J1814">
        <v>3.2</v>
      </c>
      <c r="K1814" t="s">
        <v>26</v>
      </c>
      <c r="L1814" t="s">
        <v>18</v>
      </c>
      <c r="M1814" t="str">
        <f>VLOOKUP(D1818,Restaurant_Master!A:B,2,FALSE)</f>
        <v>https://dineout-media-assets.swiggy.com/swiggy/image/upload/fl_lossy,f_auto,q_auto/v1660793737/fdqxvxcxg1wtdwvyv45v.jpg</v>
      </c>
    </row>
    <row r="1815" spans="1:13" x14ac:dyDescent="0.3">
      <c r="A1815" t="s">
        <v>1845</v>
      </c>
      <c r="B1815" s="1">
        <v>45379</v>
      </c>
      <c r="C1815" t="s">
        <v>36</v>
      </c>
      <c r="D1815" t="s">
        <v>21</v>
      </c>
      <c r="E1815">
        <v>46</v>
      </c>
      <c r="F1815" t="s">
        <v>15</v>
      </c>
      <c r="G1815">
        <v>847.55</v>
      </c>
      <c r="H1815">
        <v>59</v>
      </c>
      <c r="I1815" t="s">
        <v>16</v>
      </c>
      <c r="J1815">
        <v>4.8</v>
      </c>
      <c r="K1815" t="s">
        <v>17</v>
      </c>
      <c r="L1815" t="s">
        <v>18</v>
      </c>
      <c r="M1815" t="str">
        <f>VLOOKUP(D1819,Restaurant_Master!A:B,2,FALSE)</f>
        <v>https://dineout-media-assets.swiggy.com/swiggy/image/upload/fl_lossy,f_auto,q_auto/v1660793737/fdqxvxcxg1wtdwvyv45v.jpg</v>
      </c>
    </row>
    <row r="1816" spans="1:13" x14ac:dyDescent="0.3">
      <c r="A1816" t="s">
        <v>1846</v>
      </c>
      <c r="B1816" s="1">
        <v>45456</v>
      </c>
      <c r="C1816" t="s">
        <v>43</v>
      </c>
      <c r="D1816" t="s">
        <v>32</v>
      </c>
      <c r="E1816">
        <v>24</v>
      </c>
      <c r="F1816" t="s">
        <v>15</v>
      </c>
      <c r="G1816">
        <v>1126.28</v>
      </c>
      <c r="H1816">
        <v>36</v>
      </c>
      <c r="I1816" t="s">
        <v>22</v>
      </c>
      <c r="J1816">
        <v>2.7</v>
      </c>
      <c r="K1816" t="s">
        <v>17</v>
      </c>
      <c r="L1816" t="s">
        <v>18</v>
      </c>
      <c r="M1816" t="str">
        <f>VLOOKUP(D1820,Restaurant_Master!A:B,2,FALSE)</f>
        <v>https://www.chatswoodinterchange.com/storages/2018/08/Sushi-World_666x448.jpg</v>
      </c>
    </row>
    <row r="1817" spans="1:13" x14ac:dyDescent="0.3">
      <c r="A1817" t="s">
        <v>1847</v>
      </c>
      <c r="B1817" s="1">
        <v>45578</v>
      </c>
      <c r="C1817" t="s">
        <v>13</v>
      </c>
      <c r="D1817" t="s">
        <v>14</v>
      </c>
      <c r="E1817">
        <v>28</v>
      </c>
      <c r="F1817" t="s">
        <v>28</v>
      </c>
      <c r="G1817">
        <v>678.94</v>
      </c>
      <c r="H1817">
        <v>23</v>
      </c>
      <c r="I1817" t="s">
        <v>22</v>
      </c>
      <c r="J1817">
        <v>2.8</v>
      </c>
      <c r="K1817" t="s">
        <v>17</v>
      </c>
      <c r="L1817" t="s">
        <v>18</v>
      </c>
      <c r="M1817" t="str">
        <f>VLOOKUP(D1821,Restaurant_Master!A:B,2,FALSE)</f>
        <v>https://dynamic-media-cdn.tripadvisor.com/media/photo-o/1c/e7/04/0d/front-of-the-local-easily.jpg</v>
      </c>
    </row>
    <row r="1818" spans="1:13" x14ac:dyDescent="0.3">
      <c r="A1818" t="s">
        <v>1848</v>
      </c>
      <c r="B1818" s="1">
        <v>45534</v>
      </c>
      <c r="C1818" t="s">
        <v>43</v>
      </c>
      <c r="D1818" t="s">
        <v>14</v>
      </c>
      <c r="E1818">
        <v>32</v>
      </c>
      <c r="F1818" t="s">
        <v>15</v>
      </c>
      <c r="G1818">
        <v>649.26</v>
      </c>
      <c r="H1818">
        <v>45</v>
      </c>
      <c r="I1818" t="s">
        <v>16</v>
      </c>
      <c r="J1818">
        <v>2.6</v>
      </c>
      <c r="K1818" t="s">
        <v>29</v>
      </c>
      <c r="L1818" t="s">
        <v>18</v>
      </c>
      <c r="M1818" t="str">
        <f>VLOOKUP(D1822,Restaurant_Master!A:B,2,FALSE)</f>
        <v>https://www.chatswoodinterchange.com/storages/2018/08/Sushi-World_666x448.jpg</v>
      </c>
    </row>
    <row r="1819" spans="1:13" x14ac:dyDescent="0.3">
      <c r="A1819" t="s">
        <v>1849</v>
      </c>
      <c r="B1819" s="1">
        <v>45595</v>
      </c>
      <c r="C1819" t="s">
        <v>36</v>
      </c>
      <c r="D1819" t="s">
        <v>14</v>
      </c>
      <c r="E1819">
        <v>22</v>
      </c>
      <c r="F1819" t="s">
        <v>15</v>
      </c>
      <c r="G1819">
        <v>231.81</v>
      </c>
      <c r="H1819">
        <v>44</v>
      </c>
      <c r="I1819" t="s">
        <v>16</v>
      </c>
      <c r="J1819">
        <v>4.4000000000000004</v>
      </c>
      <c r="K1819" t="s">
        <v>17</v>
      </c>
      <c r="L1819" t="s">
        <v>18</v>
      </c>
      <c r="M1819" t="str">
        <f>VLOOKUP(D1823,Restaurant_Master!A:B,2,FALSE)</f>
        <v>https://www.chatswoodinterchange.com/storages/2018/08/Sushi-World_666x448.jpg</v>
      </c>
    </row>
    <row r="1820" spans="1:13" x14ac:dyDescent="0.3">
      <c r="A1820" t="s">
        <v>1850</v>
      </c>
      <c r="B1820" s="1">
        <v>45342</v>
      </c>
      <c r="C1820" t="s">
        <v>13</v>
      </c>
      <c r="D1820" t="s">
        <v>38</v>
      </c>
      <c r="E1820">
        <v>42</v>
      </c>
      <c r="F1820" t="s">
        <v>28</v>
      </c>
      <c r="G1820">
        <v>278.45</v>
      </c>
      <c r="H1820">
        <v>29</v>
      </c>
      <c r="I1820" t="s">
        <v>22</v>
      </c>
      <c r="J1820">
        <v>2.7</v>
      </c>
      <c r="K1820" t="s">
        <v>29</v>
      </c>
      <c r="L1820" t="s">
        <v>18</v>
      </c>
      <c r="M1820" t="str">
        <f>VLOOKUP(D1824,Restaurant_Master!A:B,2,FALSE)</f>
        <v>https://dynamic-media-cdn.tripadvisor.com/media/photo-o/1c/e7/04/0d/front-of-the-local-easily.jpg</v>
      </c>
    </row>
    <row r="1821" spans="1:13" x14ac:dyDescent="0.3">
      <c r="A1821" t="s">
        <v>1851</v>
      </c>
      <c r="B1821" s="1">
        <v>45464</v>
      </c>
      <c r="C1821" t="s">
        <v>20</v>
      </c>
      <c r="D1821" t="s">
        <v>21</v>
      </c>
      <c r="E1821">
        <v>51</v>
      </c>
      <c r="F1821" t="s">
        <v>28</v>
      </c>
      <c r="G1821">
        <v>684.62</v>
      </c>
      <c r="H1821">
        <v>39</v>
      </c>
      <c r="I1821" t="s">
        <v>22</v>
      </c>
      <c r="J1821">
        <v>3.7</v>
      </c>
      <c r="K1821" t="s">
        <v>26</v>
      </c>
      <c r="L1821" t="s">
        <v>23</v>
      </c>
      <c r="M1821" t="str">
        <f>VLOOKUP(D1825,Restaurant_Master!A:B,2,FALSE)</f>
        <v>https://content.jdmagicbox.com/comp/deoria/g6/9999p5568.5568.200119143033.m4g6/catalogue/biryani-house-deoria-ho-deoria-mktc2xph0o.jpg</v>
      </c>
    </row>
    <row r="1822" spans="1:13" x14ac:dyDescent="0.3">
      <c r="A1822" t="s">
        <v>1852</v>
      </c>
      <c r="B1822" s="1">
        <v>45511</v>
      </c>
      <c r="C1822" t="s">
        <v>20</v>
      </c>
      <c r="D1822" t="s">
        <v>38</v>
      </c>
      <c r="E1822">
        <v>36</v>
      </c>
      <c r="F1822" t="s">
        <v>15</v>
      </c>
      <c r="G1822">
        <v>645.26</v>
      </c>
      <c r="H1822">
        <v>48</v>
      </c>
      <c r="I1822" t="s">
        <v>16</v>
      </c>
      <c r="J1822">
        <v>3.9</v>
      </c>
      <c r="K1822" t="s">
        <v>29</v>
      </c>
      <c r="L1822" t="s">
        <v>23</v>
      </c>
      <c r="M1822" t="str">
        <f>VLOOKUP(D1826,Restaurant_Master!A:B,2,FALSE)</f>
        <v>https://www.chatswoodinterchange.com/storages/2018/08/Sushi-World_666x448.jpg</v>
      </c>
    </row>
    <row r="1823" spans="1:13" x14ac:dyDescent="0.3">
      <c r="A1823" t="s">
        <v>1853</v>
      </c>
      <c r="B1823" s="1">
        <v>45338</v>
      </c>
      <c r="C1823" t="s">
        <v>43</v>
      </c>
      <c r="D1823" t="s">
        <v>38</v>
      </c>
      <c r="E1823">
        <v>28</v>
      </c>
      <c r="F1823" t="s">
        <v>15</v>
      </c>
      <c r="G1823">
        <v>577.11</v>
      </c>
      <c r="H1823">
        <v>47</v>
      </c>
      <c r="I1823" t="s">
        <v>16</v>
      </c>
      <c r="J1823">
        <v>4</v>
      </c>
      <c r="K1823" t="s">
        <v>29</v>
      </c>
      <c r="L1823" t="s">
        <v>18</v>
      </c>
      <c r="M1823" t="str">
        <f>VLOOKUP(D1827,Restaurant_Master!A:B,2,FALSE)</f>
        <v>https://media-cdn.tripadvisor.com/media/photo-s/1c/c7/97/b6/photo6jpg.jpg</v>
      </c>
    </row>
    <row r="1824" spans="1:13" x14ac:dyDescent="0.3">
      <c r="A1824" t="s">
        <v>1854</v>
      </c>
      <c r="B1824" s="1">
        <v>45444</v>
      </c>
      <c r="C1824" t="s">
        <v>43</v>
      </c>
      <c r="D1824" t="s">
        <v>21</v>
      </c>
      <c r="E1824">
        <v>41</v>
      </c>
      <c r="F1824" t="s">
        <v>28</v>
      </c>
      <c r="G1824">
        <v>403.91</v>
      </c>
      <c r="H1824">
        <v>41</v>
      </c>
      <c r="I1824" t="s">
        <v>16</v>
      </c>
      <c r="J1824">
        <v>3.3</v>
      </c>
      <c r="K1824" t="s">
        <v>29</v>
      </c>
      <c r="L1824" t="s">
        <v>23</v>
      </c>
      <c r="M1824" t="str">
        <f>VLOOKUP(D1828,Restaurant_Master!A:B,2,FALSE)</f>
        <v>https://dynamic-media-cdn.tripadvisor.com/media/photo-o/1c/e7/04/0d/front-of-the-local-easily.jpg</v>
      </c>
    </row>
    <row r="1825" spans="1:13" x14ac:dyDescent="0.3">
      <c r="A1825" t="s">
        <v>1855</v>
      </c>
      <c r="B1825" s="1">
        <v>45472</v>
      </c>
      <c r="C1825" t="s">
        <v>20</v>
      </c>
      <c r="D1825" t="s">
        <v>32</v>
      </c>
      <c r="E1825">
        <v>34</v>
      </c>
      <c r="F1825" t="s">
        <v>15</v>
      </c>
      <c r="G1825">
        <v>926.02</v>
      </c>
      <c r="H1825">
        <v>24</v>
      </c>
      <c r="I1825" t="s">
        <v>22</v>
      </c>
      <c r="J1825">
        <v>4.8</v>
      </c>
      <c r="K1825" t="s">
        <v>29</v>
      </c>
      <c r="L1825" t="s">
        <v>18</v>
      </c>
      <c r="M1825" t="str">
        <f>VLOOKUP(D1829,Restaurant_Master!A:B,2,FALSE)</f>
        <v>https://media-cdn.tripadvisor.com/media/photo-s/1c/c7/97/b6/photo6jpg.jpg</v>
      </c>
    </row>
    <row r="1826" spans="1:13" x14ac:dyDescent="0.3">
      <c r="A1826" t="s">
        <v>1856</v>
      </c>
      <c r="B1826" s="1">
        <v>45436</v>
      </c>
      <c r="C1826" t="s">
        <v>34</v>
      </c>
      <c r="D1826" t="s">
        <v>38</v>
      </c>
      <c r="E1826">
        <v>28</v>
      </c>
      <c r="F1826" t="s">
        <v>15</v>
      </c>
      <c r="G1826">
        <v>759.45</v>
      </c>
      <c r="H1826">
        <v>28</v>
      </c>
      <c r="I1826" t="s">
        <v>22</v>
      </c>
      <c r="J1826">
        <v>3.3</v>
      </c>
      <c r="K1826" t="s">
        <v>17</v>
      </c>
      <c r="L1826" t="s">
        <v>23</v>
      </c>
      <c r="M1826" t="str">
        <f>VLOOKUP(D1830,Restaurant_Master!A:B,2,FALSE)</f>
        <v>https://www.chatswoodinterchange.com/storages/2018/08/Sushi-World_666x448.jpg</v>
      </c>
    </row>
    <row r="1827" spans="1:13" x14ac:dyDescent="0.3">
      <c r="A1827" t="s">
        <v>1857</v>
      </c>
      <c r="B1827" s="1">
        <v>45321</v>
      </c>
      <c r="C1827" t="s">
        <v>20</v>
      </c>
      <c r="D1827" t="s">
        <v>25</v>
      </c>
      <c r="E1827">
        <v>55</v>
      </c>
      <c r="F1827" t="s">
        <v>15</v>
      </c>
      <c r="G1827">
        <v>292.27999999999997</v>
      </c>
      <c r="H1827">
        <v>59</v>
      </c>
      <c r="I1827" t="s">
        <v>16</v>
      </c>
      <c r="J1827">
        <v>4.0999999999999996</v>
      </c>
      <c r="K1827" t="s">
        <v>41</v>
      </c>
      <c r="L1827" t="s">
        <v>23</v>
      </c>
      <c r="M1827" t="str">
        <f>VLOOKUP(D1831,Restaurant_Master!A:B,2,FALSE)</f>
        <v>https://content.jdmagicbox.com/comp/deoria/g6/9999p5568.5568.200119143033.m4g6/catalogue/biryani-house-deoria-ho-deoria-mktc2xph0o.jpg</v>
      </c>
    </row>
    <row r="1828" spans="1:13" x14ac:dyDescent="0.3">
      <c r="A1828" t="s">
        <v>1858</v>
      </c>
      <c r="B1828" s="1">
        <v>45349</v>
      </c>
      <c r="C1828" t="s">
        <v>43</v>
      </c>
      <c r="D1828" t="s">
        <v>21</v>
      </c>
      <c r="E1828">
        <v>46</v>
      </c>
      <c r="F1828" t="s">
        <v>28</v>
      </c>
      <c r="G1828">
        <v>301.51</v>
      </c>
      <c r="H1828">
        <v>33</v>
      </c>
      <c r="I1828" t="s">
        <v>22</v>
      </c>
      <c r="J1828">
        <v>3.3</v>
      </c>
      <c r="K1828" t="s">
        <v>41</v>
      </c>
      <c r="L1828" t="s">
        <v>23</v>
      </c>
      <c r="M1828" t="str">
        <f>VLOOKUP(D1832,Restaurant_Master!A:B,2,FALSE)</f>
        <v>https://www.chatswoodinterchange.com/storages/2018/08/Sushi-World_666x448.jpg</v>
      </c>
    </row>
    <row r="1829" spans="1:13" x14ac:dyDescent="0.3">
      <c r="A1829" t="s">
        <v>1859</v>
      </c>
      <c r="B1829" s="1">
        <v>45579</v>
      </c>
      <c r="C1829" t="s">
        <v>34</v>
      </c>
      <c r="D1829" t="s">
        <v>25</v>
      </c>
      <c r="E1829">
        <v>58</v>
      </c>
      <c r="F1829" t="s">
        <v>15</v>
      </c>
      <c r="G1829">
        <v>925.99</v>
      </c>
      <c r="H1829">
        <v>46</v>
      </c>
      <c r="I1829" t="s">
        <v>16</v>
      </c>
      <c r="J1829">
        <v>4.7</v>
      </c>
      <c r="K1829" t="s">
        <v>41</v>
      </c>
      <c r="L1829" t="s">
        <v>18</v>
      </c>
      <c r="M1829" t="str">
        <f>VLOOKUP(D1833,Restaurant_Master!A:B,2,FALSE)</f>
        <v>https://media-cdn.tripadvisor.com/media/photo-s/1c/c7/97/b6/photo6jpg.jpg</v>
      </c>
    </row>
    <row r="1830" spans="1:13" x14ac:dyDescent="0.3">
      <c r="A1830" t="s">
        <v>1860</v>
      </c>
      <c r="B1830" s="1">
        <v>45335</v>
      </c>
      <c r="C1830" t="s">
        <v>13</v>
      </c>
      <c r="D1830" t="s">
        <v>38</v>
      </c>
      <c r="E1830">
        <v>18</v>
      </c>
      <c r="F1830" t="s">
        <v>15</v>
      </c>
      <c r="G1830">
        <v>707.82</v>
      </c>
      <c r="H1830">
        <v>28</v>
      </c>
      <c r="I1830" t="s">
        <v>22</v>
      </c>
      <c r="J1830">
        <v>3</v>
      </c>
      <c r="K1830" t="s">
        <v>41</v>
      </c>
      <c r="L1830" t="s">
        <v>23</v>
      </c>
      <c r="M1830" t="str">
        <f>VLOOKUP(D1834,Restaurant_Master!A:B,2,FALSE)</f>
        <v>https://dineout-media-assets.swiggy.com/swiggy/image/upload/fl_lossy,f_auto,q_auto/v1660793737/fdqxvxcxg1wtdwvyv45v.jpg</v>
      </c>
    </row>
    <row r="1831" spans="1:13" x14ac:dyDescent="0.3">
      <c r="A1831" t="s">
        <v>1861</v>
      </c>
      <c r="B1831" s="1">
        <v>45625</v>
      </c>
      <c r="C1831" t="s">
        <v>20</v>
      </c>
      <c r="D1831" t="s">
        <v>32</v>
      </c>
      <c r="E1831">
        <v>20</v>
      </c>
      <c r="F1831" t="s">
        <v>15</v>
      </c>
      <c r="G1831">
        <v>696.74</v>
      </c>
      <c r="H1831">
        <v>26</v>
      </c>
      <c r="I1831" t="s">
        <v>22</v>
      </c>
      <c r="J1831">
        <v>3.6</v>
      </c>
      <c r="K1831" t="s">
        <v>29</v>
      </c>
      <c r="L1831" t="s">
        <v>23</v>
      </c>
      <c r="M1831" t="str">
        <f>VLOOKUP(D1835,Restaurant_Master!A:B,2,FALSE)</f>
        <v>https://media-cdn.tripadvisor.com/media/photo-s/1c/c7/97/b6/photo6jpg.jpg</v>
      </c>
    </row>
    <row r="1832" spans="1:13" x14ac:dyDescent="0.3">
      <c r="A1832" t="s">
        <v>1862</v>
      </c>
      <c r="B1832" s="1">
        <v>45634</v>
      </c>
      <c r="C1832" t="s">
        <v>34</v>
      </c>
      <c r="D1832" t="s">
        <v>38</v>
      </c>
      <c r="E1832">
        <v>57</v>
      </c>
      <c r="F1832" t="s">
        <v>28</v>
      </c>
      <c r="G1832">
        <v>1081.1500000000001</v>
      </c>
      <c r="H1832">
        <v>51</v>
      </c>
      <c r="I1832" t="s">
        <v>16</v>
      </c>
      <c r="J1832">
        <v>4.3</v>
      </c>
      <c r="K1832" t="s">
        <v>17</v>
      </c>
      <c r="L1832" t="s">
        <v>23</v>
      </c>
      <c r="M1832" t="str">
        <f>VLOOKUP(D1836,Restaurant_Master!A:B,2,FALSE)</f>
        <v>https://www.chatswoodinterchange.com/storages/2018/08/Sushi-World_666x448.jpg</v>
      </c>
    </row>
    <row r="1833" spans="1:13" x14ac:dyDescent="0.3">
      <c r="A1833" t="s">
        <v>1863</v>
      </c>
      <c r="B1833" s="1">
        <v>45614</v>
      </c>
      <c r="C1833" t="s">
        <v>36</v>
      </c>
      <c r="D1833" t="s">
        <v>25</v>
      </c>
      <c r="E1833">
        <v>23</v>
      </c>
      <c r="F1833" t="s">
        <v>15</v>
      </c>
      <c r="G1833">
        <v>153.1</v>
      </c>
      <c r="H1833">
        <v>60</v>
      </c>
      <c r="I1833" t="s">
        <v>16</v>
      </c>
      <c r="J1833">
        <v>3</v>
      </c>
      <c r="K1833" t="s">
        <v>17</v>
      </c>
      <c r="L1833" t="s">
        <v>23</v>
      </c>
      <c r="M1833" t="str">
        <f>VLOOKUP(D1837,Restaurant_Master!A:B,2,FALSE)</f>
        <v>https://dynamic-media-cdn.tripadvisor.com/media/photo-o/1c/e7/04/0d/front-of-the-local-easily.jpg</v>
      </c>
    </row>
    <row r="1834" spans="1:13" x14ac:dyDescent="0.3">
      <c r="A1834" t="s">
        <v>1864</v>
      </c>
      <c r="B1834" s="1">
        <v>45503</v>
      </c>
      <c r="C1834" t="s">
        <v>34</v>
      </c>
      <c r="D1834" t="s">
        <v>14</v>
      </c>
      <c r="E1834">
        <v>43</v>
      </c>
      <c r="F1834" t="s">
        <v>15</v>
      </c>
      <c r="G1834">
        <v>909.59</v>
      </c>
      <c r="H1834">
        <v>23</v>
      </c>
      <c r="I1834" t="s">
        <v>22</v>
      </c>
      <c r="J1834">
        <v>3</v>
      </c>
      <c r="K1834" t="s">
        <v>41</v>
      </c>
      <c r="L1834" t="s">
        <v>23</v>
      </c>
      <c r="M1834" t="str">
        <f>VLOOKUP(D1838,Restaurant_Master!A:B,2,FALSE)</f>
        <v>https://dineout-media-assets.swiggy.com/swiggy/image/upload/fl_lossy,f_auto,q_auto/v1660793737/fdqxvxcxg1wtdwvyv45v.jpg</v>
      </c>
    </row>
    <row r="1835" spans="1:13" x14ac:dyDescent="0.3">
      <c r="A1835" t="s">
        <v>1865</v>
      </c>
      <c r="B1835" s="1">
        <v>45400</v>
      </c>
      <c r="C1835" t="s">
        <v>34</v>
      </c>
      <c r="D1835" t="s">
        <v>25</v>
      </c>
      <c r="E1835">
        <v>26</v>
      </c>
      <c r="F1835" t="s">
        <v>15</v>
      </c>
      <c r="G1835">
        <v>153.79</v>
      </c>
      <c r="H1835">
        <v>28</v>
      </c>
      <c r="I1835" t="s">
        <v>22</v>
      </c>
      <c r="J1835">
        <v>4</v>
      </c>
      <c r="K1835" t="s">
        <v>29</v>
      </c>
      <c r="L1835" t="s">
        <v>18</v>
      </c>
      <c r="M1835" t="str">
        <f>VLOOKUP(D1839,Restaurant_Master!A:B,2,FALSE)</f>
        <v>https://media-cdn.tripadvisor.com/media/photo-s/1c/c7/97/b6/photo6jpg.jpg</v>
      </c>
    </row>
    <row r="1836" spans="1:13" x14ac:dyDescent="0.3">
      <c r="A1836" t="s">
        <v>1866</v>
      </c>
      <c r="B1836" s="1">
        <v>45393</v>
      </c>
      <c r="C1836" t="s">
        <v>43</v>
      </c>
      <c r="D1836" t="s">
        <v>38</v>
      </c>
      <c r="E1836">
        <v>31</v>
      </c>
      <c r="F1836" t="s">
        <v>15</v>
      </c>
      <c r="G1836">
        <v>1189.45</v>
      </c>
      <c r="H1836">
        <v>33</v>
      </c>
      <c r="I1836" t="s">
        <v>22</v>
      </c>
      <c r="J1836">
        <v>4.2</v>
      </c>
      <c r="K1836" t="s">
        <v>26</v>
      </c>
      <c r="L1836" t="s">
        <v>23</v>
      </c>
      <c r="M1836" t="str">
        <f>VLOOKUP(D1840,Restaurant_Master!A:B,2,FALSE)</f>
        <v>https://www.chatswoodinterchange.com/storages/2018/08/Sushi-World_666x448.jpg</v>
      </c>
    </row>
    <row r="1837" spans="1:13" x14ac:dyDescent="0.3">
      <c r="A1837" t="s">
        <v>1867</v>
      </c>
      <c r="B1837" s="1">
        <v>45364</v>
      </c>
      <c r="C1837" t="s">
        <v>13</v>
      </c>
      <c r="D1837" t="s">
        <v>21</v>
      </c>
      <c r="E1837">
        <v>57</v>
      </c>
      <c r="F1837" t="s">
        <v>28</v>
      </c>
      <c r="G1837">
        <v>268.32</v>
      </c>
      <c r="H1837">
        <v>41</v>
      </c>
      <c r="I1837" t="s">
        <v>16</v>
      </c>
      <c r="J1837">
        <v>3.2</v>
      </c>
      <c r="K1837" t="s">
        <v>26</v>
      </c>
      <c r="L1837" t="s">
        <v>18</v>
      </c>
      <c r="M1837" t="str">
        <f>VLOOKUP(D1841,Restaurant_Master!A:B,2,FALSE)</f>
        <v>https://content.jdmagicbox.com/comp/deoria/g6/9999p5568.5568.200119143033.m4g6/catalogue/biryani-house-deoria-ho-deoria-mktc2xph0o.jpg</v>
      </c>
    </row>
    <row r="1838" spans="1:13" x14ac:dyDescent="0.3">
      <c r="A1838" t="s">
        <v>1868</v>
      </c>
      <c r="B1838" s="1">
        <v>45536</v>
      </c>
      <c r="C1838" t="s">
        <v>36</v>
      </c>
      <c r="D1838" t="s">
        <v>14</v>
      </c>
      <c r="E1838">
        <v>42</v>
      </c>
      <c r="F1838" t="s">
        <v>15</v>
      </c>
      <c r="G1838">
        <v>572.12</v>
      </c>
      <c r="H1838">
        <v>29</v>
      </c>
      <c r="I1838" t="s">
        <v>22</v>
      </c>
      <c r="J1838">
        <v>3.6</v>
      </c>
      <c r="K1838" t="s">
        <v>29</v>
      </c>
      <c r="L1838" t="s">
        <v>23</v>
      </c>
      <c r="M1838" t="str">
        <f>VLOOKUP(D1842,Restaurant_Master!A:B,2,FALSE)</f>
        <v>https://content.jdmagicbox.com/comp/deoria/g6/9999p5568.5568.200119143033.m4g6/catalogue/biryani-house-deoria-ho-deoria-mktc2xph0o.jpg</v>
      </c>
    </row>
    <row r="1839" spans="1:13" x14ac:dyDescent="0.3">
      <c r="A1839" t="s">
        <v>1869</v>
      </c>
      <c r="B1839" s="1">
        <v>45309</v>
      </c>
      <c r="C1839" t="s">
        <v>13</v>
      </c>
      <c r="D1839" t="s">
        <v>25</v>
      </c>
      <c r="E1839">
        <v>37</v>
      </c>
      <c r="F1839" t="s">
        <v>15</v>
      </c>
      <c r="G1839">
        <v>1192.6600000000001</v>
      </c>
      <c r="H1839">
        <v>21</v>
      </c>
      <c r="I1839" t="s">
        <v>22</v>
      </c>
      <c r="J1839">
        <v>2.7</v>
      </c>
      <c r="K1839" t="s">
        <v>26</v>
      </c>
      <c r="L1839" t="s">
        <v>23</v>
      </c>
      <c r="M1839" t="str">
        <f>VLOOKUP(D1843,Restaurant_Master!A:B,2,FALSE)</f>
        <v>https://dineout-media-assets.swiggy.com/swiggy/image/upload/fl_lossy,f_auto,q_auto/v1660793737/fdqxvxcxg1wtdwvyv45v.jpg</v>
      </c>
    </row>
    <row r="1840" spans="1:13" x14ac:dyDescent="0.3">
      <c r="A1840" t="s">
        <v>1870</v>
      </c>
      <c r="B1840" s="1">
        <v>45500</v>
      </c>
      <c r="C1840" t="s">
        <v>36</v>
      </c>
      <c r="D1840" t="s">
        <v>38</v>
      </c>
      <c r="E1840">
        <v>22</v>
      </c>
      <c r="F1840" t="s">
        <v>28</v>
      </c>
      <c r="G1840">
        <v>408.69</v>
      </c>
      <c r="H1840">
        <v>28</v>
      </c>
      <c r="I1840" t="s">
        <v>22</v>
      </c>
      <c r="J1840">
        <v>2.5</v>
      </c>
      <c r="K1840" t="s">
        <v>17</v>
      </c>
      <c r="L1840" t="s">
        <v>23</v>
      </c>
      <c r="M1840" t="str">
        <f>VLOOKUP(D1844,Restaurant_Master!A:B,2,FALSE)</f>
        <v>https://media-cdn.tripadvisor.com/media/photo-s/1c/c7/97/b6/photo6jpg.jpg</v>
      </c>
    </row>
    <row r="1841" spans="1:13" x14ac:dyDescent="0.3">
      <c r="A1841" t="s">
        <v>1871</v>
      </c>
      <c r="B1841" s="1">
        <v>45653</v>
      </c>
      <c r="C1841" t="s">
        <v>20</v>
      </c>
      <c r="D1841" t="s">
        <v>32</v>
      </c>
      <c r="E1841">
        <v>28</v>
      </c>
      <c r="F1841" t="s">
        <v>15</v>
      </c>
      <c r="G1841">
        <v>720.8</v>
      </c>
      <c r="H1841">
        <v>43</v>
      </c>
      <c r="I1841" t="s">
        <v>16</v>
      </c>
      <c r="J1841">
        <v>3.3</v>
      </c>
      <c r="K1841" t="s">
        <v>29</v>
      </c>
      <c r="L1841" t="s">
        <v>23</v>
      </c>
      <c r="M1841" t="str">
        <f>VLOOKUP(D1845,Restaurant_Master!A:B,2,FALSE)</f>
        <v>https://www.chatswoodinterchange.com/storages/2018/08/Sushi-World_666x448.jpg</v>
      </c>
    </row>
    <row r="1842" spans="1:13" x14ac:dyDescent="0.3">
      <c r="A1842" t="s">
        <v>1872</v>
      </c>
      <c r="B1842" s="1">
        <v>45384</v>
      </c>
      <c r="C1842" t="s">
        <v>36</v>
      </c>
      <c r="D1842" t="s">
        <v>32</v>
      </c>
      <c r="E1842">
        <v>35</v>
      </c>
      <c r="F1842" t="s">
        <v>15</v>
      </c>
      <c r="G1842">
        <v>1109.29</v>
      </c>
      <c r="H1842">
        <v>20</v>
      </c>
      <c r="I1842" t="s">
        <v>22</v>
      </c>
      <c r="J1842">
        <v>4.0999999999999996</v>
      </c>
      <c r="K1842" t="s">
        <v>41</v>
      </c>
      <c r="L1842" t="s">
        <v>18</v>
      </c>
      <c r="M1842" t="str">
        <f>VLOOKUP(D1846,Restaurant_Master!A:B,2,FALSE)</f>
        <v>https://media-cdn.tripadvisor.com/media/photo-s/1c/c7/97/b6/photo6jpg.jpg</v>
      </c>
    </row>
    <row r="1843" spans="1:13" x14ac:dyDescent="0.3">
      <c r="A1843" t="s">
        <v>1873</v>
      </c>
      <c r="B1843" s="1">
        <v>45643</v>
      </c>
      <c r="C1843" t="s">
        <v>34</v>
      </c>
      <c r="D1843" t="s">
        <v>14</v>
      </c>
      <c r="E1843">
        <v>34</v>
      </c>
      <c r="F1843" t="s">
        <v>15</v>
      </c>
      <c r="G1843">
        <v>202.02</v>
      </c>
      <c r="H1843">
        <v>35</v>
      </c>
      <c r="I1843" t="s">
        <v>22</v>
      </c>
      <c r="J1843">
        <v>3.8</v>
      </c>
      <c r="K1843" t="s">
        <v>29</v>
      </c>
      <c r="L1843" t="s">
        <v>18</v>
      </c>
      <c r="M1843" t="str">
        <f>VLOOKUP(D1847,Restaurant_Master!A:B,2,FALSE)</f>
        <v>https://www.chatswoodinterchange.com/storages/2018/08/Sushi-World_666x448.jpg</v>
      </c>
    </row>
    <row r="1844" spans="1:13" x14ac:dyDescent="0.3">
      <c r="A1844" t="s">
        <v>1874</v>
      </c>
      <c r="B1844" s="1">
        <v>45463</v>
      </c>
      <c r="C1844" t="s">
        <v>36</v>
      </c>
      <c r="D1844" t="s">
        <v>25</v>
      </c>
      <c r="E1844">
        <v>25</v>
      </c>
      <c r="F1844" t="s">
        <v>15</v>
      </c>
      <c r="G1844">
        <v>299.92</v>
      </c>
      <c r="H1844">
        <v>54</v>
      </c>
      <c r="I1844" t="s">
        <v>16</v>
      </c>
      <c r="J1844">
        <v>4.3</v>
      </c>
      <c r="K1844" t="s">
        <v>17</v>
      </c>
      <c r="L1844" t="s">
        <v>18</v>
      </c>
      <c r="M1844" t="str">
        <f>VLOOKUP(D1848,Restaurant_Master!A:B,2,FALSE)</f>
        <v>https://media-cdn.tripadvisor.com/media/photo-s/1c/c7/97/b6/photo6jpg.jpg</v>
      </c>
    </row>
    <row r="1845" spans="1:13" x14ac:dyDescent="0.3">
      <c r="A1845" t="s">
        <v>1875</v>
      </c>
      <c r="B1845" s="1">
        <v>45427</v>
      </c>
      <c r="C1845" t="s">
        <v>13</v>
      </c>
      <c r="D1845" t="s">
        <v>38</v>
      </c>
      <c r="E1845">
        <v>20</v>
      </c>
      <c r="F1845" t="s">
        <v>15</v>
      </c>
      <c r="G1845">
        <v>724.52</v>
      </c>
      <c r="H1845">
        <v>27</v>
      </c>
      <c r="I1845" t="s">
        <v>22</v>
      </c>
      <c r="J1845">
        <v>2.6</v>
      </c>
      <c r="K1845" t="s">
        <v>29</v>
      </c>
      <c r="L1845" t="s">
        <v>18</v>
      </c>
      <c r="M1845" t="str">
        <f>VLOOKUP(D1849,Restaurant_Master!A:B,2,FALSE)</f>
        <v>https://dineout-media-assets.swiggy.com/swiggy/image/upload/fl_lossy,f_auto,q_auto/v1660793737/fdqxvxcxg1wtdwvyv45v.jpg</v>
      </c>
    </row>
    <row r="1846" spans="1:13" x14ac:dyDescent="0.3">
      <c r="A1846" t="s">
        <v>1876</v>
      </c>
      <c r="B1846" s="1">
        <v>45642</v>
      </c>
      <c r="C1846" t="s">
        <v>20</v>
      </c>
      <c r="D1846" t="s">
        <v>25</v>
      </c>
      <c r="E1846">
        <v>42</v>
      </c>
      <c r="F1846" t="s">
        <v>28</v>
      </c>
      <c r="G1846">
        <v>255.27</v>
      </c>
      <c r="H1846">
        <v>50</v>
      </c>
      <c r="I1846" t="s">
        <v>16</v>
      </c>
      <c r="J1846">
        <v>4.2</v>
      </c>
      <c r="K1846" t="s">
        <v>41</v>
      </c>
      <c r="L1846" t="s">
        <v>23</v>
      </c>
      <c r="M1846" t="str">
        <f>VLOOKUP(D1850,Restaurant_Master!A:B,2,FALSE)</f>
        <v>https://content.jdmagicbox.com/comp/deoria/g6/9999p5568.5568.200119143033.m4g6/catalogue/biryani-house-deoria-ho-deoria-mktc2xph0o.jpg</v>
      </c>
    </row>
    <row r="1847" spans="1:13" x14ac:dyDescent="0.3">
      <c r="A1847" t="s">
        <v>1877</v>
      </c>
      <c r="B1847" s="1">
        <v>45308</v>
      </c>
      <c r="C1847" t="s">
        <v>34</v>
      </c>
      <c r="D1847" t="s">
        <v>38</v>
      </c>
      <c r="E1847">
        <v>60</v>
      </c>
      <c r="F1847" t="s">
        <v>15</v>
      </c>
      <c r="G1847">
        <v>959.12</v>
      </c>
      <c r="H1847">
        <v>56</v>
      </c>
      <c r="I1847" t="s">
        <v>16</v>
      </c>
      <c r="J1847">
        <v>3.3</v>
      </c>
      <c r="K1847" t="s">
        <v>41</v>
      </c>
      <c r="L1847" t="s">
        <v>18</v>
      </c>
      <c r="M1847" t="str">
        <f>VLOOKUP(D1851,Restaurant_Master!A:B,2,FALSE)</f>
        <v>https://www.chatswoodinterchange.com/storages/2018/08/Sushi-World_666x448.jpg</v>
      </c>
    </row>
    <row r="1848" spans="1:13" x14ac:dyDescent="0.3">
      <c r="A1848" t="s">
        <v>1878</v>
      </c>
      <c r="B1848" s="1">
        <v>45314</v>
      </c>
      <c r="C1848" t="s">
        <v>13</v>
      </c>
      <c r="D1848" t="s">
        <v>25</v>
      </c>
      <c r="E1848">
        <v>26</v>
      </c>
      <c r="F1848" t="s">
        <v>15</v>
      </c>
      <c r="G1848">
        <v>1062.69</v>
      </c>
      <c r="H1848">
        <v>37</v>
      </c>
      <c r="I1848" t="s">
        <v>22</v>
      </c>
      <c r="J1848">
        <v>3.3</v>
      </c>
      <c r="K1848" t="s">
        <v>26</v>
      </c>
      <c r="L1848" t="s">
        <v>23</v>
      </c>
      <c r="M1848" t="str">
        <f>VLOOKUP(D1852,Restaurant_Master!A:B,2,FALSE)</f>
        <v>https://dynamic-media-cdn.tripadvisor.com/media/photo-o/1c/e7/04/0d/front-of-the-local-easily.jpg</v>
      </c>
    </row>
    <row r="1849" spans="1:13" x14ac:dyDescent="0.3">
      <c r="A1849" t="s">
        <v>1879</v>
      </c>
      <c r="B1849" s="1">
        <v>45319</v>
      </c>
      <c r="C1849" t="s">
        <v>43</v>
      </c>
      <c r="D1849" t="s">
        <v>14</v>
      </c>
      <c r="E1849">
        <v>29</v>
      </c>
      <c r="F1849" t="s">
        <v>15</v>
      </c>
      <c r="G1849">
        <v>746.03</v>
      </c>
      <c r="H1849">
        <v>35</v>
      </c>
      <c r="I1849" t="s">
        <v>22</v>
      </c>
      <c r="J1849">
        <v>4</v>
      </c>
      <c r="K1849" t="s">
        <v>17</v>
      </c>
      <c r="L1849" t="s">
        <v>18</v>
      </c>
      <c r="M1849" t="str">
        <f>VLOOKUP(D1853,Restaurant_Master!A:B,2,FALSE)</f>
        <v>https://www.chatswoodinterchange.com/storages/2018/08/Sushi-World_666x448.jpg</v>
      </c>
    </row>
    <row r="1850" spans="1:13" x14ac:dyDescent="0.3">
      <c r="A1850" t="s">
        <v>1880</v>
      </c>
      <c r="B1850" s="1">
        <v>45605</v>
      </c>
      <c r="C1850" t="s">
        <v>20</v>
      </c>
      <c r="D1850" t="s">
        <v>32</v>
      </c>
      <c r="E1850">
        <v>53</v>
      </c>
      <c r="F1850" t="s">
        <v>15</v>
      </c>
      <c r="G1850">
        <v>545.26</v>
      </c>
      <c r="H1850">
        <v>60</v>
      </c>
      <c r="I1850" t="s">
        <v>16</v>
      </c>
      <c r="J1850">
        <v>3.4</v>
      </c>
      <c r="K1850" t="s">
        <v>26</v>
      </c>
      <c r="L1850" t="s">
        <v>18</v>
      </c>
      <c r="M1850" t="str">
        <f>VLOOKUP(D1854,Restaurant_Master!A:B,2,FALSE)</f>
        <v>https://dineout-media-assets.swiggy.com/swiggy/image/upload/fl_lossy,f_auto,q_auto/v1660793737/fdqxvxcxg1wtdwvyv45v.jpg</v>
      </c>
    </row>
    <row r="1851" spans="1:13" x14ac:dyDescent="0.3">
      <c r="A1851" t="s">
        <v>1881</v>
      </c>
      <c r="B1851" s="1">
        <v>45374</v>
      </c>
      <c r="C1851" t="s">
        <v>13</v>
      </c>
      <c r="D1851" t="s">
        <v>38</v>
      </c>
      <c r="E1851">
        <v>26</v>
      </c>
      <c r="F1851" t="s">
        <v>28</v>
      </c>
      <c r="G1851">
        <v>889.43</v>
      </c>
      <c r="H1851">
        <v>32</v>
      </c>
      <c r="I1851" t="s">
        <v>22</v>
      </c>
      <c r="J1851">
        <v>2.5</v>
      </c>
      <c r="K1851" t="s">
        <v>41</v>
      </c>
      <c r="L1851" t="s">
        <v>23</v>
      </c>
      <c r="M1851" t="str">
        <f>VLOOKUP(D1855,Restaurant_Master!A:B,2,FALSE)</f>
        <v>https://dynamic-media-cdn.tripadvisor.com/media/photo-o/1c/e7/04/0d/front-of-the-local-easily.jpg</v>
      </c>
    </row>
    <row r="1852" spans="1:13" x14ac:dyDescent="0.3">
      <c r="A1852" t="s">
        <v>1882</v>
      </c>
      <c r="B1852" s="1">
        <v>45497</v>
      </c>
      <c r="C1852" t="s">
        <v>43</v>
      </c>
      <c r="D1852" t="s">
        <v>21</v>
      </c>
      <c r="E1852">
        <v>57</v>
      </c>
      <c r="F1852" t="s">
        <v>15</v>
      </c>
      <c r="G1852">
        <v>904.88</v>
      </c>
      <c r="H1852">
        <v>45</v>
      </c>
      <c r="I1852" t="s">
        <v>16</v>
      </c>
      <c r="J1852">
        <v>4.0999999999999996</v>
      </c>
      <c r="K1852" t="s">
        <v>29</v>
      </c>
      <c r="L1852" t="s">
        <v>23</v>
      </c>
      <c r="M1852" t="str">
        <f>VLOOKUP(D1856,Restaurant_Master!A:B,2,FALSE)</f>
        <v>https://dynamic-media-cdn.tripadvisor.com/media/photo-o/1c/e7/04/0d/front-of-the-local-easily.jpg</v>
      </c>
    </row>
    <row r="1853" spans="1:13" x14ac:dyDescent="0.3">
      <c r="A1853" t="s">
        <v>1883</v>
      </c>
      <c r="B1853" s="1">
        <v>45382</v>
      </c>
      <c r="C1853" t="s">
        <v>36</v>
      </c>
      <c r="D1853" t="s">
        <v>38</v>
      </c>
      <c r="E1853">
        <v>37</v>
      </c>
      <c r="F1853" t="s">
        <v>15</v>
      </c>
      <c r="G1853">
        <v>392.81</v>
      </c>
      <c r="H1853">
        <v>35</v>
      </c>
      <c r="I1853" t="s">
        <v>22</v>
      </c>
      <c r="J1853">
        <v>3.3</v>
      </c>
      <c r="K1853" t="s">
        <v>26</v>
      </c>
      <c r="L1853" t="s">
        <v>23</v>
      </c>
      <c r="M1853" t="str">
        <f>VLOOKUP(D1857,Restaurant_Master!A:B,2,FALSE)</f>
        <v>https://www.chatswoodinterchange.com/storages/2018/08/Sushi-World_666x448.jpg</v>
      </c>
    </row>
    <row r="1854" spans="1:13" x14ac:dyDescent="0.3">
      <c r="A1854" t="s">
        <v>1884</v>
      </c>
      <c r="B1854" s="1">
        <v>45468</v>
      </c>
      <c r="C1854" t="s">
        <v>43</v>
      </c>
      <c r="D1854" t="s">
        <v>14</v>
      </c>
      <c r="E1854">
        <v>36</v>
      </c>
      <c r="F1854" t="s">
        <v>28</v>
      </c>
      <c r="G1854">
        <v>1142.3399999999999</v>
      </c>
      <c r="H1854">
        <v>58</v>
      </c>
      <c r="I1854" t="s">
        <v>16</v>
      </c>
      <c r="J1854">
        <v>2.9</v>
      </c>
      <c r="K1854" t="s">
        <v>29</v>
      </c>
      <c r="L1854" t="s">
        <v>18</v>
      </c>
      <c r="M1854" t="str">
        <f>VLOOKUP(D1858,Restaurant_Master!A:B,2,FALSE)</f>
        <v>https://www.chatswoodinterchange.com/storages/2018/08/Sushi-World_666x448.jpg</v>
      </c>
    </row>
    <row r="1855" spans="1:13" x14ac:dyDescent="0.3">
      <c r="A1855" t="s">
        <v>1885</v>
      </c>
      <c r="B1855" s="1">
        <v>45447</v>
      </c>
      <c r="C1855" t="s">
        <v>34</v>
      </c>
      <c r="D1855" t="s">
        <v>21</v>
      </c>
      <c r="E1855">
        <v>33</v>
      </c>
      <c r="F1855" t="s">
        <v>15</v>
      </c>
      <c r="G1855">
        <v>1171.72</v>
      </c>
      <c r="H1855">
        <v>33</v>
      </c>
      <c r="I1855" t="s">
        <v>22</v>
      </c>
      <c r="J1855">
        <v>2.9</v>
      </c>
      <c r="K1855" t="s">
        <v>29</v>
      </c>
      <c r="L1855" t="s">
        <v>18</v>
      </c>
      <c r="M1855" t="str">
        <f>VLOOKUP(D1859,Restaurant_Master!A:B,2,FALSE)</f>
        <v>https://content.jdmagicbox.com/comp/deoria/g6/9999p5568.5568.200119143033.m4g6/catalogue/biryani-house-deoria-ho-deoria-mktc2xph0o.jpg</v>
      </c>
    </row>
    <row r="1856" spans="1:13" x14ac:dyDescent="0.3">
      <c r="A1856" t="s">
        <v>1886</v>
      </c>
      <c r="B1856" s="1">
        <v>45649</v>
      </c>
      <c r="C1856" t="s">
        <v>36</v>
      </c>
      <c r="D1856" t="s">
        <v>21</v>
      </c>
      <c r="E1856">
        <v>37</v>
      </c>
      <c r="F1856" t="s">
        <v>28</v>
      </c>
      <c r="G1856">
        <v>872.42</v>
      </c>
      <c r="H1856">
        <v>23</v>
      </c>
      <c r="I1856" t="s">
        <v>22</v>
      </c>
      <c r="J1856">
        <v>4</v>
      </c>
      <c r="K1856" t="s">
        <v>17</v>
      </c>
      <c r="L1856" t="s">
        <v>18</v>
      </c>
      <c r="M1856" t="str">
        <f>VLOOKUP(D1860,Restaurant_Master!A:B,2,FALSE)</f>
        <v>https://www.chatswoodinterchange.com/storages/2018/08/Sushi-World_666x448.jpg</v>
      </c>
    </row>
    <row r="1857" spans="1:13" x14ac:dyDescent="0.3">
      <c r="A1857" t="s">
        <v>1887</v>
      </c>
      <c r="B1857" s="1">
        <v>45345</v>
      </c>
      <c r="C1857" t="s">
        <v>34</v>
      </c>
      <c r="D1857" t="s">
        <v>38</v>
      </c>
      <c r="E1857">
        <v>32</v>
      </c>
      <c r="F1857" t="s">
        <v>15</v>
      </c>
      <c r="G1857">
        <v>425.86</v>
      </c>
      <c r="H1857">
        <v>56</v>
      </c>
      <c r="I1857" t="s">
        <v>16</v>
      </c>
      <c r="J1857">
        <v>4.7</v>
      </c>
      <c r="K1857" t="s">
        <v>26</v>
      </c>
      <c r="L1857" t="s">
        <v>23</v>
      </c>
      <c r="M1857" t="str">
        <f>VLOOKUP(D1861,Restaurant_Master!A:B,2,FALSE)</f>
        <v>https://dynamic-media-cdn.tripadvisor.com/media/photo-o/1c/e7/04/0d/front-of-the-local-easily.jpg</v>
      </c>
    </row>
    <row r="1858" spans="1:13" x14ac:dyDescent="0.3">
      <c r="A1858" t="s">
        <v>1888</v>
      </c>
      <c r="B1858" s="1">
        <v>45492</v>
      </c>
      <c r="C1858" t="s">
        <v>43</v>
      </c>
      <c r="D1858" t="s">
        <v>38</v>
      </c>
      <c r="E1858">
        <v>32</v>
      </c>
      <c r="F1858" t="s">
        <v>15</v>
      </c>
      <c r="G1858">
        <v>886.76</v>
      </c>
      <c r="H1858">
        <v>49</v>
      </c>
      <c r="I1858" t="s">
        <v>16</v>
      </c>
      <c r="J1858">
        <v>3.8</v>
      </c>
      <c r="K1858" t="s">
        <v>17</v>
      </c>
      <c r="L1858" t="s">
        <v>23</v>
      </c>
      <c r="M1858" t="str">
        <f>VLOOKUP(D1862,Restaurant_Master!A:B,2,FALSE)</f>
        <v>https://dynamic-media-cdn.tripadvisor.com/media/photo-o/1c/e7/04/0d/front-of-the-local-easily.jpg</v>
      </c>
    </row>
    <row r="1859" spans="1:13" x14ac:dyDescent="0.3">
      <c r="A1859" t="s">
        <v>1889</v>
      </c>
      <c r="B1859" s="1">
        <v>45424</v>
      </c>
      <c r="C1859" t="s">
        <v>43</v>
      </c>
      <c r="D1859" t="s">
        <v>32</v>
      </c>
      <c r="E1859">
        <v>32</v>
      </c>
      <c r="F1859" t="s">
        <v>15</v>
      </c>
      <c r="G1859">
        <v>625.79999999999995</v>
      </c>
      <c r="H1859">
        <v>21</v>
      </c>
      <c r="I1859" t="s">
        <v>22</v>
      </c>
      <c r="J1859">
        <v>4.8</v>
      </c>
      <c r="K1859" t="s">
        <v>17</v>
      </c>
      <c r="L1859" t="s">
        <v>23</v>
      </c>
      <c r="M1859" t="str">
        <f>VLOOKUP(D1863,Restaurant_Master!A:B,2,FALSE)</f>
        <v>https://dynamic-media-cdn.tripadvisor.com/media/photo-o/1c/e7/04/0d/front-of-the-local-easily.jpg</v>
      </c>
    </row>
    <row r="1860" spans="1:13" x14ac:dyDescent="0.3">
      <c r="A1860" t="s">
        <v>1890</v>
      </c>
      <c r="B1860" s="1">
        <v>45627</v>
      </c>
      <c r="C1860" t="s">
        <v>20</v>
      </c>
      <c r="D1860" t="s">
        <v>38</v>
      </c>
      <c r="E1860">
        <v>57</v>
      </c>
      <c r="F1860" t="s">
        <v>15</v>
      </c>
      <c r="G1860">
        <v>740.98</v>
      </c>
      <c r="H1860">
        <v>28</v>
      </c>
      <c r="I1860" t="s">
        <v>22</v>
      </c>
      <c r="J1860">
        <v>4.7</v>
      </c>
      <c r="K1860" t="s">
        <v>29</v>
      </c>
      <c r="L1860" t="s">
        <v>23</v>
      </c>
      <c r="M1860" t="str">
        <f>VLOOKUP(D1864,Restaurant_Master!A:B,2,FALSE)</f>
        <v>https://dineout-media-assets.swiggy.com/swiggy/image/upload/fl_lossy,f_auto,q_auto/v1660793737/fdqxvxcxg1wtdwvyv45v.jpg</v>
      </c>
    </row>
    <row r="1861" spans="1:13" x14ac:dyDescent="0.3">
      <c r="A1861" t="s">
        <v>1891</v>
      </c>
      <c r="B1861" s="1">
        <v>45319</v>
      </c>
      <c r="C1861" t="s">
        <v>36</v>
      </c>
      <c r="D1861" t="s">
        <v>21</v>
      </c>
      <c r="E1861">
        <v>35</v>
      </c>
      <c r="F1861" t="s">
        <v>15</v>
      </c>
      <c r="G1861">
        <v>459.23</v>
      </c>
      <c r="H1861">
        <v>25</v>
      </c>
      <c r="I1861" t="s">
        <v>22</v>
      </c>
      <c r="J1861">
        <v>3.5</v>
      </c>
      <c r="K1861" t="s">
        <v>41</v>
      </c>
      <c r="L1861" t="s">
        <v>23</v>
      </c>
      <c r="M1861" t="str">
        <f>VLOOKUP(D1865,Restaurant_Master!A:B,2,FALSE)</f>
        <v>https://content.jdmagicbox.com/comp/deoria/g6/9999p5568.5568.200119143033.m4g6/catalogue/biryani-house-deoria-ho-deoria-mktc2xph0o.jpg</v>
      </c>
    </row>
    <row r="1862" spans="1:13" x14ac:dyDescent="0.3">
      <c r="A1862" t="s">
        <v>1892</v>
      </c>
      <c r="B1862" s="1">
        <v>45324</v>
      </c>
      <c r="C1862" t="s">
        <v>34</v>
      </c>
      <c r="D1862" t="s">
        <v>21</v>
      </c>
      <c r="E1862">
        <v>41</v>
      </c>
      <c r="F1862" t="s">
        <v>15</v>
      </c>
      <c r="G1862">
        <v>661.14</v>
      </c>
      <c r="H1862">
        <v>51</v>
      </c>
      <c r="I1862" t="s">
        <v>16</v>
      </c>
      <c r="J1862">
        <v>3.5</v>
      </c>
      <c r="K1862" t="s">
        <v>17</v>
      </c>
      <c r="L1862" t="s">
        <v>18</v>
      </c>
      <c r="M1862" t="str">
        <f>VLOOKUP(D1866,Restaurant_Master!A:B,2,FALSE)</f>
        <v>https://www.chatswoodinterchange.com/storages/2018/08/Sushi-World_666x448.jpg</v>
      </c>
    </row>
    <row r="1863" spans="1:13" x14ac:dyDescent="0.3">
      <c r="A1863" t="s">
        <v>1893</v>
      </c>
      <c r="B1863" s="1">
        <v>45383</v>
      </c>
      <c r="C1863" t="s">
        <v>43</v>
      </c>
      <c r="D1863" t="s">
        <v>21</v>
      </c>
      <c r="E1863">
        <v>42</v>
      </c>
      <c r="F1863" t="s">
        <v>15</v>
      </c>
      <c r="G1863">
        <v>899.31</v>
      </c>
      <c r="H1863">
        <v>23</v>
      </c>
      <c r="I1863" t="s">
        <v>22</v>
      </c>
      <c r="J1863">
        <v>4.0999999999999996</v>
      </c>
      <c r="K1863" t="s">
        <v>41</v>
      </c>
      <c r="L1863" t="s">
        <v>23</v>
      </c>
      <c r="M1863" t="str">
        <f>VLOOKUP(D1867,Restaurant_Master!A:B,2,FALSE)</f>
        <v>https://media-cdn.tripadvisor.com/media/photo-s/1c/c7/97/b6/photo6jpg.jpg</v>
      </c>
    </row>
    <row r="1864" spans="1:13" x14ac:dyDescent="0.3">
      <c r="A1864" t="s">
        <v>1894</v>
      </c>
      <c r="B1864" s="1">
        <v>45394</v>
      </c>
      <c r="C1864" t="s">
        <v>36</v>
      </c>
      <c r="D1864" t="s">
        <v>14</v>
      </c>
      <c r="E1864">
        <v>49</v>
      </c>
      <c r="F1864" t="s">
        <v>28</v>
      </c>
      <c r="G1864">
        <v>189.64</v>
      </c>
      <c r="H1864">
        <v>32</v>
      </c>
      <c r="I1864" t="s">
        <v>22</v>
      </c>
      <c r="J1864">
        <v>4.7</v>
      </c>
      <c r="K1864" t="s">
        <v>41</v>
      </c>
      <c r="L1864" t="s">
        <v>23</v>
      </c>
      <c r="M1864" t="str">
        <f>VLOOKUP(D1868,Restaurant_Master!A:B,2,FALSE)</f>
        <v>https://media-cdn.tripadvisor.com/media/photo-s/1c/c7/97/b6/photo6jpg.jpg</v>
      </c>
    </row>
    <row r="1865" spans="1:13" x14ac:dyDescent="0.3">
      <c r="A1865" t="s">
        <v>1895</v>
      </c>
      <c r="B1865" s="1">
        <v>45420</v>
      </c>
      <c r="C1865" t="s">
        <v>13</v>
      </c>
      <c r="D1865" t="s">
        <v>32</v>
      </c>
      <c r="E1865">
        <v>34</v>
      </c>
      <c r="F1865" t="s">
        <v>15</v>
      </c>
      <c r="G1865">
        <v>1030.93</v>
      </c>
      <c r="H1865">
        <v>34</v>
      </c>
      <c r="I1865" t="s">
        <v>22</v>
      </c>
      <c r="J1865">
        <v>2.8</v>
      </c>
      <c r="K1865" t="s">
        <v>17</v>
      </c>
      <c r="L1865" t="s">
        <v>18</v>
      </c>
      <c r="M1865" t="str">
        <f>VLOOKUP(D1869,Restaurant_Master!A:B,2,FALSE)</f>
        <v>https://content.jdmagicbox.com/comp/deoria/g6/9999p5568.5568.200119143033.m4g6/catalogue/biryani-house-deoria-ho-deoria-mktc2xph0o.jpg</v>
      </c>
    </row>
    <row r="1866" spans="1:13" x14ac:dyDescent="0.3">
      <c r="A1866" t="s">
        <v>1896</v>
      </c>
      <c r="B1866" s="1">
        <v>45657</v>
      </c>
      <c r="C1866" t="s">
        <v>13</v>
      </c>
      <c r="D1866" t="s">
        <v>38</v>
      </c>
      <c r="E1866">
        <v>21</v>
      </c>
      <c r="F1866" t="s">
        <v>15</v>
      </c>
      <c r="G1866">
        <v>318.95999999999998</v>
      </c>
      <c r="H1866">
        <v>32</v>
      </c>
      <c r="I1866" t="s">
        <v>22</v>
      </c>
      <c r="J1866">
        <v>5</v>
      </c>
      <c r="K1866" t="s">
        <v>29</v>
      </c>
      <c r="L1866" t="s">
        <v>23</v>
      </c>
      <c r="M1866" t="str">
        <f>VLOOKUP(D1870,Restaurant_Master!A:B,2,FALSE)</f>
        <v>https://media-cdn.tripadvisor.com/media/photo-s/1c/c7/97/b6/photo6jpg.jpg</v>
      </c>
    </row>
    <row r="1867" spans="1:13" x14ac:dyDescent="0.3">
      <c r="A1867" t="s">
        <v>1897</v>
      </c>
      <c r="B1867" s="1">
        <v>45494</v>
      </c>
      <c r="C1867" t="s">
        <v>36</v>
      </c>
      <c r="D1867" t="s">
        <v>25</v>
      </c>
      <c r="E1867">
        <v>47</v>
      </c>
      <c r="F1867" t="s">
        <v>28</v>
      </c>
      <c r="G1867">
        <v>674.21</v>
      </c>
      <c r="H1867">
        <v>49</v>
      </c>
      <c r="I1867" t="s">
        <v>16</v>
      </c>
      <c r="J1867">
        <v>3.8</v>
      </c>
      <c r="K1867" t="s">
        <v>41</v>
      </c>
      <c r="L1867" t="s">
        <v>18</v>
      </c>
      <c r="M1867" t="str">
        <f>VLOOKUP(D1871,Restaurant_Master!A:B,2,FALSE)</f>
        <v>https://dineout-media-assets.swiggy.com/swiggy/image/upload/fl_lossy,f_auto,q_auto/v1660793737/fdqxvxcxg1wtdwvyv45v.jpg</v>
      </c>
    </row>
    <row r="1868" spans="1:13" x14ac:dyDescent="0.3">
      <c r="A1868" t="s">
        <v>1898</v>
      </c>
      <c r="B1868" s="1">
        <v>45482</v>
      </c>
      <c r="C1868" t="s">
        <v>34</v>
      </c>
      <c r="D1868" t="s">
        <v>25</v>
      </c>
      <c r="E1868">
        <v>38</v>
      </c>
      <c r="F1868" t="s">
        <v>28</v>
      </c>
      <c r="G1868">
        <v>222.1</v>
      </c>
      <c r="H1868">
        <v>40</v>
      </c>
      <c r="I1868" t="s">
        <v>22</v>
      </c>
      <c r="J1868">
        <v>3.8</v>
      </c>
      <c r="K1868" t="s">
        <v>29</v>
      </c>
      <c r="L1868" t="s">
        <v>23</v>
      </c>
      <c r="M1868" t="str">
        <f>VLOOKUP(D1872,Restaurant_Master!A:B,2,FALSE)</f>
        <v>https://content.jdmagicbox.com/comp/deoria/g6/9999p5568.5568.200119143033.m4g6/catalogue/biryani-house-deoria-ho-deoria-mktc2xph0o.jpg</v>
      </c>
    </row>
    <row r="1869" spans="1:13" x14ac:dyDescent="0.3">
      <c r="A1869" t="s">
        <v>1899</v>
      </c>
      <c r="B1869" s="1">
        <v>45357</v>
      </c>
      <c r="C1869" t="s">
        <v>34</v>
      </c>
      <c r="D1869" t="s">
        <v>32</v>
      </c>
      <c r="E1869">
        <v>55</v>
      </c>
      <c r="F1869" t="s">
        <v>15</v>
      </c>
      <c r="G1869">
        <v>409.38</v>
      </c>
      <c r="H1869">
        <v>23</v>
      </c>
      <c r="I1869" t="s">
        <v>22</v>
      </c>
      <c r="J1869">
        <v>4.9000000000000004</v>
      </c>
      <c r="K1869" t="s">
        <v>41</v>
      </c>
      <c r="L1869" t="s">
        <v>23</v>
      </c>
      <c r="M1869" t="str">
        <f>VLOOKUP(D1873,Restaurant_Master!A:B,2,FALSE)</f>
        <v>https://dineout-media-assets.swiggy.com/swiggy/image/upload/fl_lossy,f_auto,q_auto/v1660793737/fdqxvxcxg1wtdwvyv45v.jpg</v>
      </c>
    </row>
    <row r="1870" spans="1:13" x14ac:dyDescent="0.3">
      <c r="A1870" t="s">
        <v>1900</v>
      </c>
      <c r="B1870" s="1">
        <v>45344</v>
      </c>
      <c r="C1870" t="s">
        <v>20</v>
      </c>
      <c r="D1870" t="s">
        <v>25</v>
      </c>
      <c r="E1870">
        <v>58</v>
      </c>
      <c r="F1870" t="s">
        <v>28</v>
      </c>
      <c r="G1870">
        <v>723.53</v>
      </c>
      <c r="H1870">
        <v>52</v>
      </c>
      <c r="I1870" t="s">
        <v>16</v>
      </c>
      <c r="J1870">
        <v>3.3</v>
      </c>
      <c r="K1870" t="s">
        <v>26</v>
      </c>
      <c r="L1870" t="s">
        <v>23</v>
      </c>
      <c r="M1870" t="str">
        <f>VLOOKUP(D1874,Restaurant_Master!A:B,2,FALSE)</f>
        <v>https://content.jdmagicbox.com/comp/deoria/g6/9999p5568.5568.200119143033.m4g6/catalogue/biryani-house-deoria-ho-deoria-mktc2xph0o.jpg</v>
      </c>
    </row>
    <row r="1871" spans="1:13" x14ac:dyDescent="0.3">
      <c r="A1871" t="s">
        <v>1901</v>
      </c>
      <c r="B1871" s="1">
        <v>45309</v>
      </c>
      <c r="C1871" t="s">
        <v>43</v>
      </c>
      <c r="D1871" t="s">
        <v>14</v>
      </c>
      <c r="E1871">
        <v>36</v>
      </c>
      <c r="F1871" t="s">
        <v>15</v>
      </c>
      <c r="G1871">
        <v>797.16</v>
      </c>
      <c r="H1871">
        <v>31</v>
      </c>
      <c r="I1871" t="s">
        <v>22</v>
      </c>
      <c r="J1871">
        <v>4.5999999999999996</v>
      </c>
      <c r="K1871" t="s">
        <v>29</v>
      </c>
      <c r="L1871" t="s">
        <v>18</v>
      </c>
      <c r="M1871" t="str">
        <f>VLOOKUP(D1875,Restaurant_Master!A:B,2,FALSE)</f>
        <v>https://www.chatswoodinterchange.com/storages/2018/08/Sushi-World_666x448.jpg</v>
      </c>
    </row>
    <row r="1872" spans="1:13" x14ac:dyDescent="0.3">
      <c r="A1872" t="s">
        <v>1902</v>
      </c>
      <c r="B1872" s="1">
        <v>45632</v>
      </c>
      <c r="C1872" t="s">
        <v>43</v>
      </c>
      <c r="D1872" t="s">
        <v>32</v>
      </c>
      <c r="E1872">
        <v>39</v>
      </c>
      <c r="F1872" t="s">
        <v>28</v>
      </c>
      <c r="G1872">
        <v>339.51</v>
      </c>
      <c r="H1872">
        <v>50</v>
      </c>
      <c r="I1872" t="s">
        <v>16</v>
      </c>
      <c r="J1872">
        <v>2.8</v>
      </c>
      <c r="K1872" t="s">
        <v>41</v>
      </c>
      <c r="L1872" t="s">
        <v>23</v>
      </c>
      <c r="M1872" t="str">
        <f>VLOOKUP(D1876,Restaurant_Master!A:B,2,FALSE)</f>
        <v>https://media-cdn.tripadvisor.com/media/photo-s/1c/c7/97/b6/photo6jpg.jpg</v>
      </c>
    </row>
    <row r="1873" spans="1:13" x14ac:dyDescent="0.3">
      <c r="A1873" t="s">
        <v>1903</v>
      </c>
      <c r="B1873" s="1">
        <v>45486</v>
      </c>
      <c r="C1873" t="s">
        <v>13</v>
      </c>
      <c r="D1873" t="s">
        <v>14</v>
      </c>
      <c r="E1873">
        <v>49</v>
      </c>
      <c r="F1873" t="s">
        <v>28</v>
      </c>
      <c r="G1873">
        <v>778.19</v>
      </c>
      <c r="H1873">
        <v>60</v>
      </c>
      <c r="I1873" t="s">
        <v>16</v>
      </c>
      <c r="J1873">
        <v>3.2</v>
      </c>
      <c r="K1873" t="s">
        <v>17</v>
      </c>
      <c r="L1873" t="s">
        <v>23</v>
      </c>
      <c r="M1873" t="str">
        <f>VLOOKUP(D1877,Restaurant_Master!A:B,2,FALSE)</f>
        <v>https://www.chatswoodinterchange.com/storages/2018/08/Sushi-World_666x448.jpg</v>
      </c>
    </row>
    <row r="1874" spans="1:13" x14ac:dyDescent="0.3">
      <c r="A1874" t="s">
        <v>1904</v>
      </c>
      <c r="B1874" s="1">
        <v>45322</v>
      </c>
      <c r="C1874" t="s">
        <v>34</v>
      </c>
      <c r="D1874" t="s">
        <v>32</v>
      </c>
      <c r="E1874">
        <v>56</v>
      </c>
      <c r="F1874" t="s">
        <v>15</v>
      </c>
      <c r="G1874">
        <v>387.62</v>
      </c>
      <c r="H1874">
        <v>50</v>
      </c>
      <c r="I1874" t="s">
        <v>16</v>
      </c>
      <c r="J1874">
        <v>4.8</v>
      </c>
      <c r="K1874" t="s">
        <v>29</v>
      </c>
      <c r="L1874" t="s">
        <v>18</v>
      </c>
      <c r="M1874" t="str">
        <f>VLOOKUP(D1878,Restaurant_Master!A:B,2,FALSE)</f>
        <v>https://media-cdn.tripadvisor.com/media/photo-s/1c/c7/97/b6/photo6jpg.jpg</v>
      </c>
    </row>
    <row r="1875" spans="1:13" x14ac:dyDescent="0.3">
      <c r="A1875" t="s">
        <v>1905</v>
      </c>
      <c r="B1875" s="1">
        <v>45577</v>
      </c>
      <c r="C1875" t="s">
        <v>36</v>
      </c>
      <c r="D1875" t="s">
        <v>38</v>
      </c>
      <c r="E1875">
        <v>24</v>
      </c>
      <c r="F1875" t="s">
        <v>15</v>
      </c>
      <c r="G1875">
        <v>485.54</v>
      </c>
      <c r="H1875">
        <v>20</v>
      </c>
      <c r="I1875" t="s">
        <v>22</v>
      </c>
      <c r="J1875">
        <v>3.1</v>
      </c>
      <c r="K1875" t="s">
        <v>26</v>
      </c>
      <c r="L1875" t="s">
        <v>18</v>
      </c>
      <c r="M1875" t="str">
        <f>VLOOKUP(D1879,Restaurant_Master!A:B,2,FALSE)</f>
        <v>https://dineout-media-assets.swiggy.com/swiggy/image/upload/fl_lossy,f_auto,q_auto/v1660793737/fdqxvxcxg1wtdwvyv45v.jpg</v>
      </c>
    </row>
    <row r="1876" spans="1:13" x14ac:dyDescent="0.3">
      <c r="A1876" t="s">
        <v>1906</v>
      </c>
      <c r="B1876" s="1">
        <v>45299</v>
      </c>
      <c r="C1876" t="s">
        <v>34</v>
      </c>
      <c r="D1876" t="s">
        <v>25</v>
      </c>
      <c r="E1876">
        <v>32</v>
      </c>
      <c r="F1876" t="s">
        <v>28</v>
      </c>
      <c r="G1876">
        <v>1176.6099999999999</v>
      </c>
      <c r="H1876">
        <v>60</v>
      </c>
      <c r="I1876" t="s">
        <v>16</v>
      </c>
      <c r="J1876">
        <v>4.4000000000000004</v>
      </c>
      <c r="K1876" t="s">
        <v>29</v>
      </c>
      <c r="L1876" t="s">
        <v>23</v>
      </c>
      <c r="M1876" t="str">
        <f>VLOOKUP(D1880,Restaurant_Master!A:B,2,FALSE)</f>
        <v>https://content.jdmagicbox.com/comp/deoria/g6/9999p5568.5568.200119143033.m4g6/catalogue/biryani-house-deoria-ho-deoria-mktc2xph0o.jpg</v>
      </c>
    </row>
    <row r="1877" spans="1:13" x14ac:dyDescent="0.3">
      <c r="A1877" t="s">
        <v>1907</v>
      </c>
      <c r="B1877" s="1">
        <v>45577</v>
      </c>
      <c r="C1877" t="s">
        <v>43</v>
      </c>
      <c r="D1877" t="s">
        <v>38</v>
      </c>
      <c r="E1877">
        <v>37</v>
      </c>
      <c r="F1877" t="s">
        <v>28</v>
      </c>
      <c r="G1877">
        <v>281.52999999999997</v>
      </c>
      <c r="H1877">
        <v>56</v>
      </c>
      <c r="I1877" t="s">
        <v>16</v>
      </c>
      <c r="J1877">
        <v>2.6</v>
      </c>
      <c r="K1877" t="s">
        <v>17</v>
      </c>
      <c r="L1877" t="s">
        <v>23</v>
      </c>
      <c r="M1877" t="str">
        <f>VLOOKUP(D1881,Restaurant_Master!A:B,2,FALSE)</f>
        <v>https://media-cdn.tripadvisor.com/media/photo-s/1c/c7/97/b6/photo6jpg.jpg</v>
      </c>
    </row>
    <row r="1878" spans="1:13" x14ac:dyDescent="0.3">
      <c r="A1878" t="s">
        <v>1908</v>
      </c>
      <c r="B1878" s="1">
        <v>45554</v>
      </c>
      <c r="C1878" t="s">
        <v>13</v>
      </c>
      <c r="D1878" t="s">
        <v>25</v>
      </c>
      <c r="E1878">
        <v>49</v>
      </c>
      <c r="F1878" t="s">
        <v>28</v>
      </c>
      <c r="G1878">
        <v>1187.3399999999999</v>
      </c>
      <c r="H1878">
        <v>57</v>
      </c>
      <c r="I1878" t="s">
        <v>16</v>
      </c>
      <c r="J1878">
        <v>4.9000000000000004</v>
      </c>
      <c r="K1878" t="s">
        <v>17</v>
      </c>
      <c r="L1878" t="s">
        <v>18</v>
      </c>
      <c r="M1878" t="str">
        <f>VLOOKUP(D1882,Restaurant_Master!A:B,2,FALSE)</f>
        <v>https://www.chatswoodinterchange.com/storages/2018/08/Sushi-World_666x448.jpg</v>
      </c>
    </row>
    <row r="1879" spans="1:13" x14ac:dyDescent="0.3">
      <c r="A1879" t="s">
        <v>1909</v>
      </c>
      <c r="B1879" s="1">
        <v>45479</v>
      </c>
      <c r="C1879" t="s">
        <v>13</v>
      </c>
      <c r="D1879" t="s">
        <v>14</v>
      </c>
      <c r="E1879">
        <v>35</v>
      </c>
      <c r="F1879" t="s">
        <v>15</v>
      </c>
      <c r="G1879">
        <v>680.64</v>
      </c>
      <c r="H1879">
        <v>27</v>
      </c>
      <c r="I1879" t="s">
        <v>22</v>
      </c>
      <c r="J1879">
        <v>4.5999999999999996</v>
      </c>
      <c r="K1879" t="s">
        <v>29</v>
      </c>
      <c r="L1879" t="s">
        <v>23</v>
      </c>
      <c r="M1879" t="str">
        <f>VLOOKUP(D1883,Restaurant_Master!A:B,2,FALSE)</f>
        <v>https://www.chatswoodinterchange.com/storages/2018/08/Sushi-World_666x448.jpg</v>
      </c>
    </row>
    <row r="1880" spans="1:13" x14ac:dyDescent="0.3">
      <c r="A1880" t="s">
        <v>1910</v>
      </c>
      <c r="B1880" s="1">
        <v>45377</v>
      </c>
      <c r="C1880" t="s">
        <v>34</v>
      </c>
      <c r="D1880" t="s">
        <v>32</v>
      </c>
      <c r="E1880">
        <v>21</v>
      </c>
      <c r="F1880" t="s">
        <v>15</v>
      </c>
      <c r="G1880">
        <v>1194.57</v>
      </c>
      <c r="H1880">
        <v>47</v>
      </c>
      <c r="I1880" t="s">
        <v>16</v>
      </c>
      <c r="J1880">
        <v>3.4</v>
      </c>
      <c r="K1880" t="s">
        <v>26</v>
      </c>
      <c r="L1880" t="s">
        <v>18</v>
      </c>
      <c r="M1880" t="str">
        <f>VLOOKUP(D1884,Restaurant_Master!A:B,2,FALSE)</f>
        <v>https://dynamic-media-cdn.tripadvisor.com/media/photo-o/1c/e7/04/0d/front-of-the-local-easily.jpg</v>
      </c>
    </row>
    <row r="1881" spans="1:13" x14ac:dyDescent="0.3">
      <c r="A1881" t="s">
        <v>1911</v>
      </c>
      <c r="B1881" s="1">
        <v>45624</v>
      </c>
      <c r="C1881" t="s">
        <v>34</v>
      </c>
      <c r="D1881" t="s">
        <v>25</v>
      </c>
      <c r="E1881">
        <v>50</v>
      </c>
      <c r="F1881" t="s">
        <v>15</v>
      </c>
      <c r="G1881">
        <v>997.85</v>
      </c>
      <c r="H1881">
        <v>58</v>
      </c>
      <c r="I1881" t="s">
        <v>16</v>
      </c>
      <c r="J1881">
        <v>4</v>
      </c>
      <c r="K1881" t="s">
        <v>29</v>
      </c>
      <c r="L1881" t="s">
        <v>18</v>
      </c>
      <c r="M1881" t="str">
        <f>VLOOKUP(D1885,Restaurant_Master!A:B,2,FALSE)</f>
        <v>https://dynamic-media-cdn.tripadvisor.com/media/photo-o/1c/e7/04/0d/front-of-the-local-easily.jpg</v>
      </c>
    </row>
    <row r="1882" spans="1:13" x14ac:dyDescent="0.3">
      <c r="A1882" t="s">
        <v>1912</v>
      </c>
      <c r="B1882" s="1">
        <v>45616</v>
      </c>
      <c r="C1882" t="s">
        <v>36</v>
      </c>
      <c r="D1882" t="s">
        <v>38</v>
      </c>
      <c r="E1882">
        <v>52</v>
      </c>
      <c r="F1882" t="s">
        <v>28</v>
      </c>
      <c r="G1882">
        <v>782.35</v>
      </c>
      <c r="H1882">
        <v>38</v>
      </c>
      <c r="I1882" t="s">
        <v>22</v>
      </c>
      <c r="J1882">
        <v>4.7</v>
      </c>
      <c r="K1882" t="s">
        <v>17</v>
      </c>
      <c r="L1882" t="s">
        <v>23</v>
      </c>
      <c r="M1882" t="str">
        <f>VLOOKUP(D1886,Restaurant_Master!A:B,2,FALSE)</f>
        <v>https://content.jdmagicbox.com/comp/deoria/g6/9999p5568.5568.200119143033.m4g6/catalogue/biryani-house-deoria-ho-deoria-mktc2xph0o.jpg</v>
      </c>
    </row>
    <row r="1883" spans="1:13" x14ac:dyDescent="0.3">
      <c r="A1883" t="s">
        <v>1913</v>
      </c>
      <c r="B1883" s="1">
        <v>45403</v>
      </c>
      <c r="C1883" t="s">
        <v>13</v>
      </c>
      <c r="D1883" t="s">
        <v>38</v>
      </c>
      <c r="E1883">
        <v>60</v>
      </c>
      <c r="F1883" t="s">
        <v>15</v>
      </c>
      <c r="G1883">
        <v>576.89</v>
      </c>
      <c r="H1883">
        <v>29</v>
      </c>
      <c r="I1883" t="s">
        <v>22</v>
      </c>
      <c r="J1883">
        <v>4.0999999999999996</v>
      </c>
      <c r="K1883" t="s">
        <v>17</v>
      </c>
      <c r="L1883" t="s">
        <v>18</v>
      </c>
      <c r="M1883" t="str">
        <f>VLOOKUP(D1887,Restaurant_Master!A:B,2,FALSE)</f>
        <v>https://media-cdn.tripadvisor.com/media/photo-s/1c/c7/97/b6/photo6jpg.jpg</v>
      </c>
    </row>
    <row r="1884" spans="1:13" x14ac:dyDescent="0.3">
      <c r="A1884" t="s">
        <v>1914</v>
      </c>
      <c r="B1884" s="1">
        <v>45478</v>
      </c>
      <c r="C1884" t="s">
        <v>34</v>
      </c>
      <c r="D1884" t="s">
        <v>21</v>
      </c>
      <c r="E1884">
        <v>27</v>
      </c>
      <c r="F1884" t="s">
        <v>15</v>
      </c>
      <c r="G1884">
        <v>784.17</v>
      </c>
      <c r="H1884">
        <v>35</v>
      </c>
      <c r="I1884" t="s">
        <v>22</v>
      </c>
      <c r="J1884">
        <v>4.2</v>
      </c>
      <c r="K1884" t="s">
        <v>29</v>
      </c>
      <c r="L1884" t="s">
        <v>23</v>
      </c>
      <c r="M1884" t="str">
        <f>VLOOKUP(D1888,Restaurant_Master!A:B,2,FALSE)</f>
        <v>https://media-cdn.tripadvisor.com/media/photo-s/1c/c7/97/b6/photo6jpg.jpg</v>
      </c>
    </row>
    <row r="1885" spans="1:13" x14ac:dyDescent="0.3">
      <c r="A1885" t="s">
        <v>1915</v>
      </c>
      <c r="B1885" s="1">
        <v>45452</v>
      </c>
      <c r="C1885" t="s">
        <v>34</v>
      </c>
      <c r="D1885" t="s">
        <v>21</v>
      </c>
      <c r="E1885">
        <v>40</v>
      </c>
      <c r="F1885" t="s">
        <v>15</v>
      </c>
      <c r="G1885">
        <v>946.08</v>
      </c>
      <c r="H1885">
        <v>38</v>
      </c>
      <c r="I1885" t="s">
        <v>22</v>
      </c>
      <c r="J1885">
        <v>3.2</v>
      </c>
      <c r="K1885" t="s">
        <v>17</v>
      </c>
      <c r="L1885" t="s">
        <v>23</v>
      </c>
      <c r="M1885" t="str">
        <f>VLOOKUP(D1889,Restaurant_Master!A:B,2,FALSE)</f>
        <v>https://media-cdn.tripadvisor.com/media/photo-s/1c/c7/97/b6/photo6jpg.jpg</v>
      </c>
    </row>
    <row r="1886" spans="1:13" x14ac:dyDescent="0.3">
      <c r="A1886" t="s">
        <v>1916</v>
      </c>
      <c r="B1886" s="1">
        <v>45627</v>
      </c>
      <c r="C1886" t="s">
        <v>36</v>
      </c>
      <c r="D1886" t="s">
        <v>32</v>
      </c>
      <c r="E1886">
        <v>29</v>
      </c>
      <c r="F1886" t="s">
        <v>15</v>
      </c>
      <c r="G1886">
        <v>925.12</v>
      </c>
      <c r="H1886">
        <v>25</v>
      </c>
      <c r="I1886" t="s">
        <v>22</v>
      </c>
      <c r="J1886">
        <v>2.8</v>
      </c>
      <c r="K1886" t="s">
        <v>29</v>
      </c>
      <c r="L1886" t="s">
        <v>23</v>
      </c>
      <c r="M1886" t="str">
        <f>VLOOKUP(D1890,Restaurant_Master!A:B,2,FALSE)</f>
        <v>https://www.chatswoodinterchange.com/storages/2018/08/Sushi-World_666x448.jpg</v>
      </c>
    </row>
    <row r="1887" spans="1:13" x14ac:dyDescent="0.3">
      <c r="A1887" t="s">
        <v>1917</v>
      </c>
      <c r="B1887" s="1">
        <v>45322</v>
      </c>
      <c r="C1887" t="s">
        <v>43</v>
      </c>
      <c r="D1887" t="s">
        <v>25</v>
      </c>
      <c r="E1887">
        <v>58</v>
      </c>
      <c r="F1887" t="s">
        <v>15</v>
      </c>
      <c r="G1887">
        <v>421.23</v>
      </c>
      <c r="H1887">
        <v>60</v>
      </c>
      <c r="I1887" t="s">
        <v>16</v>
      </c>
      <c r="J1887">
        <v>2.9</v>
      </c>
      <c r="K1887" t="s">
        <v>26</v>
      </c>
      <c r="L1887" t="s">
        <v>18</v>
      </c>
      <c r="M1887" t="str">
        <f>VLOOKUP(D1891,Restaurant_Master!A:B,2,FALSE)</f>
        <v>https://dynamic-media-cdn.tripadvisor.com/media/photo-o/1c/e7/04/0d/front-of-the-local-easily.jpg</v>
      </c>
    </row>
    <row r="1888" spans="1:13" x14ac:dyDescent="0.3">
      <c r="A1888" t="s">
        <v>1918</v>
      </c>
      <c r="B1888" s="1">
        <v>45635</v>
      </c>
      <c r="C1888" t="s">
        <v>20</v>
      </c>
      <c r="D1888" t="s">
        <v>25</v>
      </c>
      <c r="E1888">
        <v>51</v>
      </c>
      <c r="F1888" t="s">
        <v>28</v>
      </c>
      <c r="G1888">
        <v>1114.83</v>
      </c>
      <c r="H1888">
        <v>35</v>
      </c>
      <c r="I1888" t="s">
        <v>22</v>
      </c>
      <c r="J1888">
        <v>2.8</v>
      </c>
      <c r="K1888" t="s">
        <v>26</v>
      </c>
      <c r="L1888" t="s">
        <v>23</v>
      </c>
      <c r="M1888" t="str">
        <f>VLOOKUP(D1892,Restaurant_Master!A:B,2,FALSE)</f>
        <v>https://dineout-media-assets.swiggy.com/swiggy/image/upload/fl_lossy,f_auto,q_auto/v1660793737/fdqxvxcxg1wtdwvyv45v.jpg</v>
      </c>
    </row>
    <row r="1889" spans="1:13" x14ac:dyDescent="0.3">
      <c r="A1889" t="s">
        <v>1919</v>
      </c>
      <c r="B1889" s="1">
        <v>45640</v>
      </c>
      <c r="C1889" t="s">
        <v>13</v>
      </c>
      <c r="D1889" t="s">
        <v>25</v>
      </c>
      <c r="E1889">
        <v>26</v>
      </c>
      <c r="F1889" t="s">
        <v>15</v>
      </c>
      <c r="G1889">
        <v>460.97</v>
      </c>
      <c r="H1889">
        <v>36</v>
      </c>
      <c r="I1889" t="s">
        <v>22</v>
      </c>
      <c r="J1889">
        <v>4.3</v>
      </c>
      <c r="K1889" t="s">
        <v>17</v>
      </c>
      <c r="L1889" t="s">
        <v>18</v>
      </c>
      <c r="M1889" t="str">
        <f>VLOOKUP(D1893,Restaurant_Master!A:B,2,FALSE)</f>
        <v>https://www.chatswoodinterchange.com/storages/2018/08/Sushi-World_666x448.jpg</v>
      </c>
    </row>
    <row r="1890" spans="1:13" x14ac:dyDescent="0.3">
      <c r="A1890" t="s">
        <v>1920</v>
      </c>
      <c r="B1890" s="1">
        <v>45577</v>
      </c>
      <c r="C1890" t="s">
        <v>13</v>
      </c>
      <c r="D1890" t="s">
        <v>38</v>
      </c>
      <c r="E1890">
        <v>50</v>
      </c>
      <c r="F1890" t="s">
        <v>28</v>
      </c>
      <c r="G1890">
        <v>780.73</v>
      </c>
      <c r="H1890">
        <v>32</v>
      </c>
      <c r="I1890" t="s">
        <v>22</v>
      </c>
      <c r="J1890">
        <v>3.6</v>
      </c>
      <c r="K1890" t="s">
        <v>41</v>
      </c>
      <c r="L1890" t="s">
        <v>23</v>
      </c>
      <c r="M1890" t="str">
        <f>VLOOKUP(D1894,Restaurant_Master!A:B,2,FALSE)</f>
        <v>https://www.chatswoodinterchange.com/storages/2018/08/Sushi-World_666x448.jpg</v>
      </c>
    </row>
    <row r="1891" spans="1:13" x14ac:dyDescent="0.3">
      <c r="A1891" t="s">
        <v>1921</v>
      </c>
      <c r="B1891" s="1">
        <v>45403</v>
      </c>
      <c r="C1891" t="s">
        <v>43</v>
      </c>
      <c r="D1891" t="s">
        <v>21</v>
      </c>
      <c r="E1891">
        <v>34</v>
      </c>
      <c r="F1891" t="s">
        <v>28</v>
      </c>
      <c r="G1891">
        <v>747.95</v>
      </c>
      <c r="H1891">
        <v>31</v>
      </c>
      <c r="I1891" t="s">
        <v>22</v>
      </c>
      <c r="J1891">
        <v>4.0999999999999996</v>
      </c>
      <c r="K1891" t="s">
        <v>17</v>
      </c>
      <c r="L1891" t="s">
        <v>23</v>
      </c>
      <c r="M1891" t="str">
        <f>VLOOKUP(D1895,Restaurant_Master!A:B,2,FALSE)</f>
        <v>https://dynamic-media-cdn.tripadvisor.com/media/photo-o/1c/e7/04/0d/front-of-the-local-easily.jpg</v>
      </c>
    </row>
    <row r="1892" spans="1:13" x14ac:dyDescent="0.3">
      <c r="A1892" t="s">
        <v>1922</v>
      </c>
      <c r="B1892" s="1">
        <v>45326</v>
      </c>
      <c r="C1892" t="s">
        <v>43</v>
      </c>
      <c r="D1892" t="s">
        <v>14</v>
      </c>
      <c r="E1892">
        <v>54</v>
      </c>
      <c r="F1892" t="s">
        <v>15</v>
      </c>
      <c r="G1892">
        <v>635.07000000000005</v>
      </c>
      <c r="H1892">
        <v>40</v>
      </c>
      <c r="I1892" t="s">
        <v>22</v>
      </c>
      <c r="J1892">
        <v>4.7</v>
      </c>
      <c r="K1892" t="s">
        <v>41</v>
      </c>
      <c r="L1892" t="s">
        <v>23</v>
      </c>
      <c r="M1892" t="str">
        <f>VLOOKUP(D1896,Restaurant_Master!A:B,2,FALSE)</f>
        <v>https://content.jdmagicbox.com/comp/deoria/g6/9999p5568.5568.200119143033.m4g6/catalogue/biryani-house-deoria-ho-deoria-mktc2xph0o.jpg</v>
      </c>
    </row>
    <row r="1893" spans="1:13" x14ac:dyDescent="0.3">
      <c r="A1893" t="s">
        <v>1923</v>
      </c>
      <c r="B1893" s="1">
        <v>45477</v>
      </c>
      <c r="C1893" t="s">
        <v>20</v>
      </c>
      <c r="D1893" t="s">
        <v>38</v>
      </c>
      <c r="E1893">
        <v>37</v>
      </c>
      <c r="F1893" t="s">
        <v>15</v>
      </c>
      <c r="G1893">
        <v>515.61</v>
      </c>
      <c r="H1893">
        <v>37</v>
      </c>
      <c r="I1893" t="s">
        <v>22</v>
      </c>
      <c r="J1893">
        <v>4.3</v>
      </c>
      <c r="K1893" t="s">
        <v>17</v>
      </c>
      <c r="L1893" t="s">
        <v>18</v>
      </c>
      <c r="M1893" t="str">
        <f>VLOOKUP(D1897,Restaurant_Master!A:B,2,FALSE)</f>
        <v>https://www.chatswoodinterchange.com/storages/2018/08/Sushi-World_666x448.jpg</v>
      </c>
    </row>
    <row r="1894" spans="1:13" x14ac:dyDescent="0.3">
      <c r="A1894" t="s">
        <v>1924</v>
      </c>
      <c r="B1894" s="1">
        <v>45481</v>
      </c>
      <c r="C1894" t="s">
        <v>36</v>
      </c>
      <c r="D1894" t="s">
        <v>38</v>
      </c>
      <c r="E1894">
        <v>21</v>
      </c>
      <c r="F1894" t="s">
        <v>28</v>
      </c>
      <c r="G1894">
        <v>689.57</v>
      </c>
      <c r="H1894">
        <v>44</v>
      </c>
      <c r="I1894" t="s">
        <v>16</v>
      </c>
      <c r="J1894">
        <v>4.0999999999999996</v>
      </c>
      <c r="K1894" t="s">
        <v>17</v>
      </c>
      <c r="L1894" t="s">
        <v>23</v>
      </c>
      <c r="M1894" t="str">
        <f>VLOOKUP(D1898,Restaurant_Master!A:B,2,FALSE)</f>
        <v>https://content.jdmagicbox.com/comp/deoria/g6/9999p5568.5568.200119143033.m4g6/catalogue/biryani-house-deoria-ho-deoria-mktc2xph0o.jpg</v>
      </c>
    </row>
    <row r="1895" spans="1:13" x14ac:dyDescent="0.3">
      <c r="A1895" t="s">
        <v>1925</v>
      </c>
      <c r="B1895" s="1">
        <v>45344</v>
      </c>
      <c r="C1895" t="s">
        <v>43</v>
      </c>
      <c r="D1895" t="s">
        <v>21</v>
      </c>
      <c r="E1895">
        <v>23</v>
      </c>
      <c r="F1895" t="s">
        <v>15</v>
      </c>
      <c r="G1895">
        <v>860.53</v>
      </c>
      <c r="H1895">
        <v>32</v>
      </c>
      <c r="I1895" t="s">
        <v>22</v>
      </c>
      <c r="J1895">
        <v>3.2</v>
      </c>
      <c r="K1895" t="s">
        <v>17</v>
      </c>
      <c r="L1895" t="s">
        <v>18</v>
      </c>
      <c r="M1895" t="str">
        <f>VLOOKUP(D1899,Restaurant_Master!A:B,2,FALSE)</f>
        <v>https://media-cdn.tripadvisor.com/media/photo-s/1c/c7/97/b6/photo6jpg.jpg</v>
      </c>
    </row>
    <row r="1896" spans="1:13" x14ac:dyDescent="0.3">
      <c r="A1896" t="s">
        <v>1926</v>
      </c>
      <c r="B1896" s="1">
        <v>45591</v>
      </c>
      <c r="C1896" t="s">
        <v>20</v>
      </c>
      <c r="D1896" t="s">
        <v>32</v>
      </c>
      <c r="E1896">
        <v>56</v>
      </c>
      <c r="F1896" t="s">
        <v>28</v>
      </c>
      <c r="G1896">
        <v>927.71</v>
      </c>
      <c r="H1896">
        <v>36</v>
      </c>
      <c r="I1896" t="s">
        <v>22</v>
      </c>
      <c r="J1896">
        <v>3.5</v>
      </c>
      <c r="K1896" t="s">
        <v>17</v>
      </c>
      <c r="L1896" t="s">
        <v>18</v>
      </c>
      <c r="M1896" t="str">
        <f>VLOOKUP(D1900,Restaurant_Master!A:B,2,FALSE)</f>
        <v>https://content.jdmagicbox.com/comp/deoria/g6/9999p5568.5568.200119143033.m4g6/catalogue/biryani-house-deoria-ho-deoria-mktc2xph0o.jpg</v>
      </c>
    </row>
    <row r="1897" spans="1:13" x14ac:dyDescent="0.3">
      <c r="A1897" t="s">
        <v>1927</v>
      </c>
      <c r="B1897" s="1">
        <v>45479</v>
      </c>
      <c r="C1897" t="s">
        <v>13</v>
      </c>
      <c r="D1897" t="s">
        <v>38</v>
      </c>
      <c r="E1897">
        <v>30</v>
      </c>
      <c r="F1897" t="s">
        <v>15</v>
      </c>
      <c r="G1897">
        <v>1096.3599999999999</v>
      </c>
      <c r="H1897">
        <v>51</v>
      </c>
      <c r="I1897" t="s">
        <v>16</v>
      </c>
      <c r="J1897">
        <v>3.5</v>
      </c>
      <c r="K1897" t="s">
        <v>17</v>
      </c>
      <c r="L1897" t="s">
        <v>23</v>
      </c>
      <c r="M1897" t="str">
        <f>VLOOKUP(D1901,Restaurant_Master!A:B,2,FALSE)</f>
        <v>https://content.jdmagicbox.com/comp/deoria/g6/9999p5568.5568.200119143033.m4g6/catalogue/biryani-house-deoria-ho-deoria-mktc2xph0o.jpg</v>
      </c>
    </row>
    <row r="1898" spans="1:13" x14ac:dyDescent="0.3">
      <c r="A1898" t="s">
        <v>1928</v>
      </c>
      <c r="B1898" s="1">
        <v>45550</v>
      </c>
      <c r="C1898" t="s">
        <v>43</v>
      </c>
      <c r="D1898" t="s">
        <v>32</v>
      </c>
      <c r="E1898">
        <v>32</v>
      </c>
      <c r="F1898" t="s">
        <v>28</v>
      </c>
      <c r="G1898">
        <v>618.51</v>
      </c>
      <c r="H1898">
        <v>59</v>
      </c>
      <c r="I1898" t="s">
        <v>16</v>
      </c>
      <c r="J1898">
        <v>4.7</v>
      </c>
      <c r="K1898" t="s">
        <v>26</v>
      </c>
      <c r="L1898" t="s">
        <v>23</v>
      </c>
      <c r="M1898" t="str">
        <f>VLOOKUP(D1902,Restaurant_Master!A:B,2,FALSE)</f>
        <v>https://dineout-media-assets.swiggy.com/swiggy/image/upload/fl_lossy,f_auto,q_auto/v1660793737/fdqxvxcxg1wtdwvyv45v.jpg</v>
      </c>
    </row>
    <row r="1899" spans="1:13" x14ac:dyDescent="0.3">
      <c r="A1899" t="s">
        <v>1929</v>
      </c>
      <c r="B1899" s="1">
        <v>45467</v>
      </c>
      <c r="C1899" t="s">
        <v>34</v>
      </c>
      <c r="D1899" t="s">
        <v>25</v>
      </c>
      <c r="E1899">
        <v>50</v>
      </c>
      <c r="F1899" t="s">
        <v>28</v>
      </c>
      <c r="G1899">
        <v>766.62</v>
      </c>
      <c r="H1899">
        <v>47</v>
      </c>
      <c r="I1899" t="s">
        <v>16</v>
      </c>
      <c r="J1899">
        <v>3.6</v>
      </c>
      <c r="K1899" t="s">
        <v>29</v>
      </c>
      <c r="L1899" t="s">
        <v>23</v>
      </c>
      <c r="M1899" t="str">
        <f>VLOOKUP(D1903,Restaurant_Master!A:B,2,FALSE)</f>
        <v>https://dineout-media-assets.swiggy.com/swiggy/image/upload/fl_lossy,f_auto,q_auto/v1660793737/fdqxvxcxg1wtdwvyv45v.jpg</v>
      </c>
    </row>
    <row r="1900" spans="1:13" x14ac:dyDescent="0.3">
      <c r="A1900" t="s">
        <v>1930</v>
      </c>
      <c r="B1900" s="1">
        <v>45600</v>
      </c>
      <c r="C1900" t="s">
        <v>34</v>
      </c>
      <c r="D1900" t="s">
        <v>32</v>
      </c>
      <c r="E1900">
        <v>20</v>
      </c>
      <c r="F1900" t="s">
        <v>28</v>
      </c>
      <c r="G1900">
        <v>691.21</v>
      </c>
      <c r="H1900">
        <v>44</v>
      </c>
      <c r="I1900" t="s">
        <v>16</v>
      </c>
      <c r="J1900">
        <v>5</v>
      </c>
      <c r="K1900" t="s">
        <v>17</v>
      </c>
      <c r="L1900" t="s">
        <v>18</v>
      </c>
      <c r="M1900" t="str">
        <f>VLOOKUP(D1904,Restaurant_Master!A:B,2,FALSE)</f>
        <v>https://dineout-media-assets.swiggy.com/swiggy/image/upload/fl_lossy,f_auto,q_auto/v1660793737/fdqxvxcxg1wtdwvyv45v.jpg</v>
      </c>
    </row>
    <row r="1901" spans="1:13" x14ac:dyDescent="0.3">
      <c r="A1901" t="s">
        <v>1931</v>
      </c>
      <c r="B1901" s="1">
        <v>45596</v>
      </c>
      <c r="C1901" t="s">
        <v>43</v>
      </c>
      <c r="D1901" t="s">
        <v>32</v>
      </c>
      <c r="E1901">
        <v>50</v>
      </c>
      <c r="F1901" t="s">
        <v>28</v>
      </c>
      <c r="G1901">
        <v>709.35</v>
      </c>
      <c r="H1901">
        <v>21</v>
      </c>
      <c r="I1901" t="s">
        <v>22</v>
      </c>
      <c r="J1901">
        <v>2.6</v>
      </c>
      <c r="K1901" t="s">
        <v>41</v>
      </c>
      <c r="L1901" t="s">
        <v>23</v>
      </c>
      <c r="M1901" t="str">
        <f>VLOOKUP(D1905,Restaurant_Master!A:B,2,FALSE)</f>
        <v>https://dynamic-media-cdn.tripadvisor.com/media/photo-o/1c/e7/04/0d/front-of-the-local-easily.jpg</v>
      </c>
    </row>
    <row r="1902" spans="1:13" x14ac:dyDescent="0.3">
      <c r="A1902" t="s">
        <v>1932</v>
      </c>
      <c r="B1902" s="1">
        <v>45478</v>
      </c>
      <c r="C1902" t="s">
        <v>43</v>
      </c>
      <c r="D1902" t="s">
        <v>14</v>
      </c>
      <c r="E1902">
        <v>29</v>
      </c>
      <c r="F1902" t="s">
        <v>28</v>
      </c>
      <c r="G1902">
        <v>368.99</v>
      </c>
      <c r="H1902">
        <v>40</v>
      </c>
      <c r="I1902" t="s">
        <v>22</v>
      </c>
      <c r="J1902">
        <v>3.6</v>
      </c>
      <c r="K1902" t="s">
        <v>29</v>
      </c>
      <c r="L1902" t="s">
        <v>18</v>
      </c>
      <c r="M1902" t="str">
        <f>VLOOKUP(D1906,Restaurant_Master!A:B,2,FALSE)</f>
        <v>https://content.jdmagicbox.com/comp/deoria/g6/9999p5568.5568.200119143033.m4g6/catalogue/biryani-house-deoria-ho-deoria-mktc2xph0o.jpg</v>
      </c>
    </row>
    <row r="1903" spans="1:13" x14ac:dyDescent="0.3">
      <c r="A1903" t="s">
        <v>1933</v>
      </c>
      <c r="B1903" s="1">
        <v>45335</v>
      </c>
      <c r="C1903" t="s">
        <v>34</v>
      </c>
      <c r="D1903" t="s">
        <v>14</v>
      </c>
      <c r="E1903">
        <v>45</v>
      </c>
      <c r="F1903" t="s">
        <v>28</v>
      </c>
      <c r="G1903">
        <v>330.07</v>
      </c>
      <c r="H1903">
        <v>25</v>
      </c>
      <c r="I1903" t="s">
        <v>22</v>
      </c>
      <c r="J1903">
        <v>3.2</v>
      </c>
      <c r="K1903" t="s">
        <v>41</v>
      </c>
      <c r="L1903" t="s">
        <v>23</v>
      </c>
      <c r="M1903" t="str">
        <f>VLOOKUP(D1907,Restaurant_Master!A:B,2,FALSE)</f>
        <v>https://dynamic-media-cdn.tripadvisor.com/media/photo-o/1c/e7/04/0d/front-of-the-local-easily.jpg</v>
      </c>
    </row>
    <row r="1904" spans="1:13" x14ac:dyDescent="0.3">
      <c r="A1904" t="s">
        <v>1934</v>
      </c>
      <c r="B1904" s="1">
        <v>45496</v>
      </c>
      <c r="C1904" t="s">
        <v>36</v>
      </c>
      <c r="D1904" t="s">
        <v>14</v>
      </c>
      <c r="E1904">
        <v>34</v>
      </c>
      <c r="F1904" t="s">
        <v>28</v>
      </c>
      <c r="G1904">
        <v>924.78</v>
      </c>
      <c r="H1904">
        <v>59</v>
      </c>
      <c r="I1904" t="s">
        <v>16</v>
      </c>
      <c r="J1904">
        <v>2.7</v>
      </c>
      <c r="K1904" t="s">
        <v>41</v>
      </c>
      <c r="L1904" t="s">
        <v>23</v>
      </c>
      <c r="M1904" t="str">
        <f>VLOOKUP(D1908,Restaurant_Master!A:B,2,FALSE)</f>
        <v>https://www.chatswoodinterchange.com/storages/2018/08/Sushi-World_666x448.jpg</v>
      </c>
    </row>
    <row r="1905" spans="1:13" x14ac:dyDescent="0.3">
      <c r="A1905" t="s">
        <v>1935</v>
      </c>
      <c r="B1905" s="1">
        <v>45319</v>
      </c>
      <c r="C1905" t="s">
        <v>43</v>
      </c>
      <c r="D1905" t="s">
        <v>21</v>
      </c>
      <c r="E1905">
        <v>50</v>
      </c>
      <c r="F1905" t="s">
        <v>28</v>
      </c>
      <c r="G1905">
        <v>493.88</v>
      </c>
      <c r="H1905">
        <v>25</v>
      </c>
      <c r="I1905" t="s">
        <v>22</v>
      </c>
      <c r="J1905">
        <v>3.8</v>
      </c>
      <c r="K1905" t="s">
        <v>29</v>
      </c>
      <c r="L1905" t="s">
        <v>18</v>
      </c>
      <c r="M1905" t="str">
        <f>VLOOKUP(D1909,Restaurant_Master!A:B,2,FALSE)</f>
        <v>https://dineout-media-assets.swiggy.com/swiggy/image/upload/fl_lossy,f_auto,q_auto/v1660793737/fdqxvxcxg1wtdwvyv45v.jpg</v>
      </c>
    </row>
    <row r="1906" spans="1:13" x14ac:dyDescent="0.3">
      <c r="A1906" t="s">
        <v>1936</v>
      </c>
      <c r="B1906" s="1">
        <v>45450</v>
      </c>
      <c r="C1906" t="s">
        <v>43</v>
      </c>
      <c r="D1906" t="s">
        <v>32</v>
      </c>
      <c r="E1906">
        <v>44</v>
      </c>
      <c r="F1906" t="s">
        <v>28</v>
      </c>
      <c r="G1906">
        <v>1050.45</v>
      </c>
      <c r="H1906">
        <v>49</v>
      </c>
      <c r="I1906" t="s">
        <v>16</v>
      </c>
      <c r="J1906">
        <v>3.1</v>
      </c>
      <c r="K1906" t="s">
        <v>26</v>
      </c>
      <c r="L1906" t="s">
        <v>23</v>
      </c>
      <c r="M1906" t="str">
        <f>VLOOKUP(D1910,Restaurant_Master!A:B,2,FALSE)</f>
        <v>https://dineout-media-assets.swiggy.com/swiggy/image/upload/fl_lossy,f_auto,q_auto/v1660793737/fdqxvxcxg1wtdwvyv45v.jpg</v>
      </c>
    </row>
    <row r="1907" spans="1:13" x14ac:dyDescent="0.3">
      <c r="A1907" t="s">
        <v>1937</v>
      </c>
      <c r="B1907" s="1">
        <v>45654</v>
      </c>
      <c r="C1907" t="s">
        <v>34</v>
      </c>
      <c r="D1907" t="s">
        <v>21</v>
      </c>
      <c r="E1907">
        <v>49</v>
      </c>
      <c r="F1907" t="s">
        <v>15</v>
      </c>
      <c r="G1907">
        <v>1180.68</v>
      </c>
      <c r="H1907">
        <v>43</v>
      </c>
      <c r="I1907" t="s">
        <v>16</v>
      </c>
      <c r="J1907">
        <v>3.4</v>
      </c>
      <c r="K1907" t="s">
        <v>17</v>
      </c>
      <c r="L1907" t="s">
        <v>18</v>
      </c>
      <c r="M1907" t="str">
        <f>VLOOKUP(D1911,Restaurant_Master!A:B,2,FALSE)</f>
        <v>https://content.jdmagicbox.com/comp/deoria/g6/9999p5568.5568.200119143033.m4g6/catalogue/biryani-house-deoria-ho-deoria-mktc2xph0o.jpg</v>
      </c>
    </row>
    <row r="1908" spans="1:13" x14ac:dyDescent="0.3">
      <c r="A1908" t="s">
        <v>1938</v>
      </c>
      <c r="B1908" s="1">
        <v>45321</v>
      </c>
      <c r="C1908" t="s">
        <v>36</v>
      </c>
      <c r="D1908" t="s">
        <v>38</v>
      </c>
      <c r="E1908">
        <v>21</v>
      </c>
      <c r="F1908" t="s">
        <v>15</v>
      </c>
      <c r="G1908">
        <v>939.63</v>
      </c>
      <c r="H1908">
        <v>52</v>
      </c>
      <c r="I1908" t="s">
        <v>16</v>
      </c>
      <c r="J1908">
        <v>3.2</v>
      </c>
      <c r="K1908" t="s">
        <v>41</v>
      </c>
      <c r="L1908" t="s">
        <v>18</v>
      </c>
      <c r="M1908" t="str">
        <f>VLOOKUP(D1912,Restaurant_Master!A:B,2,FALSE)</f>
        <v>https://dynamic-media-cdn.tripadvisor.com/media/photo-o/1c/e7/04/0d/front-of-the-local-easily.jpg</v>
      </c>
    </row>
    <row r="1909" spans="1:13" x14ac:dyDescent="0.3">
      <c r="A1909" t="s">
        <v>1939</v>
      </c>
      <c r="B1909" s="1">
        <v>45332</v>
      </c>
      <c r="C1909" t="s">
        <v>36</v>
      </c>
      <c r="D1909" t="s">
        <v>14</v>
      </c>
      <c r="E1909">
        <v>59</v>
      </c>
      <c r="F1909" t="s">
        <v>15</v>
      </c>
      <c r="G1909">
        <v>230.13</v>
      </c>
      <c r="H1909">
        <v>55</v>
      </c>
      <c r="I1909" t="s">
        <v>16</v>
      </c>
      <c r="J1909">
        <v>3.5</v>
      </c>
      <c r="K1909" t="s">
        <v>41</v>
      </c>
      <c r="L1909" t="s">
        <v>23</v>
      </c>
      <c r="M1909" t="str">
        <f>VLOOKUP(D1913,Restaurant_Master!A:B,2,FALSE)</f>
        <v>https://dynamic-media-cdn.tripadvisor.com/media/photo-o/1c/e7/04/0d/front-of-the-local-easily.jpg</v>
      </c>
    </row>
    <row r="1910" spans="1:13" x14ac:dyDescent="0.3">
      <c r="A1910" t="s">
        <v>1940</v>
      </c>
      <c r="B1910" s="1">
        <v>45375</v>
      </c>
      <c r="C1910" t="s">
        <v>13</v>
      </c>
      <c r="D1910" t="s">
        <v>14</v>
      </c>
      <c r="E1910">
        <v>45</v>
      </c>
      <c r="F1910" t="s">
        <v>15</v>
      </c>
      <c r="G1910">
        <v>1164.19</v>
      </c>
      <c r="H1910">
        <v>33</v>
      </c>
      <c r="I1910" t="s">
        <v>22</v>
      </c>
      <c r="J1910">
        <v>4</v>
      </c>
      <c r="K1910" t="s">
        <v>41</v>
      </c>
      <c r="L1910" t="s">
        <v>23</v>
      </c>
      <c r="M1910" t="str">
        <f>VLOOKUP(D1914,Restaurant_Master!A:B,2,FALSE)</f>
        <v>https://dynamic-media-cdn.tripadvisor.com/media/photo-o/1c/e7/04/0d/front-of-the-local-easily.jpg</v>
      </c>
    </row>
    <row r="1911" spans="1:13" x14ac:dyDescent="0.3">
      <c r="A1911" t="s">
        <v>1941</v>
      </c>
      <c r="B1911" s="1">
        <v>45357</v>
      </c>
      <c r="C1911" t="s">
        <v>34</v>
      </c>
      <c r="D1911" t="s">
        <v>32</v>
      </c>
      <c r="E1911">
        <v>55</v>
      </c>
      <c r="F1911" t="s">
        <v>15</v>
      </c>
      <c r="G1911">
        <v>417.5</v>
      </c>
      <c r="H1911">
        <v>39</v>
      </c>
      <c r="I1911" t="s">
        <v>22</v>
      </c>
      <c r="J1911">
        <v>2.8</v>
      </c>
      <c r="K1911" t="s">
        <v>29</v>
      </c>
      <c r="L1911" t="s">
        <v>18</v>
      </c>
      <c r="M1911" t="str">
        <f>VLOOKUP(D1915,Restaurant_Master!A:B,2,FALSE)</f>
        <v>https://content.jdmagicbox.com/comp/deoria/g6/9999p5568.5568.200119143033.m4g6/catalogue/biryani-house-deoria-ho-deoria-mktc2xph0o.jpg</v>
      </c>
    </row>
    <row r="1912" spans="1:13" x14ac:dyDescent="0.3">
      <c r="A1912" t="s">
        <v>1942</v>
      </c>
      <c r="B1912" s="1">
        <v>45482</v>
      </c>
      <c r="C1912" t="s">
        <v>20</v>
      </c>
      <c r="D1912" t="s">
        <v>21</v>
      </c>
      <c r="E1912">
        <v>27</v>
      </c>
      <c r="F1912" t="s">
        <v>15</v>
      </c>
      <c r="G1912">
        <v>1056.72</v>
      </c>
      <c r="H1912">
        <v>60</v>
      </c>
      <c r="I1912" t="s">
        <v>16</v>
      </c>
      <c r="J1912">
        <v>3.6</v>
      </c>
      <c r="K1912" t="s">
        <v>26</v>
      </c>
      <c r="L1912" t="s">
        <v>23</v>
      </c>
      <c r="M1912" t="str">
        <f>VLOOKUP(D1916,Restaurant_Master!A:B,2,FALSE)</f>
        <v>https://dineout-media-assets.swiggy.com/swiggy/image/upload/fl_lossy,f_auto,q_auto/v1660793737/fdqxvxcxg1wtdwvyv45v.jpg</v>
      </c>
    </row>
    <row r="1913" spans="1:13" x14ac:dyDescent="0.3">
      <c r="A1913" t="s">
        <v>1943</v>
      </c>
      <c r="B1913" s="1">
        <v>45327</v>
      </c>
      <c r="C1913" t="s">
        <v>43</v>
      </c>
      <c r="D1913" t="s">
        <v>21</v>
      </c>
      <c r="E1913">
        <v>48</v>
      </c>
      <c r="F1913" t="s">
        <v>28</v>
      </c>
      <c r="G1913">
        <v>818.91</v>
      </c>
      <c r="H1913">
        <v>33</v>
      </c>
      <c r="I1913" t="s">
        <v>22</v>
      </c>
      <c r="J1913">
        <v>3.9</v>
      </c>
      <c r="K1913" t="s">
        <v>41</v>
      </c>
      <c r="L1913" t="s">
        <v>18</v>
      </c>
      <c r="M1913" t="str">
        <f>VLOOKUP(D1917,Restaurant_Master!A:B,2,FALSE)</f>
        <v>https://media-cdn.tripadvisor.com/media/photo-s/1c/c7/97/b6/photo6jpg.jpg</v>
      </c>
    </row>
    <row r="1914" spans="1:13" x14ac:dyDescent="0.3">
      <c r="A1914" t="s">
        <v>1944</v>
      </c>
      <c r="B1914" s="1">
        <v>45613</v>
      </c>
      <c r="C1914" t="s">
        <v>43</v>
      </c>
      <c r="D1914" t="s">
        <v>21</v>
      </c>
      <c r="E1914">
        <v>22</v>
      </c>
      <c r="F1914" t="s">
        <v>15</v>
      </c>
      <c r="G1914">
        <v>224.49</v>
      </c>
      <c r="H1914">
        <v>37</v>
      </c>
      <c r="I1914" t="s">
        <v>22</v>
      </c>
      <c r="J1914">
        <v>3</v>
      </c>
      <c r="K1914" t="s">
        <v>26</v>
      </c>
      <c r="L1914" t="s">
        <v>18</v>
      </c>
      <c r="M1914" t="str">
        <f>VLOOKUP(D1918,Restaurant_Master!A:B,2,FALSE)</f>
        <v>https://media-cdn.tripadvisor.com/media/photo-s/1c/c7/97/b6/photo6jpg.jpg</v>
      </c>
    </row>
    <row r="1915" spans="1:13" x14ac:dyDescent="0.3">
      <c r="A1915" t="s">
        <v>1945</v>
      </c>
      <c r="B1915" s="1">
        <v>45370</v>
      </c>
      <c r="C1915" t="s">
        <v>34</v>
      </c>
      <c r="D1915" t="s">
        <v>32</v>
      </c>
      <c r="E1915">
        <v>45</v>
      </c>
      <c r="F1915" t="s">
        <v>15</v>
      </c>
      <c r="G1915">
        <v>646.76</v>
      </c>
      <c r="H1915">
        <v>31</v>
      </c>
      <c r="I1915" t="s">
        <v>22</v>
      </c>
      <c r="J1915">
        <v>2.7</v>
      </c>
      <c r="K1915" t="s">
        <v>17</v>
      </c>
      <c r="L1915" t="s">
        <v>23</v>
      </c>
      <c r="M1915" t="str">
        <f>VLOOKUP(D1919,Restaurant_Master!A:B,2,FALSE)</f>
        <v>https://media-cdn.tripadvisor.com/media/photo-s/1c/c7/97/b6/photo6jpg.jpg</v>
      </c>
    </row>
    <row r="1916" spans="1:13" x14ac:dyDescent="0.3">
      <c r="A1916" t="s">
        <v>1946</v>
      </c>
      <c r="B1916" s="1">
        <v>45332</v>
      </c>
      <c r="C1916" t="s">
        <v>20</v>
      </c>
      <c r="D1916" t="s">
        <v>14</v>
      </c>
      <c r="E1916">
        <v>39</v>
      </c>
      <c r="F1916" t="s">
        <v>28</v>
      </c>
      <c r="G1916">
        <v>177.8</v>
      </c>
      <c r="H1916">
        <v>30</v>
      </c>
      <c r="I1916" t="s">
        <v>22</v>
      </c>
      <c r="J1916">
        <v>3.7</v>
      </c>
      <c r="K1916" t="s">
        <v>17</v>
      </c>
      <c r="L1916" t="s">
        <v>23</v>
      </c>
      <c r="M1916" t="str">
        <f>VLOOKUP(D1920,Restaurant_Master!A:B,2,FALSE)</f>
        <v>https://www.chatswoodinterchange.com/storages/2018/08/Sushi-World_666x448.jpg</v>
      </c>
    </row>
    <row r="1917" spans="1:13" x14ac:dyDescent="0.3">
      <c r="A1917" t="s">
        <v>1947</v>
      </c>
      <c r="B1917" s="1">
        <v>45577</v>
      </c>
      <c r="C1917" t="s">
        <v>13</v>
      </c>
      <c r="D1917" t="s">
        <v>25</v>
      </c>
      <c r="E1917">
        <v>28</v>
      </c>
      <c r="F1917" t="s">
        <v>28</v>
      </c>
      <c r="G1917">
        <v>650.02</v>
      </c>
      <c r="H1917">
        <v>23</v>
      </c>
      <c r="I1917" t="s">
        <v>22</v>
      </c>
      <c r="J1917">
        <v>3.6</v>
      </c>
      <c r="K1917" t="s">
        <v>41</v>
      </c>
      <c r="L1917" t="s">
        <v>18</v>
      </c>
      <c r="M1917" t="str">
        <f>VLOOKUP(D1921,Restaurant_Master!A:B,2,FALSE)</f>
        <v>https://media-cdn.tripadvisor.com/media/photo-s/1c/c7/97/b6/photo6jpg.jpg</v>
      </c>
    </row>
    <row r="1918" spans="1:13" x14ac:dyDescent="0.3">
      <c r="A1918" t="s">
        <v>1948</v>
      </c>
      <c r="B1918" s="1">
        <v>45485</v>
      </c>
      <c r="C1918" t="s">
        <v>20</v>
      </c>
      <c r="D1918" t="s">
        <v>25</v>
      </c>
      <c r="E1918">
        <v>58</v>
      </c>
      <c r="F1918" t="s">
        <v>15</v>
      </c>
      <c r="G1918">
        <v>690.87</v>
      </c>
      <c r="H1918">
        <v>43</v>
      </c>
      <c r="I1918" t="s">
        <v>16</v>
      </c>
      <c r="J1918">
        <v>2.8</v>
      </c>
      <c r="K1918" t="s">
        <v>41</v>
      </c>
      <c r="L1918" t="s">
        <v>18</v>
      </c>
      <c r="M1918" t="str">
        <f>VLOOKUP(D1922,Restaurant_Master!A:B,2,FALSE)</f>
        <v>https://dineout-media-assets.swiggy.com/swiggy/image/upload/fl_lossy,f_auto,q_auto/v1660793737/fdqxvxcxg1wtdwvyv45v.jpg</v>
      </c>
    </row>
    <row r="1919" spans="1:13" x14ac:dyDescent="0.3">
      <c r="A1919" t="s">
        <v>1949</v>
      </c>
      <c r="B1919" s="1">
        <v>45372</v>
      </c>
      <c r="C1919" t="s">
        <v>20</v>
      </c>
      <c r="D1919" t="s">
        <v>25</v>
      </c>
      <c r="E1919">
        <v>53</v>
      </c>
      <c r="F1919" t="s">
        <v>15</v>
      </c>
      <c r="G1919">
        <v>600.17999999999995</v>
      </c>
      <c r="H1919">
        <v>42</v>
      </c>
      <c r="I1919" t="s">
        <v>16</v>
      </c>
      <c r="J1919">
        <v>3.6</v>
      </c>
      <c r="K1919" t="s">
        <v>41</v>
      </c>
      <c r="L1919" t="s">
        <v>18</v>
      </c>
      <c r="M1919" t="str">
        <f>VLOOKUP(D1923,Restaurant_Master!A:B,2,FALSE)</f>
        <v>https://dynamic-media-cdn.tripadvisor.com/media/photo-o/1c/e7/04/0d/front-of-the-local-easily.jpg</v>
      </c>
    </row>
    <row r="1920" spans="1:13" x14ac:dyDescent="0.3">
      <c r="A1920" t="s">
        <v>1950</v>
      </c>
      <c r="B1920" s="1">
        <v>45503</v>
      </c>
      <c r="C1920" t="s">
        <v>34</v>
      </c>
      <c r="D1920" t="s">
        <v>38</v>
      </c>
      <c r="E1920">
        <v>25</v>
      </c>
      <c r="F1920" t="s">
        <v>15</v>
      </c>
      <c r="G1920">
        <v>973.81</v>
      </c>
      <c r="H1920">
        <v>35</v>
      </c>
      <c r="I1920" t="s">
        <v>22</v>
      </c>
      <c r="J1920">
        <v>3.9</v>
      </c>
      <c r="K1920" t="s">
        <v>29</v>
      </c>
      <c r="L1920" t="s">
        <v>18</v>
      </c>
      <c r="M1920" t="str">
        <f>VLOOKUP(D1924,Restaurant_Master!A:B,2,FALSE)</f>
        <v>https://media-cdn.tripadvisor.com/media/photo-s/1c/c7/97/b6/photo6jpg.jpg</v>
      </c>
    </row>
    <row r="1921" spans="1:13" x14ac:dyDescent="0.3">
      <c r="A1921" t="s">
        <v>1951</v>
      </c>
      <c r="B1921" s="1">
        <v>45310</v>
      </c>
      <c r="C1921" t="s">
        <v>43</v>
      </c>
      <c r="D1921" t="s">
        <v>25</v>
      </c>
      <c r="E1921">
        <v>28</v>
      </c>
      <c r="F1921" t="s">
        <v>28</v>
      </c>
      <c r="G1921">
        <v>859.18</v>
      </c>
      <c r="H1921">
        <v>49</v>
      </c>
      <c r="I1921" t="s">
        <v>16</v>
      </c>
      <c r="J1921">
        <v>4.9000000000000004</v>
      </c>
      <c r="K1921" t="s">
        <v>29</v>
      </c>
      <c r="L1921" t="s">
        <v>18</v>
      </c>
      <c r="M1921" t="str">
        <f>VLOOKUP(D1925,Restaurant_Master!A:B,2,FALSE)</f>
        <v>https://dynamic-media-cdn.tripadvisor.com/media/photo-o/1c/e7/04/0d/front-of-the-local-easily.jpg</v>
      </c>
    </row>
    <row r="1922" spans="1:13" x14ac:dyDescent="0.3">
      <c r="A1922" t="s">
        <v>1952</v>
      </c>
      <c r="B1922" s="1">
        <v>45561</v>
      </c>
      <c r="C1922" t="s">
        <v>13</v>
      </c>
      <c r="D1922" t="s">
        <v>14</v>
      </c>
      <c r="E1922">
        <v>60</v>
      </c>
      <c r="F1922" t="s">
        <v>15</v>
      </c>
      <c r="G1922">
        <v>952.65</v>
      </c>
      <c r="H1922">
        <v>49</v>
      </c>
      <c r="I1922" t="s">
        <v>16</v>
      </c>
      <c r="J1922">
        <v>3.4</v>
      </c>
      <c r="K1922" t="s">
        <v>41</v>
      </c>
      <c r="L1922" t="s">
        <v>18</v>
      </c>
      <c r="M1922" t="str">
        <f>VLOOKUP(D1926,Restaurant_Master!A:B,2,FALSE)</f>
        <v>https://dineout-media-assets.swiggy.com/swiggy/image/upload/fl_lossy,f_auto,q_auto/v1660793737/fdqxvxcxg1wtdwvyv45v.jpg</v>
      </c>
    </row>
    <row r="1923" spans="1:13" x14ac:dyDescent="0.3">
      <c r="A1923" t="s">
        <v>1953</v>
      </c>
      <c r="B1923" s="1">
        <v>45627</v>
      </c>
      <c r="C1923" t="s">
        <v>13</v>
      </c>
      <c r="D1923" t="s">
        <v>21</v>
      </c>
      <c r="E1923">
        <v>20</v>
      </c>
      <c r="F1923" t="s">
        <v>28</v>
      </c>
      <c r="G1923">
        <v>428.45</v>
      </c>
      <c r="H1923">
        <v>23</v>
      </c>
      <c r="I1923" t="s">
        <v>22</v>
      </c>
      <c r="J1923">
        <v>4.5999999999999996</v>
      </c>
      <c r="K1923" t="s">
        <v>26</v>
      </c>
      <c r="L1923" t="s">
        <v>23</v>
      </c>
      <c r="M1923" t="str">
        <f>VLOOKUP(D1927,Restaurant_Master!A:B,2,FALSE)</f>
        <v>https://www.chatswoodinterchange.com/storages/2018/08/Sushi-World_666x448.jpg</v>
      </c>
    </row>
    <row r="1924" spans="1:13" x14ac:dyDescent="0.3">
      <c r="A1924" t="s">
        <v>1954</v>
      </c>
      <c r="B1924" s="1">
        <v>45572</v>
      </c>
      <c r="C1924" t="s">
        <v>43</v>
      </c>
      <c r="D1924" t="s">
        <v>25</v>
      </c>
      <c r="E1924">
        <v>56</v>
      </c>
      <c r="F1924" t="s">
        <v>28</v>
      </c>
      <c r="G1924">
        <v>242.46</v>
      </c>
      <c r="H1924">
        <v>22</v>
      </c>
      <c r="I1924" t="s">
        <v>22</v>
      </c>
      <c r="J1924">
        <v>4.9000000000000004</v>
      </c>
      <c r="K1924" t="s">
        <v>29</v>
      </c>
      <c r="L1924" t="s">
        <v>18</v>
      </c>
      <c r="M1924" t="str">
        <f>VLOOKUP(D1928,Restaurant_Master!A:B,2,FALSE)</f>
        <v>https://media-cdn.tripadvisor.com/media/photo-s/1c/c7/97/b6/photo6jpg.jpg</v>
      </c>
    </row>
    <row r="1925" spans="1:13" x14ac:dyDescent="0.3">
      <c r="A1925" t="s">
        <v>1955</v>
      </c>
      <c r="B1925" s="1">
        <v>45409</v>
      </c>
      <c r="C1925" t="s">
        <v>20</v>
      </c>
      <c r="D1925" t="s">
        <v>21</v>
      </c>
      <c r="E1925">
        <v>60</v>
      </c>
      <c r="F1925" t="s">
        <v>15</v>
      </c>
      <c r="G1925">
        <v>867.44</v>
      </c>
      <c r="H1925">
        <v>60</v>
      </c>
      <c r="I1925" t="s">
        <v>16</v>
      </c>
      <c r="J1925">
        <v>3</v>
      </c>
      <c r="K1925" t="s">
        <v>17</v>
      </c>
      <c r="L1925" t="s">
        <v>18</v>
      </c>
      <c r="M1925" t="str">
        <f>VLOOKUP(D1929,Restaurant_Master!A:B,2,FALSE)</f>
        <v>https://media-cdn.tripadvisor.com/media/photo-s/1c/c7/97/b6/photo6jpg.jpg</v>
      </c>
    </row>
    <row r="1926" spans="1:13" x14ac:dyDescent="0.3">
      <c r="A1926" t="s">
        <v>1956</v>
      </c>
      <c r="B1926" s="1">
        <v>45506</v>
      </c>
      <c r="C1926" t="s">
        <v>13</v>
      </c>
      <c r="D1926" t="s">
        <v>14</v>
      </c>
      <c r="E1926">
        <v>27</v>
      </c>
      <c r="F1926" t="s">
        <v>28</v>
      </c>
      <c r="G1926">
        <v>590.70000000000005</v>
      </c>
      <c r="H1926">
        <v>60</v>
      </c>
      <c r="I1926" t="s">
        <v>16</v>
      </c>
      <c r="J1926">
        <v>2.6</v>
      </c>
      <c r="K1926" t="s">
        <v>29</v>
      </c>
      <c r="L1926" t="s">
        <v>18</v>
      </c>
      <c r="M1926" t="str">
        <f>VLOOKUP(D1930,Restaurant_Master!A:B,2,FALSE)</f>
        <v>https://media-cdn.tripadvisor.com/media/photo-s/1c/c7/97/b6/photo6jpg.jpg</v>
      </c>
    </row>
    <row r="1927" spans="1:13" x14ac:dyDescent="0.3">
      <c r="A1927" t="s">
        <v>1957</v>
      </c>
      <c r="B1927" s="1">
        <v>45642</v>
      </c>
      <c r="C1927" t="s">
        <v>20</v>
      </c>
      <c r="D1927" t="s">
        <v>38</v>
      </c>
      <c r="E1927">
        <v>18</v>
      </c>
      <c r="F1927" t="s">
        <v>28</v>
      </c>
      <c r="G1927">
        <v>958.06</v>
      </c>
      <c r="H1927">
        <v>45</v>
      </c>
      <c r="I1927" t="s">
        <v>16</v>
      </c>
      <c r="J1927">
        <v>3.8</v>
      </c>
      <c r="K1927" t="s">
        <v>29</v>
      </c>
      <c r="L1927" t="s">
        <v>23</v>
      </c>
      <c r="M1927" t="str">
        <f>VLOOKUP(D1931,Restaurant_Master!A:B,2,FALSE)</f>
        <v>https://www.chatswoodinterchange.com/storages/2018/08/Sushi-World_666x448.jpg</v>
      </c>
    </row>
    <row r="1928" spans="1:13" x14ac:dyDescent="0.3">
      <c r="A1928" t="s">
        <v>1958</v>
      </c>
      <c r="B1928" s="1">
        <v>45652</v>
      </c>
      <c r="C1928" t="s">
        <v>34</v>
      </c>
      <c r="D1928" t="s">
        <v>25</v>
      </c>
      <c r="E1928">
        <v>52</v>
      </c>
      <c r="F1928" t="s">
        <v>15</v>
      </c>
      <c r="G1928">
        <v>493.08</v>
      </c>
      <c r="H1928">
        <v>36</v>
      </c>
      <c r="I1928" t="s">
        <v>22</v>
      </c>
      <c r="J1928">
        <v>4.5</v>
      </c>
      <c r="K1928" t="s">
        <v>17</v>
      </c>
      <c r="L1928" t="s">
        <v>18</v>
      </c>
      <c r="M1928" t="str">
        <f>VLOOKUP(D1932,Restaurant_Master!A:B,2,FALSE)</f>
        <v>https://content.jdmagicbox.com/comp/deoria/g6/9999p5568.5568.200119143033.m4g6/catalogue/biryani-house-deoria-ho-deoria-mktc2xph0o.jpg</v>
      </c>
    </row>
    <row r="1929" spans="1:13" x14ac:dyDescent="0.3">
      <c r="A1929" t="s">
        <v>1959</v>
      </c>
      <c r="B1929" s="1">
        <v>45379</v>
      </c>
      <c r="C1929" t="s">
        <v>13</v>
      </c>
      <c r="D1929" t="s">
        <v>25</v>
      </c>
      <c r="E1929">
        <v>32</v>
      </c>
      <c r="F1929" t="s">
        <v>28</v>
      </c>
      <c r="G1929">
        <v>354.86</v>
      </c>
      <c r="H1929">
        <v>38</v>
      </c>
      <c r="I1929" t="s">
        <v>22</v>
      </c>
      <c r="J1929">
        <v>4.3</v>
      </c>
      <c r="K1929" t="s">
        <v>26</v>
      </c>
      <c r="L1929" t="s">
        <v>18</v>
      </c>
      <c r="M1929" t="str">
        <f>VLOOKUP(D1933,Restaurant_Master!A:B,2,FALSE)</f>
        <v>https://dineout-media-assets.swiggy.com/swiggy/image/upload/fl_lossy,f_auto,q_auto/v1660793737/fdqxvxcxg1wtdwvyv45v.jpg</v>
      </c>
    </row>
    <row r="1930" spans="1:13" x14ac:dyDescent="0.3">
      <c r="A1930" t="s">
        <v>1960</v>
      </c>
      <c r="B1930" s="1">
        <v>45429</v>
      </c>
      <c r="C1930" t="s">
        <v>34</v>
      </c>
      <c r="D1930" t="s">
        <v>25</v>
      </c>
      <c r="E1930">
        <v>42</v>
      </c>
      <c r="F1930" t="s">
        <v>28</v>
      </c>
      <c r="G1930">
        <v>691.89</v>
      </c>
      <c r="H1930">
        <v>31</v>
      </c>
      <c r="I1930" t="s">
        <v>22</v>
      </c>
      <c r="J1930">
        <v>2.5</v>
      </c>
      <c r="K1930" t="s">
        <v>41</v>
      </c>
      <c r="L1930" t="s">
        <v>23</v>
      </c>
      <c r="M1930" t="str">
        <f>VLOOKUP(D1934,Restaurant_Master!A:B,2,FALSE)</f>
        <v>https://www.chatswoodinterchange.com/storages/2018/08/Sushi-World_666x448.jpg</v>
      </c>
    </row>
    <row r="1931" spans="1:13" x14ac:dyDescent="0.3">
      <c r="A1931" t="s">
        <v>1961</v>
      </c>
      <c r="B1931" s="1">
        <v>45316</v>
      </c>
      <c r="C1931" t="s">
        <v>20</v>
      </c>
      <c r="D1931" t="s">
        <v>38</v>
      </c>
      <c r="E1931">
        <v>58</v>
      </c>
      <c r="F1931" t="s">
        <v>15</v>
      </c>
      <c r="G1931">
        <v>368.92</v>
      </c>
      <c r="H1931">
        <v>45</v>
      </c>
      <c r="I1931" t="s">
        <v>16</v>
      </c>
      <c r="J1931">
        <v>3.8</v>
      </c>
      <c r="K1931" t="s">
        <v>41</v>
      </c>
      <c r="L1931" t="s">
        <v>18</v>
      </c>
      <c r="M1931" t="str">
        <f>VLOOKUP(D1935,Restaurant_Master!A:B,2,FALSE)</f>
        <v>https://media-cdn.tripadvisor.com/media/photo-s/1c/c7/97/b6/photo6jpg.jpg</v>
      </c>
    </row>
    <row r="1932" spans="1:13" x14ac:dyDescent="0.3">
      <c r="A1932" t="s">
        <v>1962</v>
      </c>
      <c r="B1932" s="1">
        <v>45431</v>
      </c>
      <c r="C1932" t="s">
        <v>36</v>
      </c>
      <c r="D1932" t="s">
        <v>32</v>
      </c>
      <c r="E1932">
        <v>60</v>
      </c>
      <c r="F1932" t="s">
        <v>28</v>
      </c>
      <c r="G1932">
        <v>872.51</v>
      </c>
      <c r="H1932">
        <v>25</v>
      </c>
      <c r="I1932" t="s">
        <v>22</v>
      </c>
      <c r="J1932">
        <v>4.2</v>
      </c>
      <c r="K1932" t="s">
        <v>26</v>
      </c>
      <c r="L1932" t="s">
        <v>23</v>
      </c>
      <c r="M1932" t="str">
        <f>VLOOKUP(D1936,Restaurant_Master!A:B,2,FALSE)</f>
        <v>https://dynamic-media-cdn.tripadvisor.com/media/photo-o/1c/e7/04/0d/front-of-the-local-easily.jpg</v>
      </c>
    </row>
    <row r="1933" spans="1:13" x14ac:dyDescent="0.3">
      <c r="A1933" t="s">
        <v>1963</v>
      </c>
      <c r="B1933" s="1">
        <v>45565</v>
      </c>
      <c r="C1933" t="s">
        <v>43</v>
      </c>
      <c r="D1933" t="s">
        <v>14</v>
      </c>
      <c r="E1933">
        <v>22</v>
      </c>
      <c r="F1933" t="s">
        <v>28</v>
      </c>
      <c r="G1933">
        <v>711.66</v>
      </c>
      <c r="H1933">
        <v>37</v>
      </c>
      <c r="I1933" t="s">
        <v>22</v>
      </c>
      <c r="J1933">
        <v>3</v>
      </c>
      <c r="K1933" t="s">
        <v>17</v>
      </c>
      <c r="L1933" t="s">
        <v>23</v>
      </c>
      <c r="M1933" t="str">
        <f>VLOOKUP(D1937,Restaurant_Master!A:B,2,FALSE)</f>
        <v>https://dynamic-media-cdn.tripadvisor.com/media/photo-o/1c/e7/04/0d/front-of-the-local-easily.jpg</v>
      </c>
    </row>
    <row r="1934" spans="1:13" x14ac:dyDescent="0.3">
      <c r="A1934" t="s">
        <v>1964</v>
      </c>
      <c r="B1934" s="1">
        <v>45580</v>
      </c>
      <c r="C1934" t="s">
        <v>13</v>
      </c>
      <c r="D1934" t="s">
        <v>38</v>
      </c>
      <c r="E1934">
        <v>32</v>
      </c>
      <c r="F1934" t="s">
        <v>28</v>
      </c>
      <c r="G1934">
        <v>191.67</v>
      </c>
      <c r="H1934">
        <v>20</v>
      </c>
      <c r="I1934" t="s">
        <v>22</v>
      </c>
      <c r="J1934">
        <v>3.2</v>
      </c>
      <c r="K1934" t="s">
        <v>41</v>
      </c>
      <c r="L1934" t="s">
        <v>23</v>
      </c>
      <c r="M1934" t="str">
        <f>VLOOKUP(D1938,Restaurant_Master!A:B,2,FALSE)</f>
        <v>https://www.chatswoodinterchange.com/storages/2018/08/Sushi-World_666x448.jpg</v>
      </c>
    </row>
    <row r="1935" spans="1:13" x14ac:dyDescent="0.3">
      <c r="A1935" t="s">
        <v>1965</v>
      </c>
      <c r="B1935" s="1">
        <v>45611</v>
      </c>
      <c r="C1935" t="s">
        <v>36</v>
      </c>
      <c r="D1935" t="s">
        <v>25</v>
      </c>
      <c r="E1935">
        <v>45</v>
      </c>
      <c r="F1935" t="s">
        <v>15</v>
      </c>
      <c r="G1935">
        <v>548.08000000000004</v>
      </c>
      <c r="H1935">
        <v>36</v>
      </c>
      <c r="I1935" t="s">
        <v>22</v>
      </c>
      <c r="J1935">
        <v>2.7</v>
      </c>
      <c r="K1935" t="s">
        <v>41</v>
      </c>
      <c r="L1935" t="s">
        <v>18</v>
      </c>
      <c r="M1935" t="str">
        <f>VLOOKUP(D1939,Restaurant_Master!A:B,2,FALSE)</f>
        <v>https://www.chatswoodinterchange.com/storages/2018/08/Sushi-World_666x448.jpg</v>
      </c>
    </row>
    <row r="1936" spans="1:13" x14ac:dyDescent="0.3">
      <c r="A1936" t="s">
        <v>1966</v>
      </c>
      <c r="B1936" s="1">
        <v>45309</v>
      </c>
      <c r="C1936" t="s">
        <v>36</v>
      </c>
      <c r="D1936" t="s">
        <v>21</v>
      </c>
      <c r="E1936">
        <v>26</v>
      </c>
      <c r="F1936" t="s">
        <v>15</v>
      </c>
      <c r="G1936">
        <v>955.59</v>
      </c>
      <c r="H1936">
        <v>30</v>
      </c>
      <c r="I1936" t="s">
        <v>22</v>
      </c>
      <c r="J1936">
        <v>3.9</v>
      </c>
      <c r="K1936" t="s">
        <v>41</v>
      </c>
      <c r="L1936" t="s">
        <v>18</v>
      </c>
      <c r="M1936" t="str">
        <f>VLOOKUP(D1940,Restaurant_Master!A:B,2,FALSE)</f>
        <v>https://dynamic-media-cdn.tripadvisor.com/media/photo-o/1c/e7/04/0d/front-of-the-local-easily.jpg</v>
      </c>
    </row>
    <row r="1937" spans="1:13" x14ac:dyDescent="0.3">
      <c r="A1937" t="s">
        <v>1967</v>
      </c>
      <c r="B1937" s="1">
        <v>45299</v>
      </c>
      <c r="C1937" t="s">
        <v>34</v>
      </c>
      <c r="D1937" t="s">
        <v>21</v>
      </c>
      <c r="E1937">
        <v>46</v>
      </c>
      <c r="F1937" t="s">
        <v>15</v>
      </c>
      <c r="G1937">
        <v>906.87</v>
      </c>
      <c r="H1937">
        <v>58</v>
      </c>
      <c r="I1937" t="s">
        <v>16</v>
      </c>
      <c r="J1937">
        <v>2.8</v>
      </c>
      <c r="K1937" t="s">
        <v>29</v>
      </c>
      <c r="L1937" t="s">
        <v>23</v>
      </c>
      <c r="M1937" t="str">
        <f>VLOOKUP(D1941,Restaurant_Master!A:B,2,FALSE)</f>
        <v>https://dineout-media-assets.swiggy.com/swiggy/image/upload/fl_lossy,f_auto,q_auto/v1660793737/fdqxvxcxg1wtdwvyv45v.jpg</v>
      </c>
    </row>
    <row r="1938" spans="1:13" x14ac:dyDescent="0.3">
      <c r="A1938" t="s">
        <v>1968</v>
      </c>
      <c r="B1938" s="1">
        <v>45352</v>
      </c>
      <c r="C1938" t="s">
        <v>43</v>
      </c>
      <c r="D1938" t="s">
        <v>38</v>
      </c>
      <c r="E1938">
        <v>35</v>
      </c>
      <c r="F1938" t="s">
        <v>28</v>
      </c>
      <c r="G1938">
        <v>688.82</v>
      </c>
      <c r="H1938">
        <v>46</v>
      </c>
      <c r="I1938" t="s">
        <v>16</v>
      </c>
      <c r="J1938">
        <v>4.7</v>
      </c>
      <c r="K1938" t="s">
        <v>29</v>
      </c>
      <c r="L1938" t="s">
        <v>23</v>
      </c>
      <c r="M1938" t="str">
        <f>VLOOKUP(D1942,Restaurant_Master!A:B,2,FALSE)</f>
        <v>https://media-cdn.tripadvisor.com/media/photo-s/1c/c7/97/b6/photo6jpg.jpg</v>
      </c>
    </row>
    <row r="1939" spans="1:13" x14ac:dyDescent="0.3">
      <c r="A1939" t="s">
        <v>1969</v>
      </c>
      <c r="B1939" s="1">
        <v>45550</v>
      </c>
      <c r="C1939" t="s">
        <v>13</v>
      </c>
      <c r="D1939" t="s">
        <v>38</v>
      </c>
      <c r="E1939">
        <v>27</v>
      </c>
      <c r="F1939" t="s">
        <v>28</v>
      </c>
      <c r="G1939">
        <v>497.49</v>
      </c>
      <c r="H1939">
        <v>39</v>
      </c>
      <c r="I1939" t="s">
        <v>22</v>
      </c>
      <c r="J1939">
        <v>3.2</v>
      </c>
      <c r="K1939" t="s">
        <v>17</v>
      </c>
      <c r="L1939" t="s">
        <v>23</v>
      </c>
      <c r="M1939" t="str">
        <f>VLOOKUP(D1943,Restaurant_Master!A:B,2,FALSE)</f>
        <v>https://www.chatswoodinterchange.com/storages/2018/08/Sushi-World_666x448.jpg</v>
      </c>
    </row>
    <row r="1940" spans="1:13" x14ac:dyDescent="0.3">
      <c r="A1940" t="s">
        <v>1970</v>
      </c>
      <c r="B1940" s="1">
        <v>45644</v>
      </c>
      <c r="C1940" t="s">
        <v>20</v>
      </c>
      <c r="D1940" t="s">
        <v>21</v>
      </c>
      <c r="E1940">
        <v>18</v>
      </c>
      <c r="F1940" t="s">
        <v>28</v>
      </c>
      <c r="G1940">
        <v>614.88</v>
      </c>
      <c r="H1940">
        <v>54</v>
      </c>
      <c r="I1940" t="s">
        <v>16</v>
      </c>
      <c r="J1940">
        <v>2.7</v>
      </c>
      <c r="K1940" t="s">
        <v>17</v>
      </c>
      <c r="L1940" t="s">
        <v>18</v>
      </c>
      <c r="M1940" t="str">
        <f>VLOOKUP(D1944,Restaurant_Master!A:B,2,FALSE)</f>
        <v>https://dineout-media-assets.swiggy.com/swiggy/image/upload/fl_lossy,f_auto,q_auto/v1660793737/fdqxvxcxg1wtdwvyv45v.jpg</v>
      </c>
    </row>
    <row r="1941" spans="1:13" x14ac:dyDescent="0.3">
      <c r="A1941" t="s">
        <v>1971</v>
      </c>
      <c r="B1941" s="1">
        <v>45356</v>
      </c>
      <c r="C1941" t="s">
        <v>43</v>
      </c>
      <c r="D1941" t="s">
        <v>14</v>
      </c>
      <c r="E1941">
        <v>47</v>
      </c>
      <c r="F1941" t="s">
        <v>15</v>
      </c>
      <c r="G1941">
        <v>1073.56</v>
      </c>
      <c r="H1941">
        <v>45</v>
      </c>
      <c r="I1941" t="s">
        <v>16</v>
      </c>
      <c r="J1941">
        <v>4.5</v>
      </c>
      <c r="K1941" t="s">
        <v>41</v>
      </c>
      <c r="L1941" t="s">
        <v>18</v>
      </c>
      <c r="M1941" t="str">
        <f>VLOOKUP(D1945,Restaurant_Master!A:B,2,FALSE)</f>
        <v>https://dineout-media-assets.swiggy.com/swiggy/image/upload/fl_lossy,f_auto,q_auto/v1660793737/fdqxvxcxg1wtdwvyv45v.jpg</v>
      </c>
    </row>
    <row r="1942" spans="1:13" x14ac:dyDescent="0.3">
      <c r="A1942" t="s">
        <v>1972</v>
      </c>
      <c r="B1942" s="1">
        <v>45551</v>
      </c>
      <c r="C1942" t="s">
        <v>13</v>
      </c>
      <c r="D1942" t="s">
        <v>25</v>
      </c>
      <c r="E1942">
        <v>29</v>
      </c>
      <c r="F1942" t="s">
        <v>15</v>
      </c>
      <c r="G1942">
        <v>474.18</v>
      </c>
      <c r="H1942">
        <v>43</v>
      </c>
      <c r="I1942" t="s">
        <v>16</v>
      </c>
      <c r="J1942">
        <v>3.2</v>
      </c>
      <c r="K1942" t="s">
        <v>29</v>
      </c>
      <c r="L1942" t="s">
        <v>18</v>
      </c>
      <c r="M1942" t="str">
        <f>VLOOKUP(D1946,Restaurant_Master!A:B,2,FALSE)</f>
        <v>https://dynamic-media-cdn.tripadvisor.com/media/photo-o/1c/e7/04/0d/front-of-the-local-easily.jpg</v>
      </c>
    </row>
    <row r="1943" spans="1:13" x14ac:dyDescent="0.3">
      <c r="A1943" t="s">
        <v>1973</v>
      </c>
      <c r="B1943" s="1">
        <v>45628</v>
      </c>
      <c r="C1943" t="s">
        <v>13</v>
      </c>
      <c r="D1943" t="s">
        <v>38</v>
      </c>
      <c r="E1943">
        <v>32</v>
      </c>
      <c r="F1943" t="s">
        <v>15</v>
      </c>
      <c r="G1943">
        <v>1020.19</v>
      </c>
      <c r="H1943">
        <v>49</v>
      </c>
      <c r="I1943" t="s">
        <v>16</v>
      </c>
      <c r="J1943">
        <v>3.5</v>
      </c>
      <c r="K1943" t="s">
        <v>29</v>
      </c>
      <c r="L1943" t="s">
        <v>23</v>
      </c>
      <c r="M1943" t="str">
        <f>VLOOKUP(D1947,Restaurant_Master!A:B,2,FALSE)</f>
        <v>https://www.chatswoodinterchange.com/storages/2018/08/Sushi-World_666x448.jpg</v>
      </c>
    </row>
    <row r="1944" spans="1:13" x14ac:dyDescent="0.3">
      <c r="A1944" t="s">
        <v>1974</v>
      </c>
      <c r="B1944" s="1">
        <v>45655</v>
      </c>
      <c r="C1944" t="s">
        <v>34</v>
      </c>
      <c r="D1944" t="s">
        <v>14</v>
      </c>
      <c r="E1944">
        <v>25</v>
      </c>
      <c r="F1944" t="s">
        <v>28</v>
      </c>
      <c r="G1944">
        <v>688.5</v>
      </c>
      <c r="H1944">
        <v>23</v>
      </c>
      <c r="I1944" t="s">
        <v>22</v>
      </c>
      <c r="J1944">
        <v>3.5</v>
      </c>
      <c r="K1944" t="s">
        <v>26</v>
      </c>
      <c r="L1944" t="s">
        <v>18</v>
      </c>
      <c r="M1944" t="str">
        <f>VLOOKUP(D1948,Restaurant_Master!A:B,2,FALSE)</f>
        <v>https://dynamic-media-cdn.tripadvisor.com/media/photo-o/1c/e7/04/0d/front-of-the-local-easily.jpg</v>
      </c>
    </row>
    <row r="1945" spans="1:13" x14ac:dyDescent="0.3">
      <c r="A1945" t="s">
        <v>1975</v>
      </c>
      <c r="B1945" s="1">
        <v>45443</v>
      </c>
      <c r="C1945" t="s">
        <v>20</v>
      </c>
      <c r="D1945" t="s">
        <v>14</v>
      </c>
      <c r="E1945">
        <v>34</v>
      </c>
      <c r="F1945" t="s">
        <v>28</v>
      </c>
      <c r="G1945">
        <v>291.91000000000003</v>
      </c>
      <c r="H1945">
        <v>24</v>
      </c>
      <c r="I1945" t="s">
        <v>22</v>
      </c>
      <c r="J1945">
        <v>3.1</v>
      </c>
      <c r="K1945" t="s">
        <v>41</v>
      </c>
      <c r="L1945" t="s">
        <v>18</v>
      </c>
      <c r="M1945" t="str">
        <f>VLOOKUP(D1949,Restaurant_Master!A:B,2,FALSE)</f>
        <v>https://www.chatswoodinterchange.com/storages/2018/08/Sushi-World_666x448.jpg</v>
      </c>
    </row>
    <row r="1946" spans="1:13" x14ac:dyDescent="0.3">
      <c r="A1946" t="s">
        <v>1976</v>
      </c>
      <c r="B1946" s="1">
        <v>45578</v>
      </c>
      <c r="C1946" t="s">
        <v>36</v>
      </c>
      <c r="D1946" t="s">
        <v>21</v>
      </c>
      <c r="E1946">
        <v>30</v>
      </c>
      <c r="F1946" t="s">
        <v>28</v>
      </c>
      <c r="G1946">
        <v>1116.06</v>
      </c>
      <c r="H1946">
        <v>21</v>
      </c>
      <c r="I1946" t="s">
        <v>22</v>
      </c>
      <c r="J1946">
        <v>4.5</v>
      </c>
      <c r="K1946" t="s">
        <v>29</v>
      </c>
      <c r="L1946" t="s">
        <v>23</v>
      </c>
      <c r="M1946" t="str">
        <f>VLOOKUP(D1950,Restaurant_Master!A:B,2,FALSE)</f>
        <v>https://dynamic-media-cdn.tripadvisor.com/media/photo-o/1c/e7/04/0d/front-of-the-local-easily.jpg</v>
      </c>
    </row>
    <row r="1947" spans="1:13" x14ac:dyDescent="0.3">
      <c r="A1947" t="s">
        <v>1977</v>
      </c>
      <c r="B1947" s="1">
        <v>45360</v>
      </c>
      <c r="C1947" t="s">
        <v>20</v>
      </c>
      <c r="D1947" t="s">
        <v>38</v>
      </c>
      <c r="E1947">
        <v>20</v>
      </c>
      <c r="F1947" t="s">
        <v>15</v>
      </c>
      <c r="G1947">
        <v>775.62</v>
      </c>
      <c r="H1947">
        <v>48</v>
      </c>
      <c r="I1947" t="s">
        <v>16</v>
      </c>
      <c r="J1947">
        <v>4.7</v>
      </c>
      <c r="K1947" t="s">
        <v>29</v>
      </c>
      <c r="L1947" t="s">
        <v>18</v>
      </c>
      <c r="M1947" t="str">
        <f>VLOOKUP(D1951,Restaurant_Master!A:B,2,FALSE)</f>
        <v>https://dineout-media-assets.swiggy.com/swiggy/image/upload/fl_lossy,f_auto,q_auto/v1660793737/fdqxvxcxg1wtdwvyv45v.jpg</v>
      </c>
    </row>
    <row r="1948" spans="1:13" x14ac:dyDescent="0.3">
      <c r="A1948" t="s">
        <v>1978</v>
      </c>
      <c r="B1948" s="1">
        <v>45616</v>
      </c>
      <c r="C1948" t="s">
        <v>13</v>
      </c>
      <c r="D1948" t="s">
        <v>21</v>
      </c>
      <c r="E1948">
        <v>49</v>
      </c>
      <c r="F1948" t="s">
        <v>15</v>
      </c>
      <c r="G1948">
        <v>1004.14</v>
      </c>
      <c r="H1948">
        <v>54</v>
      </c>
      <c r="I1948" t="s">
        <v>16</v>
      </c>
      <c r="J1948">
        <v>4.8</v>
      </c>
      <c r="K1948" t="s">
        <v>41</v>
      </c>
      <c r="L1948" t="s">
        <v>23</v>
      </c>
      <c r="M1948" t="str">
        <f>VLOOKUP(D1952,Restaurant_Master!A:B,2,FALSE)</f>
        <v>https://dynamic-media-cdn.tripadvisor.com/media/photo-o/1c/e7/04/0d/front-of-the-local-easily.jpg</v>
      </c>
    </row>
    <row r="1949" spans="1:13" x14ac:dyDescent="0.3">
      <c r="A1949" t="s">
        <v>1979</v>
      </c>
      <c r="B1949" s="1">
        <v>45317</v>
      </c>
      <c r="C1949" t="s">
        <v>34</v>
      </c>
      <c r="D1949" t="s">
        <v>38</v>
      </c>
      <c r="E1949">
        <v>43</v>
      </c>
      <c r="F1949" t="s">
        <v>28</v>
      </c>
      <c r="G1949">
        <v>448.18</v>
      </c>
      <c r="H1949">
        <v>38</v>
      </c>
      <c r="I1949" t="s">
        <v>22</v>
      </c>
      <c r="J1949">
        <v>4.5999999999999996</v>
      </c>
      <c r="K1949" t="s">
        <v>17</v>
      </c>
      <c r="L1949" t="s">
        <v>23</v>
      </c>
      <c r="M1949" t="str">
        <f>VLOOKUP(D1953,Restaurant_Master!A:B,2,FALSE)</f>
        <v>https://www.chatswoodinterchange.com/storages/2018/08/Sushi-World_666x448.jpg</v>
      </c>
    </row>
    <row r="1950" spans="1:13" x14ac:dyDescent="0.3">
      <c r="A1950" t="s">
        <v>1980</v>
      </c>
      <c r="B1950" s="1">
        <v>45655</v>
      </c>
      <c r="C1950" t="s">
        <v>36</v>
      </c>
      <c r="D1950" t="s">
        <v>21</v>
      </c>
      <c r="E1950">
        <v>59</v>
      </c>
      <c r="F1950" t="s">
        <v>28</v>
      </c>
      <c r="G1950">
        <v>723.7</v>
      </c>
      <c r="H1950">
        <v>26</v>
      </c>
      <c r="I1950" t="s">
        <v>22</v>
      </c>
      <c r="J1950">
        <v>4.3</v>
      </c>
      <c r="K1950" t="s">
        <v>41</v>
      </c>
      <c r="L1950" t="s">
        <v>18</v>
      </c>
      <c r="M1950" t="str">
        <f>VLOOKUP(D1954,Restaurant_Master!A:B,2,FALSE)</f>
        <v>https://dineout-media-assets.swiggy.com/swiggy/image/upload/fl_lossy,f_auto,q_auto/v1660793737/fdqxvxcxg1wtdwvyv45v.jpg</v>
      </c>
    </row>
    <row r="1951" spans="1:13" x14ac:dyDescent="0.3">
      <c r="A1951" t="s">
        <v>1981</v>
      </c>
      <c r="B1951" s="1">
        <v>45393</v>
      </c>
      <c r="C1951" t="s">
        <v>13</v>
      </c>
      <c r="D1951" t="s">
        <v>14</v>
      </c>
      <c r="E1951">
        <v>44</v>
      </c>
      <c r="F1951" t="s">
        <v>15</v>
      </c>
      <c r="G1951">
        <v>624.79</v>
      </c>
      <c r="H1951">
        <v>29</v>
      </c>
      <c r="I1951" t="s">
        <v>22</v>
      </c>
      <c r="J1951">
        <v>3.9</v>
      </c>
      <c r="K1951" t="s">
        <v>26</v>
      </c>
      <c r="L1951" t="s">
        <v>23</v>
      </c>
      <c r="M1951" t="str">
        <f>VLOOKUP(D1955,Restaurant_Master!A:B,2,FALSE)</f>
        <v>https://content.jdmagicbox.com/comp/deoria/g6/9999p5568.5568.200119143033.m4g6/catalogue/biryani-house-deoria-ho-deoria-mktc2xph0o.jpg</v>
      </c>
    </row>
    <row r="1952" spans="1:13" x14ac:dyDescent="0.3">
      <c r="A1952" t="s">
        <v>1982</v>
      </c>
      <c r="B1952" s="1">
        <v>45519</v>
      </c>
      <c r="C1952" t="s">
        <v>43</v>
      </c>
      <c r="D1952" t="s">
        <v>21</v>
      </c>
      <c r="E1952">
        <v>44</v>
      </c>
      <c r="F1952" t="s">
        <v>28</v>
      </c>
      <c r="G1952">
        <v>807.81</v>
      </c>
      <c r="H1952">
        <v>40</v>
      </c>
      <c r="I1952" t="s">
        <v>22</v>
      </c>
      <c r="J1952">
        <v>3.1</v>
      </c>
      <c r="K1952" t="s">
        <v>17</v>
      </c>
      <c r="L1952" t="s">
        <v>18</v>
      </c>
      <c r="M1952" t="str">
        <f>VLOOKUP(D1956,Restaurant_Master!A:B,2,FALSE)</f>
        <v>https://media-cdn.tripadvisor.com/media/photo-s/1c/c7/97/b6/photo6jpg.jpg</v>
      </c>
    </row>
    <row r="1953" spans="1:13" x14ac:dyDescent="0.3">
      <c r="A1953" t="s">
        <v>1983</v>
      </c>
      <c r="B1953" s="1">
        <v>45436</v>
      </c>
      <c r="C1953" t="s">
        <v>36</v>
      </c>
      <c r="D1953" t="s">
        <v>38</v>
      </c>
      <c r="E1953">
        <v>29</v>
      </c>
      <c r="F1953" t="s">
        <v>15</v>
      </c>
      <c r="G1953">
        <v>284.04000000000002</v>
      </c>
      <c r="H1953">
        <v>39</v>
      </c>
      <c r="I1953" t="s">
        <v>22</v>
      </c>
      <c r="J1953">
        <v>2.9</v>
      </c>
      <c r="K1953" t="s">
        <v>41</v>
      </c>
      <c r="L1953" t="s">
        <v>18</v>
      </c>
      <c r="M1953" t="str">
        <f>VLOOKUP(D1957,Restaurant_Master!A:B,2,FALSE)</f>
        <v>https://dineout-media-assets.swiggy.com/swiggy/image/upload/fl_lossy,f_auto,q_auto/v1660793737/fdqxvxcxg1wtdwvyv45v.jpg</v>
      </c>
    </row>
    <row r="1954" spans="1:13" x14ac:dyDescent="0.3">
      <c r="A1954" t="s">
        <v>1984</v>
      </c>
      <c r="B1954" s="1">
        <v>45422</v>
      </c>
      <c r="C1954" t="s">
        <v>13</v>
      </c>
      <c r="D1954" t="s">
        <v>14</v>
      </c>
      <c r="E1954">
        <v>26</v>
      </c>
      <c r="F1954" t="s">
        <v>15</v>
      </c>
      <c r="G1954">
        <v>502.39</v>
      </c>
      <c r="H1954">
        <v>25</v>
      </c>
      <c r="I1954" t="s">
        <v>22</v>
      </c>
      <c r="J1954">
        <v>3.4</v>
      </c>
      <c r="K1954" t="s">
        <v>29</v>
      </c>
      <c r="L1954" t="s">
        <v>18</v>
      </c>
      <c r="M1954" t="str">
        <f>VLOOKUP(D1958,Restaurant_Master!A:B,2,FALSE)</f>
        <v>https://content.jdmagicbox.com/comp/deoria/g6/9999p5568.5568.200119143033.m4g6/catalogue/biryani-house-deoria-ho-deoria-mktc2xph0o.jpg</v>
      </c>
    </row>
    <row r="1955" spans="1:13" x14ac:dyDescent="0.3">
      <c r="A1955" t="s">
        <v>1985</v>
      </c>
      <c r="B1955" s="1">
        <v>45469</v>
      </c>
      <c r="C1955" t="s">
        <v>20</v>
      </c>
      <c r="D1955" t="s">
        <v>32</v>
      </c>
      <c r="E1955">
        <v>21</v>
      </c>
      <c r="F1955" t="s">
        <v>15</v>
      </c>
      <c r="G1955">
        <v>220.91</v>
      </c>
      <c r="H1955">
        <v>21</v>
      </c>
      <c r="I1955" t="s">
        <v>22</v>
      </c>
      <c r="J1955">
        <v>3.2</v>
      </c>
      <c r="K1955" t="s">
        <v>29</v>
      </c>
      <c r="L1955" t="s">
        <v>23</v>
      </c>
      <c r="M1955" t="str">
        <f>VLOOKUP(D1959,Restaurant_Master!A:B,2,FALSE)</f>
        <v>https://www.chatswoodinterchange.com/storages/2018/08/Sushi-World_666x448.jpg</v>
      </c>
    </row>
    <row r="1956" spans="1:13" x14ac:dyDescent="0.3">
      <c r="A1956" t="s">
        <v>1986</v>
      </c>
      <c r="B1956" s="1">
        <v>45550</v>
      </c>
      <c r="C1956" t="s">
        <v>36</v>
      </c>
      <c r="D1956" t="s">
        <v>25</v>
      </c>
      <c r="E1956">
        <v>45</v>
      </c>
      <c r="F1956" t="s">
        <v>28</v>
      </c>
      <c r="G1956">
        <v>1094.5999999999999</v>
      </c>
      <c r="H1956">
        <v>59</v>
      </c>
      <c r="I1956" t="s">
        <v>16</v>
      </c>
      <c r="J1956">
        <v>4.9000000000000004</v>
      </c>
      <c r="K1956" t="s">
        <v>29</v>
      </c>
      <c r="L1956" t="s">
        <v>23</v>
      </c>
      <c r="M1956" t="str">
        <f>VLOOKUP(D1960,Restaurant_Master!A:B,2,FALSE)</f>
        <v>https://media-cdn.tripadvisor.com/media/photo-s/1c/c7/97/b6/photo6jpg.jpg</v>
      </c>
    </row>
    <row r="1957" spans="1:13" x14ac:dyDescent="0.3">
      <c r="A1957" t="s">
        <v>1987</v>
      </c>
      <c r="B1957" s="1">
        <v>45331</v>
      </c>
      <c r="C1957" t="s">
        <v>13</v>
      </c>
      <c r="D1957" t="s">
        <v>14</v>
      </c>
      <c r="E1957">
        <v>22</v>
      </c>
      <c r="F1957" t="s">
        <v>28</v>
      </c>
      <c r="G1957">
        <v>953.76</v>
      </c>
      <c r="H1957">
        <v>34</v>
      </c>
      <c r="I1957" t="s">
        <v>22</v>
      </c>
      <c r="J1957">
        <v>4</v>
      </c>
      <c r="K1957" t="s">
        <v>17</v>
      </c>
      <c r="L1957" t="s">
        <v>23</v>
      </c>
      <c r="M1957" t="str">
        <f>VLOOKUP(D1961,Restaurant_Master!A:B,2,FALSE)</f>
        <v>https://content.jdmagicbox.com/comp/deoria/g6/9999p5568.5568.200119143033.m4g6/catalogue/biryani-house-deoria-ho-deoria-mktc2xph0o.jpg</v>
      </c>
    </row>
    <row r="1958" spans="1:13" x14ac:dyDescent="0.3">
      <c r="A1958" t="s">
        <v>1988</v>
      </c>
      <c r="B1958" s="1">
        <v>45301</v>
      </c>
      <c r="C1958" t="s">
        <v>13</v>
      </c>
      <c r="D1958" t="s">
        <v>32</v>
      </c>
      <c r="E1958">
        <v>22</v>
      </c>
      <c r="F1958" t="s">
        <v>15</v>
      </c>
      <c r="G1958">
        <v>600.1</v>
      </c>
      <c r="H1958">
        <v>29</v>
      </c>
      <c r="I1958" t="s">
        <v>22</v>
      </c>
      <c r="J1958">
        <v>3.6</v>
      </c>
      <c r="K1958" t="s">
        <v>41</v>
      </c>
      <c r="L1958" t="s">
        <v>23</v>
      </c>
      <c r="M1958" t="str">
        <f>VLOOKUP(D1962,Restaurant_Master!A:B,2,FALSE)</f>
        <v>https://content.jdmagicbox.com/comp/deoria/g6/9999p5568.5568.200119143033.m4g6/catalogue/biryani-house-deoria-ho-deoria-mktc2xph0o.jpg</v>
      </c>
    </row>
    <row r="1959" spans="1:13" x14ac:dyDescent="0.3">
      <c r="A1959" t="s">
        <v>1989</v>
      </c>
      <c r="B1959" s="1">
        <v>45307</v>
      </c>
      <c r="C1959" t="s">
        <v>13</v>
      </c>
      <c r="D1959" t="s">
        <v>38</v>
      </c>
      <c r="E1959">
        <v>23</v>
      </c>
      <c r="F1959" t="s">
        <v>28</v>
      </c>
      <c r="G1959">
        <v>809.63</v>
      </c>
      <c r="H1959">
        <v>27</v>
      </c>
      <c r="I1959" t="s">
        <v>22</v>
      </c>
      <c r="J1959">
        <v>3.9</v>
      </c>
      <c r="K1959" t="s">
        <v>17</v>
      </c>
      <c r="L1959" t="s">
        <v>23</v>
      </c>
      <c r="M1959" t="str">
        <f>VLOOKUP(D1963,Restaurant_Master!A:B,2,FALSE)</f>
        <v>https://dynamic-media-cdn.tripadvisor.com/media/photo-o/1c/e7/04/0d/front-of-the-local-easily.jpg</v>
      </c>
    </row>
    <row r="1960" spans="1:13" x14ac:dyDescent="0.3">
      <c r="A1960" t="s">
        <v>1990</v>
      </c>
      <c r="B1960" s="1">
        <v>45525</v>
      </c>
      <c r="C1960" t="s">
        <v>13</v>
      </c>
      <c r="D1960" t="s">
        <v>25</v>
      </c>
      <c r="E1960">
        <v>51</v>
      </c>
      <c r="F1960" t="s">
        <v>15</v>
      </c>
      <c r="G1960">
        <v>505.82</v>
      </c>
      <c r="H1960">
        <v>25</v>
      </c>
      <c r="I1960" t="s">
        <v>22</v>
      </c>
      <c r="J1960">
        <v>3.1</v>
      </c>
      <c r="K1960" t="s">
        <v>26</v>
      </c>
      <c r="L1960" t="s">
        <v>23</v>
      </c>
      <c r="M1960" t="str">
        <f>VLOOKUP(D1964,Restaurant_Master!A:B,2,FALSE)</f>
        <v>https://dineout-media-assets.swiggy.com/swiggy/image/upload/fl_lossy,f_auto,q_auto/v1660793737/fdqxvxcxg1wtdwvyv45v.jpg</v>
      </c>
    </row>
    <row r="1961" spans="1:13" x14ac:dyDescent="0.3">
      <c r="A1961" t="s">
        <v>1991</v>
      </c>
      <c r="B1961" s="1">
        <v>45515</v>
      </c>
      <c r="C1961" t="s">
        <v>43</v>
      </c>
      <c r="D1961" t="s">
        <v>32</v>
      </c>
      <c r="E1961">
        <v>27</v>
      </c>
      <c r="F1961" t="s">
        <v>15</v>
      </c>
      <c r="G1961">
        <v>835.56</v>
      </c>
      <c r="H1961">
        <v>48</v>
      </c>
      <c r="I1961" t="s">
        <v>16</v>
      </c>
      <c r="J1961">
        <v>4</v>
      </c>
      <c r="K1961" t="s">
        <v>17</v>
      </c>
      <c r="L1961" t="s">
        <v>18</v>
      </c>
      <c r="M1961" t="str">
        <f>VLOOKUP(D1965,Restaurant_Master!A:B,2,FALSE)</f>
        <v>https://dineout-media-assets.swiggy.com/swiggy/image/upload/fl_lossy,f_auto,q_auto/v1660793737/fdqxvxcxg1wtdwvyv45v.jpg</v>
      </c>
    </row>
    <row r="1962" spans="1:13" x14ac:dyDescent="0.3">
      <c r="A1962" t="s">
        <v>1992</v>
      </c>
      <c r="B1962" s="1">
        <v>45574</v>
      </c>
      <c r="C1962" t="s">
        <v>34</v>
      </c>
      <c r="D1962" t="s">
        <v>32</v>
      </c>
      <c r="E1962">
        <v>60</v>
      </c>
      <c r="F1962" t="s">
        <v>15</v>
      </c>
      <c r="G1962">
        <v>876.15</v>
      </c>
      <c r="H1962">
        <v>40</v>
      </c>
      <c r="I1962" t="s">
        <v>22</v>
      </c>
      <c r="J1962">
        <v>4.0999999999999996</v>
      </c>
      <c r="K1962" t="s">
        <v>29</v>
      </c>
      <c r="L1962" t="s">
        <v>23</v>
      </c>
      <c r="M1962" t="str">
        <f>VLOOKUP(D1966,Restaurant_Master!A:B,2,FALSE)</f>
        <v>https://www.chatswoodinterchange.com/storages/2018/08/Sushi-World_666x448.jpg</v>
      </c>
    </row>
    <row r="1963" spans="1:13" x14ac:dyDescent="0.3">
      <c r="A1963" t="s">
        <v>1993</v>
      </c>
      <c r="B1963" s="1">
        <v>45414</v>
      </c>
      <c r="C1963" t="s">
        <v>20</v>
      </c>
      <c r="D1963" t="s">
        <v>21</v>
      </c>
      <c r="E1963">
        <v>24</v>
      </c>
      <c r="F1963" t="s">
        <v>28</v>
      </c>
      <c r="G1963">
        <v>482.69</v>
      </c>
      <c r="H1963">
        <v>34</v>
      </c>
      <c r="I1963" t="s">
        <v>22</v>
      </c>
      <c r="J1963">
        <v>4</v>
      </c>
      <c r="K1963" t="s">
        <v>17</v>
      </c>
      <c r="L1963" t="s">
        <v>18</v>
      </c>
      <c r="M1963" t="str">
        <f>VLOOKUP(D1967,Restaurant_Master!A:B,2,FALSE)</f>
        <v>https://dineout-media-assets.swiggy.com/swiggy/image/upload/fl_lossy,f_auto,q_auto/v1660793737/fdqxvxcxg1wtdwvyv45v.jpg</v>
      </c>
    </row>
    <row r="1964" spans="1:13" x14ac:dyDescent="0.3">
      <c r="A1964" t="s">
        <v>1994</v>
      </c>
      <c r="B1964" s="1">
        <v>45595</v>
      </c>
      <c r="C1964" t="s">
        <v>36</v>
      </c>
      <c r="D1964" t="s">
        <v>14</v>
      </c>
      <c r="E1964">
        <v>43</v>
      </c>
      <c r="F1964" t="s">
        <v>15</v>
      </c>
      <c r="G1964">
        <v>1148.8699999999999</v>
      </c>
      <c r="H1964">
        <v>58</v>
      </c>
      <c r="I1964" t="s">
        <v>16</v>
      </c>
      <c r="J1964">
        <v>2.9</v>
      </c>
      <c r="K1964" t="s">
        <v>26</v>
      </c>
      <c r="L1964" t="s">
        <v>18</v>
      </c>
      <c r="M1964" t="str">
        <f>VLOOKUP(D1968,Restaurant_Master!A:B,2,FALSE)</f>
        <v>https://content.jdmagicbox.com/comp/deoria/g6/9999p5568.5568.200119143033.m4g6/catalogue/biryani-house-deoria-ho-deoria-mktc2xph0o.jpg</v>
      </c>
    </row>
    <row r="1965" spans="1:13" x14ac:dyDescent="0.3">
      <c r="A1965" t="s">
        <v>1995</v>
      </c>
      <c r="B1965" s="1">
        <v>45474</v>
      </c>
      <c r="C1965" t="s">
        <v>36</v>
      </c>
      <c r="D1965" t="s">
        <v>14</v>
      </c>
      <c r="E1965">
        <v>37</v>
      </c>
      <c r="F1965" t="s">
        <v>15</v>
      </c>
      <c r="G1965">
        <v>436.71</v>
      </c>
      <c r="H1965">
        <v>60</v>
      </c>
      <c r="I1965" t="s">
        <v>16</v>
      </c>
      <c r="J1965">
        <v>4.4000000000000004</v>
      </c>
      <c r="K1965" t="s">
        <v>26</v>
      </c>
      <c r="L1965" t="s">
        <v>18</v>
      </c>
      <c r="M1965" t="str">
        <f>VLOOKUP(D1969,Restaurant_Master!A:B,2,FALSE)</f>
        <v>https://media-cdn.tripadvisor.com/media/photo-s/1c/c7/97/b6/photo6jpg.jpg</v>
      </c>
    </row>
    <row r="1966" spans="1:13" x14ac:dyDescent="0.3">
      <c r="A1966" t="s">
        <v>1996</v>
      </c>
      <c r="B1966" s="1">
        <v>45492</v>
      </c>
      <c r="C1966" t="s">
        <v>43</v>
      </c>
      <c r="D1966" t="s">
        <v>38</v>
      </c>
      <c r="E1966">
        <v>57</v>
      </c>
      <c r="F1966" t="s">
        <v>28</v>
      </c>
      <c r="G1966">
        <v>1063.79</v>
      </c>
      <c r="H1966">
        <v>30</v>
      </c>
      <c r="I1966" t="s">
        <v>22</v>
      </c>
      <c r="J1966">
        <v>2.6</v>
      </c>
      <c r="K1966" t="s">
        <v>17</v>
      </c>
      <c r="L1966" t="s">
        <v>23</v>
      </c>
      <c r="M1966" t="str">
        <f>VLOOKUP(D1970,Restaurant_Master!A:B,2,FALSE)</f>
        <v>https://dineout-media-assets.swiggy.com/swiggy/image/upload/fl_lossy,f_auto,q_auto/v1660793737/fdqxvxcxg1wtdwvyv45v.jpg</v>
      </c>
    </row>
    <row r="1967" spans="1:13" x14ac:dyDescent="0.3">
      <c r="A1967" t="s">
        <v>1997</v>
      </c>
      <c r="B1967" s="1">
        <v>45507</v>
      </c>
      <c r="C1967" t="s">
        <v>13</v>
      </c>
      <c r="D1967" t="s">
        <v>14</v>
      </c>
      <c r="E1967">
        <v>56</v>
      </c>
      <c r="F1967" t="s">
        <v>15</v>
      </c>
      <c r="G1967">
        <v>1041.56</v>
      </c>
      <c r="H1967">
        <v>46</v>
      </c>
      <c r="I1967" t="s">
        <v>16</v>
      </c>
      <c r="J1967">
        <v>3.7</v>
      </c>
      <c r="K1967" t="s">
        <v>17</v>
      </c>
      <c r="L1967" t="s">
        <v>18</v>
      </c>
      <c r="M1967" t="str">
        <f>VLOOKUP(D1971,Restaurant_Master!A:B,2,FALSE)</f>
        <v>https://content.jdmagicbox.com/comp/deoria/g6/9999p5568.5568.200119143033.m4g6/catalogue/biryani-house-deoria-ho-deoria-mktc2xph0o.jpg</v>
      </c>
    </row>
    <row r="1968" spans="1:13" x14ac:dyDescent="0.3">
      <c r="A1968" t="s">
        <v>1998</v>
      </c>
      <c r="B1968" s="1">
        <v>45415</v>
      </c>
      <c r="C1968" t="s">
        <v>20</v>
      </c>
      <c r="D1968" t="s">
        <v>32</v>
      </c>
      <c r="E1968">
        <v>36</v>
      </c>
      <c r="F1968" t="s">
        <v>15</v>
      </c>
      <c r="G1968">
        <v>1052.8699999999999</v>
      </c>
      <c r="H1968">
        <v>29</v>
      </c>
      <c r="I1968" t="s">
        <v>22</v>
      </c>
      <c r="J1968">
        <v>2.8</v>
      </c>
      <c r="K1968" t="s">
        <v>26</v>
      </c>
      <c r="L1968" t="s">
        <v>23</v>
      </c>
      <c r="M1968" t="str">
        <f>VLOOKUP(D1972,Restaurant_Master!A:B,2,FALSE)</f>
        <v>https://dynamic-media-cdn.tripadvisor.com/media/photo-o/1c/e7/04/0d/front-of-the-local-easily.jpg</v>
      </c>
    </row>
    <row r="1969" spans="1:13" x14ac:dyDescent="0.3">
      <c r="A1969" t="s">
        <v>1999</v>
      </c>
      <c r="B1969" s="1">
        <v>45376</v>
      </c>
      <c r="C1969" t="s">
        <v>36</v>
      </c>
      <c r="D1969" t="s">
        <v>25</v>
      </c>
      <c r="E1969">
        <v>28</v>
      </c>
      <c r="F1969" t="s">
        <v>15</v>
      </c>
      <c r="G1969">
        <v>827.77</v>
      </c>
      <c r="H1969">
        <v>38</v>
      </c>
      <c r="I1969" t="s">
        <v>22</v>
      </c>
      <c r="J1969">
        <v>2.9</v>
      </c>
      <c r="K1969" t="s">
        <v>29</v>
      </c>
      <c r="L1969" t="s">
        <v>18</v>
      </c>
      <c r="M1969" t="str">
        <f>VLOOKUP(D1973,Restaurant_Master!A:B,2,FALSE)</f>
        <v>https://content.jdmagicbox.com/comp/deoria/g6/9999p5568.5568.200119143033.m4g6/catalogue/biryani-house-deoria-ho-deoria-mktc2xph0o.jpg</v>
      </c>
    </row>
    <row r="1970" spans="1:13" x14ac:dyDescent="0.3">
      <c r="A1970" t="s">
        <v>2000</v>
      </c>
      <c r="B1970" s="1">
        <v>45520</v>
      </c>
      <c r="C1970" t="s">
        <v>13</v>
      </c>
      <c r="D1970" t="s">
        <v>14</v>
      </c>
      <c r="E1970">
        <v>27</v>
      </c>
      <c r="F1970" t="s">
        <v>15</v>
      </c>
      <c r="G1970">
        <v>308.39</v>
      </c>
      <c r="H1970">
        <v>44</v>
      </c>
      <c r="I1970" t="s">
        <v>16</v>
      </c>
      <c r="J1970">
        <v>3.2</v>
      </c>
      <c r="K1970" t="s">
        <v>26</v>
      </c>
      <c r="L1970" t="s">
        <v>18</v>
      </c>
      <c r="M1970" t="str">
        <f>VLOOKUP(D1974,Restaurant_Master!A:B,2,FALSE)</f>
        <v>https://media-cdn.tripadvisor.com/media/photo-s/1c/c7/97/b6/photo6jpg.jpg</v>
      </c>
    </row>
    <row r="1971" spans="1:13" x14ac:dyDescent="0.3">
      <c r="A1971" t="s">
        <v>2001</v>
      </c>
      <c r="B1971" s="1">
        <v>45309</v>
      </c>
      <c r="C1971" t="s">
        <v>36</v>
      </c>
      <c r="D1971" t="s">
        <v>32</v>
      </c>
      <c r="E1971">
        <v>18</v>
      </c>
      <c r="F1971" t="s">
        <v>15</v>
      </c>
      <c r="G1971">
        <v>1053.2</v>
      </c>
      <c r="H1971">
        <v>49</v>
      </c>
      <c r="I1971" t="s">
        <v>16</v>
      </c>
      <c r="J1971">
        <v>3.7</v>
      </c>
      <c r="K1971" t="s">
        <v>29</v>
      </c>
      <c r="L1971" t="s">
        <v>23</v>
      </c>
      <c r="M1971" t="str">
        <f>VLOOKUP(D1975,Restaurant_Master!A:B,2,FALSE)</f>
        <v>https://dynamic-media-cdn.tripadvisor.com/media/photo-o/1c/e7/04/0d/front-of-the-local-easily.jpg</v>
      </c>
    </row>
    <row r="1972" spans="1:13" x14ac:dyDescent="0.3">
      <c r="A1972" t="s">
        <v>2002</v>
      </c>
      <c r="B1972" s="1">
        <v>45490</v>
      </c>
      <c r="C1972" t="s">
        <v>20</v>
      </c>
      <c r="D1972" t="s">
        <v>21</v>
      </c>
      <c r="E1972">
        <v>45</v>
      </c>
      <c r="F1972" t="s">
        <v>28</v>
      </c>
      <c r="G1972">
        <v>522.99</v>
      </c>
      <c r="H1972">
        <v>34</v>
      </c>
      <c r="I1972" t="s">
        <v>22</v>
      </c>
      <c r="J1972">
        <v>4.0999999999999996</v>
      </c>
      <c r="K1972" t="s">
        <v>17</v>
      </c>
      <c r="L1972" t="s">
        <v>18</v>
      </c>
      <c r="M1972" t="str">
        <f>VLOOKUP(D1976,Restaurant_Master!A:B,2,FALSE)</f>
        <v>https://www.chatswoodinterchange.com/storages/2018/08/Sushi-World_666x448.jpg</v>
      </c>
    </row>
    <row r="1973" spans="1:13" x14ac:dyDescent="0.3">
      <c r="A1973" t="s">
        <v>2003</v>
      </c>
      <c r="B1973" s="1">
        <v>45468</v>
      </c>
      <c r="C1973" t="s">
        <v>36</v>
      </c>
      <c r="D1973" t="s">
        <v>32</v>
      </c>
      <c r="E1973">
        <v>42</v>
      </c>
      <c r="F1973" t="s">
        <v>28</v>
      </c>
      <c r="G1973">
        <v>830.04</v>
      </c>
      <c r="H1973">
        <v>43</v>
      </c>
      <c r="I1973" t="s">
        <v>16</v>
      </c>
      <c r="J1973">
        <v>4.4000000000000004</v>
      </c>
      <c r="K1973" t="s">
        <v>26</v>
      </c>
      <c r="L1973" t="s">
        <v>18</v>
      </c>
      <c r="M1973" t="str">
        <f>VLOOKUP(D1977,Restaurant_Master!A:B,2,FALSE)</f>
        <v>https://content.jdmagicbox.com/comp/deoria/g6/9999p5568.5568.200119143033.m4g6/catalogue/biryani-house-deoria-ho-deoria-mktc2xph0o.jpg</v>
      </c>
    </row>
    <row r="1974" spans="1:13" x14ac:dyDescent="0.3">
      <c r="A1974" t="s">
        <v>2004</v>
      </c>
      <c r="B1974" s="1">
        <v>45463</v>
      </c>
      <c r="C1974" t="s">
        <v>43</v>
      </c>
      <c r="D1974" t="s">
        <v>25</v>
      </c>
      <c r="E1974">
        <v>19</v>
      </c>
      <c r="F1974" t="s">
        <v>15</v>
      </c>
      <c r="G1974">
        <v>966.81</v>
      </c>
      <c r="H1974">
        <v>34</v>
      </c>
      <c r="I1974" t="s">
        <v>22</v>
      </c>
      <c r="J1974">
        <v>5</v>
      </c>
      <c r="K1974" t="s">
        <v>41</v>
      </c>
      <c r="L1974" t="s">
        <v>18</v>
      </c>
      <c r="M1974" t="str">
        <f>VLOOKUP(D1978,Restaurant_Master!A:B,2,FALSE)</f>
        <v>https://dynamic-media-cdn.tripadvisor.com/media/photo-o/1c/e7/04/0d/front-of-the-local-easily.jpg</v>
      </c>
    </row>
    <row r="1975" spans="1:13" x14ac:dyDescent="0.3">
      <c r="A1975" t="s">
        <v>2005</v>
      </c>
      <c r="B1975" s="1">
        <v>45599</v>
      </c>
      <c r="C1975" t="s">
        <v>13</v>
      </c>
      <c r="D1975" t="s">
        <v>21</v>
      </c>
      <c r="E1975">
        <v>29</v>
      </c>
      <c r="F1975" t="s">
        <v>15</v>
      </c>
      <c r="G1975">
        <v>170.37</v>
      </c>
      <c r="H1975">
        <v>28</v>
      </c>
      <c r="I1975" t="s">
        <v>22</v>
      </c>
      <c r="J1975">
        <v>4</v>
      </c>
      <c r="K1975" t="s">
        <v>29</v>
      </c>
      <c r="L1975" t="s">
        <v>18</v>
      </c>
      <c r="M1975" t="str">
        <f>VLOOKUP(D1979,Restaurant_Master!A:B,2,FALSE)</f>
        <v>https://dineout-media-assets.swiggy.com/swiggy/image/upload/fl_lossy,f_auto,q_auto/v1660793737/fdqxvxcxg1wtdwvyv45v.jpg</v>
      </c>
    </row>
    <row r="1976" spans="1:13" x14ac:dyDescent="0.3">
      <c r="A1976" t="s">
        <v>2006</v>
      </c>
      <c r="B1976" s="1">
        <v>45467</v>
      </c>
      <c r="C1976" t="s">
        <v>34</v>
      </c>
      <c r="D1976" t="s">
        <v>38</v>
      </c>
      <c r="E1976">
        <v>53</v>
      </c>
      <c r="F1976" t="s">
        <v>28</v>
      </c>
      <c r="G1976">
        <v>709.98</v>
      </c>
      <c r="H1976">
        <v>33</v>
      </c>
      <c r="I1976" t="s">
        <v>22</v>
      </c>
      <c r="J1976">
        <v>2.7</v>
      </c>
      <c r="K1976" t="s">
        <v>17</v>
      </c>
      <c r="L1976" t="s">
        <v>23</v>
      </c>
      <c r="M1976" t="str">
        <f>VLOOKUP(D1980,Restaurant_Master!A:B,2,FALSE)</f>
        <v>https://content.jdmagicbox.com/comp/deoria/g6/9999p5568.5568.200119143033.m4g6/catalogue/biryani-house-deoria-ho-deoria-mktc2xph0o.jpg</v>
      </c>
    </row>
    <row r="1977" spans="1:13" x14ac:dyDescent="0.3">
      <c r="A1977" t="s">
        <v>2007</v>
      </c>
      <c r="B1977" s="1">
        <v>45616</v>
      </c>
      <c r="C1977" t="s">
        <v>20</v>
      </c>
      <c r="D1977" t="s">
        <v>32</v>
      </c>
      <c r="E1977">
        <v>48</v>
      </c>
      <c r="F1977" t="s">
        <v>15</v>
      </c>
      <c r="G1977">
        <v>424.5</v>
      </c>
      <c r="H1977">
        <v>60</v>
      </c>
      <c r="I1977" t="s">
        <v>16</v>
      </c>
      <c r="J1977">
        <v>4.9000000000000004</v>
      </c>
      <c r="K1977" t="s">
        <v>41</v>
      </c>
      <c r="L1977" t="s">
        <v>18</v>
      </c>
      <c r="M1977" t="str">
        <f>VLOOKUP(D1981,Restaurant_Master!A:B,2,FALSE)</f>
        <v>https://www.chatswoodinterchange.com/storages/2018/08/Sushi-World_666x448.jpg</v>
      </c>
    </row>
    <row r="1978" spans="1:13" x14ac:dyDescent="0.3">
      <c r="A1978" t="s">
        <v>2008</v>
      </c>
      <c r="B1978" s="1">
        <v>45644</v>
      </c>
      <c r="C1978" t="s">
        <v>36</v>
      </c>
      <c r="D1978" t="s">
        <v>21</v>
      </c>
      <c r="E1978">
        <v>54</v>
      </c>
      <c r="F1978" t="s">
        <v>15</v>
      </c>
      <c r="G1978">
        <v>672.93</v>
      </c>
      <c r="H1978">
        <v>38</v>
      </c>
      <c r="I1978" t="s">
        <v>22</v>
      </c>
      <c r="J1978">
        <v>3.3</v>
      </c>
      <c r="K1978" t="s">
        <v>41</v>
      </c>
      <c r="L1978" t="s">
        <v>18</v>
      </c>
      <c r="M1978" t="str">
        <f>VLOOKUP(D1982,Restaurant_Master!A:B,2,FALSE)</f>
        <v>https://content.jdmagicbox.com/comp/deoria/g6/9999p5568.5568.200119143033.m4g6/catalogue/biryani-house-deoria-ho-deoria-mktc2xph0o.jpg</v>
      </c>
    </row>
    <row r="1979" spans="1:13" x14ac:dyDescent="0.3">
      <c r="A1979" t="s">
        <v>2009</v>
      </c>
      <c r="B1979" s="1">
        <v>45327</v>
      </c>
      <c r="C1979" t="s">
        <v>43</v>
      </c>
      <c r="D1979" t="s">
        <v>14</v>
      </c>
      <c r="E1979">
        <v>22</v>
      </c>
      <c r="F1979" t="s">
        <v>28</v>
      </c>
      <c r="G1979">
        <v>405.87</v>
      </c>
      <c r="H1979">
        <v>42</v>
      </c>
      <c r="I1979" t="s">
        <v>16</v>
      </c>
      <c r="J1979">
        <v>5</v>
      </c>
      <c r="K1979" t="s">
        <v>41</v>
      </c>
      <c r="L1979" t="s">
        <v>23</v>
      </c>
      <c r="M1979" t="str">
        <f>VLOOKUP(D1983,Restaurant_Master!A:B,2,FALSE)</f>
        <v>https://dineout-media-assets.swiggy.com/swiggy/image/upload/fl_lossy,f_auto,q_auto/v1660793737/fdqxvxcxg1wtdwvyv45v.jpg</v>
      </c>
    </row>
    <row r="1980" spans="1:13" x14ac:dyDescent="0.3">
      <c r="A1980" t="s">
        <v>2010</v>
      </c>
      <c r="B1980" s="1">
        <v>45603</v>
      </c>
      <c r="C1980" t="s">
        <v>34</v>
      </c>
      <c r="D1980" t="s">
        <v>32</v>
      </c>
      <c r="E1980">
        <v>18</v>
      </c>
      <c r="F1980" t="s">
        <v>15</v>
      </c>
      <c r="G1980">
        <v>217.36</v>
      </c>
      <c r="H1980">
        <v>21</v>
      </c>
      <c r="I1980" t="s">
        <v>22</v>
      </c>
      <c r="J1980">
        <v>3.7</v>
      </c>
      <c r="K1980" t="s">
        <v>41</v>
      </c>
      <c r="L1980" t="s">
        <v>18</v>
      </c>
      <c r="M1980" t="str">
        <f>VLOOKUP(D1984,Restaurant_Master!A:B,2,FALSE)</f>
        <v>https://dynamic-media-cdn.tripadvisor.com/media/photo-o/1c/e7/04/0d/front-of-the-local-easily.jpg</v>
      </c>
    </row>
    <row r="1981" spans="1:13" x14ac:dyDescent="0.3">
      <c r="A1981" t="s">
        <v>2011</v>
      </c>
      <c r="B1981" s="1">
        <v>45521</v>
      </c>
      <c r="C1981" t="s">
        <v>43</v>
      </c>
      <c r="D1981" t="s">
        <v>38</v>
      </c>
      <c r="E1981">
        <v>24</v>
      </c>
      <c r="F1981" t="s">
        <v>28</v>
      </c>
      <c r="G1981">
        <v>1068.68</v>
      </c>
      <c r="H1981">
        <v>50</v>
      </c>
      <c r="I1981" t="s">
        <v>16</v>
      </c>
      <c r="J1981">
        <v>3.8</v>
      </c>
      <c r="K1981" t="s">
        <v>29</v>
      </c>
      <c r="L1981" t="s">
        <v>18</v>
      </c>
      <c r="M1981" t="str">
        <f>VLOOKUP(D1985,Restaurant_Master!A:B,2,FALSE)</f>
        <v>https://dineout-media-assets.swiggy.com/swiggy/image/upload/fl_lossy,f_auto,q_auto/v1660793737/fdqxvxcxg1wtdwvyv45v.jpg</v>
      </c>
    </row>
    <row r="1982" spans="1:13" x14ac:dyDescent="0.3">
      <c r="A1982" t="s">
        <v>2012</v>
      </c>
      <c r="B1982" s="1">
        <v>45493</v>
      </c>
      <c r="C1982" t="s">
        <v>20</v>
      </c>
      <c r="D1982" t="s">
        <v>32</v>
      </c>
      <c r="E1982">
        <v>38</v>
      </c>
      <c r="F1982" t="s">
        <v>15</v>
      </c>
      <c r="G1982">
        <v>1199.7</v>
      </c>
      <c r="H1982">
        <v>38</v>
      </c>
      <c r="I1982" t="s">
        <v>22</v>
      </c>
      <c r="J1982">
        <v>3.5</v>
      </c>
      <c r="K1982" t="s">
        <v>41</v>
      </c>
      <c r="L1982" t="s">
        <v>18</v>
      </c>
      <c r="M1982" t="str">
        <f>VLOOKUP(D1986,Restaurant_Master!A:B,2,FALSE)</f>
        <v>https://dineout-media-assets.swiggy.com/swiggy/image/upload/fl_lossy,f_auto,q_auto/v1660793737/fdqxvxcxg1wtdwvyv45v.jpg</v>
      </c>
    </row>
    <row r="1983" spans="1:13" x14ac:dyDescent="0.3">
      <c r="A1983" t="s">
        <v>2013</v>
      </c>
      <c r="B1983" s="1">
        <v>45406</v>
      </c>
      <c r="C1983" t="s">
        <v>20</v>
      </c>
      <c r="D1983" t="s">
        <v>14</v>
      </c>
      <c r="E1983">
        <v>18</v>
      </c>
      <c r="F1983" t="s">
        <v>28</v>
      </c>
      <c r="G1983">
        <v>935.78</v>
      </c>
      <c r="H1983">
        <v>38</v>
      </c>
      <c r="I1983" t="s">
        <v>22</v>
      </c>
      <c r="J1983">
        <v>3.9</v>
      </c>
      <c r="K1983" t="s">
        <v>17</v>
      </c>
      <c r="L1983" t="s">
        <v>23</v>
      </c>
      <c r="M1983" t="str">
        <f>VLOOKUP(D1987,Restaurant_Master!A:B,2,FALSE)</f>
        <v>https://dineout-media-assets.swiggy.com/swiggy/image/upload/fl_lossy,f_auto,q_auto/v1660793737/fdqxvxcxg1wtdwvyv45v.jpg</v>
      </c>
    </row>
    <row r="1984" spans="1:13" x14ac:dyDescent="0.3">
      <c r="A1984" t="s">
        <v>2014</v>
      </c>
      <c r="B1984" s="1">
        <v>45411</v>
      </c>
      <c r="C1984" t="s">
        <v>36</v>
      </c>
      <c r="D1984" t="s">
        <v>21</v>
      </c>
      <c r="E1984">
        <v>54</v>
      </c>
      <c r="F1984" t="s">
        <v>15</v>
      </c>
      <c r="G1984">
        <v>1094.5</v>
      </c>
      <c r="H1984">
        <v>59</v>
      </c>
      <c r="I1984" t="s">
        <v>16</v>
      </c>
      <c r="J1984">
        <v>4.7</v>
      </c>
      <c r="K1984" t="s">
        <v>17</v>
      </c>
      <c r="L1984" t="s">
        <v>18</v>
      </c>
      <c r="M1984" t="str">
        <f>VLOOKUP(D1988,Restaurant_Master!A:B,2,FALSE)</f>
        <v>https://www.chatswoodinterchange.com/storages/2018/08/Sushi-World_666x448.jpg</v>
      </c>
    </row>
    <row r="1985" spans="1:13" x14ac:dyDescent="0.3">
      <c r="A1985" t="s">
        <v>2015</v>
      </c>
      <c r="B1985" s="1">
        <v>45353</v>
      </c>
      <c r="C1985" t="s">
        <v>13</v>
      </c>
      <c r="D1985" t="s">
        <v>14</v>
      </c>
      <c r="E1985">
        <v>21</v>
      </c>
      <c r="F1985" t="s">
        <v>28</v>
      </c>
      <c r="G1985">
        <v>615.39</v>
      </c>
      <c r="H1985">
        <v>20</v>
      </c>
      <c r="I1985" t="s">
        <v>22</v>
      </c>
      <c r="J1985">
        <v>3.4</v>
      </c>
      <c r="K1985" t="s">
        <v>26</v>
      </c>
      <c r="L1985" t="s">
        <v>23</v>
      </c>
      <c r="M1985" t="str">
        <f>VLOOKUP(D1989,Restaurant_Master!A:B,2,FALSE)</f>
        <v>https://dynamic-media-cdn.tripadvisor.com/media/photo-o/1c/e7/04/0d/front-of-the-local-easily.jpg</v>
      </c>
    </row>
    <row r="1986" spans="1:13" x14ac:dyDescent="0.3">
      <c r="A1986" t="s">
        <v>2016</v>
      </c>
      <c r="B1986" s="1">
        <v>45411</v>
      </c>
      <c r="C1986" t="s">
        <v>43</v>
      </c>
      <c r="D1986" t="s">
        <v>14</v>
      </c>
      <c r="E1986">
        <v>25</v>
      </c>
      <c r="F1986" t="s">
        <v>28</v>
      </c>
      <c r="G1986">
        <v>1033.82</v>
      </c>
      <c r="H1986">
        <v>51</v>
      </c>
      <c r="I1986" t="s">
        <v>16</v>
      </c>
      <c r="J1986">
        <v>4.3</v>
      </c>
      <c r="K1986" t="s">
        <v>29</v>
      </c>
      <c r="L1986" t="s">
        <v>18</v>
      </c>
      <c r="M1986" t="str">
        <f>VLOOKUP(D1990,Restaurant_Master!A:B,2,FALSE)</f>
        <v>https://dineout-media-assets.swiggy.com/swiggy/image/upload/fl_lossy,f_auto,q_auto/v1660793737/fdqxvxcxg1wtdwvyv45v.jpg</v>
      </c>
    </row>
    <row r="1987" spans="1:13" x14ac:dyDescent="0.3">
      <c r="A1987" t="s">
        <v>2017</v>
      </c>
      <c r="B1987" s="1">
        <v>45550</v>
      </c>
      <c r="C1987" t="s">
        <v>34</v>
      </c>
      <c r="D1987" t="s">
        <v>14</v>
      </c>
      <c r="E1987">
        <v>59</v>
      </c>
      <c r="F1987" t="s">
        <v>28</v>
      </c>
      <c r="G1987">
        <v>1141.79</v>
      </c>
      <c r="H1987">
        <v>24</v>
      </c>
      <c r="I1987" t="s">
        <v>22</v>
      </c>
      <c r="J1987">
        <v>4.9000000000000004</v>
      </c>
      <c r="K1987" t="s">
        <v>41</v>
      </c>
      <c r="L1987" t="s">
        <v>18</v>
      </c>
      <c r="M1987" t="str">
        <f>VLOOKUP(D1991,Restaurant_Master!A:B,2,FALSE)</f>
        <v>https://media-cdn.tripadvisor.com/media/photo-s/1c/c7/97/b6/photo6jpg.jpg</v>
      </c>
    </row>
    <row r="1988" spans="1:13" x14ac:dyDescent="0.3">
      <c r="A1988" t="s">
        <v>2018</v>
      </c>
      <c r="B1988" s="1">
        <v>45466</v>
      </c>
      <c r="C1988" t="s">
        <v>13</v>
      </c>
      <c r="D1988" t="s">
        <v>38</v>
      </c>
      <c r="E1988">
        <v>48</v>
      </c>
      <c r="F1988" t="s">
        <v>28</v>
      </c>
      <c r="G1988">
        <v>352.77</v>
      </c>
      <c r="H1988">
        <v>51</v>
      </c>
      <c r="I1988" t="s">
        <v>16</v>
      </c>
      <c r="J1988">
        <v>3.1</v>
      </c>
      <c r="K1988" t="s">
        <v>17</v>
      </c>
      <c r="L1988" t="s">
        <v>23</v>
      </c>
      <c r="M1988" t="str">
        <f>VLOOKUP(D1992,Restaurant_Master!A:B,2,FALSE)</f>
        <v>https://media-cdn.tripadvisor.com/media/photo-s/1c/c7/97/b6/photo6jpg.jpg</v>
      </c>
    </row>
    <row r="1989" spans="1:13" x14ac:dyDescent="0.3">
      <c r="A1989" t="s">
        <v>2019</v>
      </c>
      <c r="B1989" s="1">
        <v>45591</v>
      </c>
      <c r="C1989" t="s">
        <v>34</v>
      </c>
      <c r="D1989" t="s">
        <v>21</v>
      </c>
      <c r="E1989">
        <v>44</v>
      </c>
      <c r="F1989" t="s">
        <v>15</v>
      </c>
      <c r="G1989">
        <v>1166.07</v>
      </c>
      <c r="H1989">
        <v>45</v>
      </c>
      <c r="I1989" t="s">
        <v>16</v>
      </c>
      <c r="J1989">
        <v>3.5</v>
      </c>
      <c r="K1989" t="s">
        <v>17</v>
      </c>
      <c r="L1989" t="s">
        <v>18</v>
      </c>
      <c r="M1989" t="str">
        <f>VLOOKUP(D1993,Restaurant_Master!A:B,2,FALSE)</f>
        <v>https://media-cdn.tripadvisor.com/media/photo-s/1c/c7/97/b6/photo6jpg.jpg</v>
      </c>
    </row>
    <row r="1990" spans="1:13" x14ac:dyDescent="0.3">
      <c r="A1990" t="s">
        <v>2020</v>
      </c>
      <c r="B1990" s="1">
        <v>45612</v>
      </c>
      <c r="C1990" t="s">
        <v>36</v>
      </c>
      <c r="D1990" t="s">
        <v>14</v>
      </c>
      <c r="E1990">
        <v>43</v>
      </c>
      <c r="F1990" t="s">
        <v>15</v>
      </c>
      <c r="G1990">
        <v>734.09</v>
      </c>
      <c r="H1990">
        <v>52</v>
      </c>
      <c r="I1990" t="s">
        <v>16</v>
      </c>
      <c r="J1990">
        <v>3.8</v>
      </c>
      <c r="K1990" t="s">
        <v>26</v>
      </c>
      <c r="L1990" t="s">
        <v>18</v>
      </c>
      <c r="M1990" t="str">
        <f>VLOOKUP(D1994,Restaurant_Master!A:B,2,FALSE)</f>
        <v>https://media-cdn.tripadvisor.com/media/photo-s/1c/c7/97/b6/photo6jpg.jpg</v>
      </c>
    </row>
    <row r="1991" spans="1:13" x14ac:dyDescent="0.3">
      <c r="A1991" t="s">
        <v>2021</v>
      </c>
      <c r="B1991" s="1">
        <v>45418</v>
      </c>
      <c r="C1991" t="s">
        <v>36</v>
      </c>
      <c r="D1991" t="s">
        <v>25</v>
      </c>
      <c r="E1991">
        <v>31</v>
      </c>
      <c r="F1991" t="s">
        <v>28</v>
      </c>
      <c r="G1991">
        <v>488.17</v>
      </c>
      <c r="H1991">
        <v>40</v>
      </c>
      <c r="I1991" t="s">
        <v>22</v>
      </c>
      <c r="J1991">
        <v>2.8</v>
      </c>
      <c r="K1991" t="s">
        <v>41</v>
      </c>
      <c r="L1991" t="s">
        <v>18</v>
      </c>
      <c r="M1991" t="str">
        <f>VLOOKUP(D1995,Restaurant_Master!A:B,2,FALSE)</f>
        <v>https://content.jdmagicbox.com/comp/deoria/g6/9999p5568.5568.200119143033.m4g6/catalogue/biryani-house-deoria-ho-deoria-mktc2xph0o.jpg</v>
      </c>
    </row>
    <row r="1992" spans="1:13" x14ac:dyDescent="0.3">
      <c r="A1992" t="s">
        <v>2022</v>
      </c>
      <c r="B1992" s="1">
        <v>45388</v>
      </c>
      <c r="C1992" t="s">
        <v>34</v>
      </c>
      <c r="D1992" t="s">
        <v>25</v>
      </c>
      <c r="E1992">
        <v>30</v>
      </c>
      <c r="F1992" t="s">
        <v>15</v>
      </c>
      <c r="G1992">
        <v>555.77</v>
      </c>
      <c r="H1992">
        <v>35</v>
      </c>
      <c r="I1992" t="s">
        <v>22</v>
      </c>
      <c r="J1992">
        <v>3</v>
      </c>
      <c r="K1992" t="s">
        <v>17</v>
      </c>
      <c r="L1992" t="s">
        <v>18</v>
      </c>
      <c r="M1992" t="str">
        <f>VLOOKUP(D1996,Restaurant_Master!A:B,2,FALSE)</f>
        <v>https://media-cdn.tripadvisor.com/media/photo-s/1c/c7/97/b6/photo6jpg.jpg</v>
      </c>
    </row>
    <row r="1993" spans="1:13" x14ac:dyDescent="0.3">
      <c r="A1993" t="s">
        <v>2023</v>
      </c>
      <c r="B1993" s="1">
        <v>45606</v>
      </c>
      <c r="C1993" t="s">
        <v>20</v>
      </c>
      <c r="D1993" t="s">
        <v>25</v>
      </c>
      <c r="E1993">
        <v>26</v>
      </c>
      <c r="F1993" t="s">
        <v>28</v>
      </c>
      <c r="G1993">
        <v>999.57</v>
      </c>
      <c r="H1993">
        <v>59</v>
      </c>
      <c r="I1993" t="s">
        <v>16</v>
      </c>
      <c r="J1993">
        <v>4</v>
      </c>
      <c r="K1993" t="s">
        <v>26</v>
      </c>
      <c r="L1993" t="s">
        <v>18</v>
      </c>
      <c r="M1993" t="str">
        <f>VLOOKUP(D1997,Restaurant_Master!A:B,2,FALSE)</f>
        <v>https://dynamic-media-cdn.tripadvisor.com/media/photo-o/1c/e7/04/0d/front-of-the-local-easily.jpg</v>
      </c>
    </row>
    <row r="1994" spans="1:13" x14ac:dyDescent="0.3">
      <c r="A1994" t="s">
        <v>2024</v>
      </c>
      <c r="B1994" s="1">
        <v>45634</v>
      </c>
      <c r="C1994" t="s">
        <v>36</v>
      </c>
      <c r="D1994" t="s">
        <v>25</v>
      </c>
      <c r="E1994">
        <v>45</v>
      </c>
      <c r="F1994" t="s">
        <v>15</v>
      </c>
      <c r="G1994">
        <v>429.56</v>
      </c>
      <c r="H1994">
        <v>26</v>
      </c>
      <c r="I1994" t="s">
        <v>22</v>
      </c>
      <c r="J1994">
        <v>4.4000000000000004</v>
      </c>
      <c r="K1994" t="s">
        <v>29</v>
      </c>
      <c r="L1994" t="s">
        <v>18</v>
      </c>
      <c r="M1994" t="str">
        <f>VLOOKUP(D1998,Restaurant_Master!A:B,2,FALSE)</f>
        <v>https://dineout-media-assets.swiggy.com/swiggy/image/upload/fl_lossy,f_auto,q_auto/v1660793737/fdqxvxcxg1wtdwvyv45v.jpg</v>
      </c>
    </row>
    <row r="1995" spans="1:13" x14ac:dyDescent="0.3">
      <c r="A1995" t="s">
        <v>2025</v>
      </c>
      <c r="B1995" s="1">
        <v>45318</v>
      </c>
      <c r="C1995" t="s">
        <v>13</v>
      </c>
      <c r="D1995" t="s">
        <v>32</v>
      </c>
      <c r="E1995">
        <v>57</v>
      </c>
      <c r="F1995" t="s">
        <v>28</v>
      </c>
      <c r="G1995">
        <v>1096.4000000000001</v>
      </c>
      <c r="H1995">
        <v>28</v>
      </c>
      <c r="I1995" t="s">
        <v>22</v>
      </c>
      <c r="J1995">
        <v>3.7</v>
      </c>
      <c r="K1995" t="s">
        <v>26</v>
      </c>
      <c r="L1995" t="s">
        <v>23</v>
      </c>
      <c r="M1995" t="str">
        <f>VLOOKUP(D1999,Restaurant_Master!A:B,2,FALSE)</f>
        <v>https://content.jdmagicbox.com/comp/deoria/g6/9999p5568.5568.200119143033.m4g6/catalogue/biryani-house-deoria-ho-deoria-mktc2xph0o.jpg</v>
      </c>
    </row>
    <row r="1996" spans="1:13" x14ac:dyDescent="0.3">
      <c r="A1996" t="s">
        <v>2026</v>
      </c>
      <c r="B1996" s="1">
        <v>45378</v>
      </c>
      <c r="C1996" t="s">
        <v>13</v>
      </c>
      <c r="D1996" t="s">
        <v>25</v>
      </c>
      <c r="E1996">
        <v>46</v>
      </c>
      <c r="F1996" t="s">
        <v>15</v>
      </c>
      <c r="G1996">
        <v>284.75</v>
      </c>
      <c r="H1996">
        <v>21</v>
      </c>
      <c r="I1996" t="s">
        <v>22</v>
      </c>
      <c r="J1996">
        <v>3.7</v>
      </c>
      <c r="K1996" t="s">
        <v>41</v>
      </c>
      <c r="L1996" t="s">
        <v>23</v>
      </c>
      <c r="M1996" t="str">
        <f>VLOOKUP(D2000,Restaurant_Master!A:B,2,FALSE)</f>
        <v>https://media-cdn.tripadvisor.com/media/photo-s/1c/c7/97/b6/photo6jpg.jpg</v>
      </c>
    </row>
    <row r="1997" spans="1:13" x14ac:dyDescent="0.3">
      <c r="A1997" t="s">
        <v>2027</v>
      </c>
      <c r="B1997" s="1">
        <v>45648</v>
      </c>
      <c r="C1997" t="s">
        <v>36</v>
      </c>
      <c r="D1997" t="s">
        <v>21</v>
      </c>
      <c r="E1997">
        <v>38</v>
      </c>
      <c r="F1997" t="s">
        <v>28</v>
      </c>
      <c r="G1997">
        <v>735.61</v>
      </c>
      <c r="H1997">
        <v>56</v>
      </c>
      <c r="I1997" t="s">
        <v>16</v>
      </c>
      <c r="J1997">
        <v>4.8</v>
      </c>
      <c r="K1997" t="s">
        <v>17</v>
      </c>
      <c r="L1997" t="s">
        <v>23</v>
      </c>
      <c r="M1997" t="str">
        <f>VLOOKUP(D2001,Restaurant_Master!A:B,2,FALSE)</f>
        <v>https://www.chatswoodinterchange.com/storages/2018/08/Sushi-World_666x448.jpg</v>
      </c>
    </row>
    <row r="1998" spans="1:13" x14ac:dyDescent="0.3">
      <c r="A1998" t="s">
        <v>2028</v>
      </c>
      <c r="B1998" s="1">
        <v>45647</v>
      </c>
      <c r="C1998" t="s">
        <v>34</v>
      </c>
      <c r="D1998" t="s">
        <v>14</v>
      </c>
      <c r="E1998">
        <v>18</v>
      </c>
      <c r="F1998" t="s">
        <v>28</v>
      </c>
      <c r="G1998">
        <v>963.35</v>
      </c>
      <c r="H1998">
        <v>27</v>
      </c>
      <c r="I1998" t="s">
        <v>22</v>
      </c>
      <c r="J1998">
        <v>2.8</v>
      </c>
      <c r="K1998" t="s">
        <v>26</v>
      </c>
      <c r="L1998" t="s">
        <v>18</v>
      </c>
      <c r="M1998" t="str">
        <f>VLOOKUP(D2002,Restaurant_Master!A:B,2,FALSE)</f>
        <v>https://dineout-media-assets.swiggy.com/swiggy/image/upload/fl_lossy,f_auto,q_auto/v1660793737/fdqxvxcxg1wtdwvyv45v.jpg</v>
      </c>
    </row>
    <row r="1999" spans="1:13" x14ac:dyDescent="0.3">
      <c r="A1999" t="s">
        <v>2029</v>
      </c>
      <c r="B1999" s="1">
        <v>45365</v>
      </c>
      <c r="C1999" t="s">
        <v>36</v>
      </c>
      <c r="D1999" t="s">
        <v>32</v>
      </c>
      <c r="E1999">
        <v>49</v>
      </c>
      <c r="F1999" t="s">
        <v>15</v>
      </c>
      <c r="G1999">
        <v>1143.6199999999999</v>
      </c>
      <c r="H1999">
        <v>60</v>
      </c>
      <c r="I1999" t="s">
        <v>16</v>
      </c>
      <c r="J1999">
        <v>3.4</v>
      </c>
      <c r="K1999" t="s">
        <v>26</v>
      </c>
      <c r="L1999" t="s">
        <v>23</v>
      </c>
      <c r="M1999" t="str">
        <f>VLOOKUP(D2003,Restaurant_Master!A:B,2,FALSE)</f>
        <v>https://media-cdn.tripadvisor.com/media/photo-s/1c/c7/97/b6/photo6jpg.jpg</v>
      </c>
    </row>
    <row r="2000" spans="1:13" x14ac:dyDescent="0.3">
      <c r="A2000" t="s">
        <v>2030</v>
      </c>
      <c r="B2000" s="1">
        <v>45524</v>
      </c>
      <c r="C2000" t="s">
        <v>36</v>
      </c>
      <c r="D2000" t="s">
        <v>25</v>
      </c>
      <c r="E2000">
        <v>49</v>
      </c>
      <c r="F2000" t="s">
        <v>28</v>
      </c>
      <c r="G2000">
        <v>698.62</v>
      </c>
      <c r="H2000">
        <v>59</v>
      </c>
      <c r="I2000" t="s">
        <v>16</v>
      </c>
      <c r="J2000">
        <v>3.9</v>
      </c>
      <c r="K2000" t="s">
        <v>26</v>
      </c>
      <c r="L2000" t="s">
        <v>18</v>
      </c>
      <c r="M2000" t="str">
        <f>VLOOKUP(D2004,Restaurant_Master!A:B,2,FALSE)</f>
        <v>https://content.jdmagicbox.com/comp/deoria/g6/9999p5568.5568.200119143033.m4g6/catalogue/biryani-house-deoria-ho-deoria-mktc2xph0o.jpg</v>
      </c>
    </row>
    <row r="2001" spans="1:13" x14ac:dyDescent="0.3">
      <c r="A2001" t="s">
        <v>2031</v>
      </c>
      <c r="B2001" s="1">
        <v>45448</v>
      </c>
      <c r="C2001" t="s">
        <v>20</v>
      </c>
      <c r="D2001" t="s">
        <v>38</v>
      </c>
      <c r="E2001">
        <v>50</v>
      </c>
      <c r="F2001" t="s">
        <v>28</v>
      </c>
      <c r="G2001">
        <v>1198.0899999999999</v>
      </c>
      <c r="H2001">
        <v>58</v>
      </c>
      <c r="I2001" t="s">
        <v>16</v>
      </c>
      <c r="J2001">
        <v>2.9</v>
      </c>
      <c r="K2001" t="s">
        <v>29</v>
      </c>
      <c r="L2001" t="s">
        <v>18</v>
      </c>
      <c r="M2001" t="str">
        <f>VLOOKUP(D2005,Restaurant_Master!A:B,2,FALSE)</f>
        <v>https://dynamic-media-cdn.tripadvisor.com/media/photo-o/1c/e7/04/0d/front-of-the-local-easily.jpg</v>
      </c>
    </row>
    <row r="2002" spans="1:13" x14ac:dyDescent="0.3">
      <c r="A2002" t="s">
        <v>2032</v>
      </c>
      <c r="B2002" s="1">
        <v>45313</v>
      </c>
      <c r="C2002" t="s">
        <v>34</v>
      </c>
      <c r="D2002" t="s">
        <v>14</v>
      </c>
      <c r="E2002">
        <v>50</v>
      </c>
      <c r="F2002" t="s">
        <v>28</v>
      </c>
      <c r="G2002">
        <v>1006.32</v>
      </c>
      <c r="H2002">
        <v>36</v>
      </c>
      <c r="I2002" t="s">
        <v>22</v>
      </c>
      <c r="J2002">
        <v>2.8</v>
      </c>
      <c r="K2002" t="s">
        <v>29</v>
      </c>
      <c r="L2002" t="s">
        <v>18</v>
      </c>
      <c r="M2002" t="str">
        <f>VLOOKUP(D2006,Restaurant_Master!A:B,2,FALSE)</f>
        <v>https://dynamic-media-cdn.tripadvisor.com/media/photo-o/1c/e7/04/0d/front-of-the-local-easily.jpg</v>
      </c>
    </row>
    <row r="2003" spans="1:13" x14ac:dyDescent="0.3">
      <c r="A2003" t="s">
        <v>2033</v>
      </c>
      <c r="B2003" s="1">
        <v>45464</v>
      </c>
      <c r="C2003" t="s">
        <v>20</v>
      </c>
      <c r="D2003" t="s">
        <v>25</v>
      </c>
      <c r="E2003">
        <v>26</v>
      </c>
      <c r="F2003" t="s">
        <v>28</v>
      </c>
      <c r="G2003">
        <v>426.08</v>
      </c>
      <c r="H2003">
        <v>22</v>
      </c>
      <c r="I2003" t="s">
        <v>22</v>
      </c>
      <c r="J2003">
        <v>4</v>
      </c>
      <c r="K2003" t="s">
        <v>41</v>
      </c>
      <c r="L2003" t="s">
        <v>18</v>
      </c>
      <c r="M2003" t="str">
        <f>VLOOKUP(D2007,Restaurant_Master!A:B,2,FALSE)</f>
        <v>https://content.jdmagicbox.com/comp/deoria/g6/9999p5568.5568.200119143033.m4g6/catalogue/biryani-house-deoria-ho-deoria-mktc2xph0o.jpg</v>
      </c>
    </row>
    <row r="2004" spans="1:13" x14ac:dyDescent="0.3">
      <c r="A2004" t="s">
        <v>2034</v>
      </c>
      <c r="B2004" s="1">
        <v>45597</v>
      </c>
      <c r="C2004" t="s">
        <v>20</v>
      </c>
      <c r="D2004" t="s">
        <v>32</v>
      </c>
      <c r="E2004">
        <v>37</v>
      </c>
      <c r="F2004" t="s">
        <v>28</v>
      </c>
      <c r="G2004">
        <v>684.1</v>
      </c>
      <c r="H2004">
        <v>36</v>
      </c>
      <c r="I2004" t="s">
        <v>22</v>
      </c>
      <c r="J2004">
        <v>2.9</v>
      </c>
      <c r="K2004" t="s">
        <v>26</v>
      </c>
      <c r="L2004" t="s">
        <v>18</v>
      </c>
      <c r="M2004" t="str">
        <f>VLOOKUP(D2008,Restaurant_Master!A:B,2,FALSE)</f>
        <v>https://www.chatswoodinterchange.com/storages/2018/08/Sushi-World_666x448.jpg</v>
      </c>
    </row>
    <row r="2005" spans="1:13" x14ac:dyDescent="0.3">
      <c r="A2005" t="s">
        <v>2035</v>
      </c>
      <c r="B2005" s="1">
        <v>45427</v>
      </c>
      <c r="C2005" t="s">
        <v>13</v>
      </c>
      <c r="D2005" t="s">
        <v>21</v>
      </c>
      <c r="E2005">
        <v>60</v>
      </c>
      <c r="F2005" t="s">
        <v>15</v>
      </c>
      <c r="G2005">
        <v>1171.9000000000001</v>
      </c>
      <c r="H2005">
        <v>39</v>
      </c>
      <c r="I2005" t="s">
        <v>22</v>
      </c>
      <c r="J2005">
        <v>2.9</v>
      </c>
      <c r="K2005" t="s">
        <v>17</v>
      </c>
      <c r="L2005" t="s">
        <v>18</v>
      </c>
      <c r="M2005" t="str">
        <f>VLOOKUP(D2009,Restaurant_Master!A:B,2,FALSE)</f>
        <v>https://www.chatswoodinterchange.com/storages/2018/08/Sushi-World_666x448.jpg</v>
      </c>
    </row>
    <row r="2006" spans="1:13" x14ac:dyDescent="0.3">
      <c r="A2006" t="s">
        <v>2036</v>
      </c>
      <c r="B2006" s="1">
        <v>45413</v>
      </c>
      <c r="C2006" t="s">
        <v>34</v>
      </c>
      <c r="D2006" t="s">
        <v>21</v>
      </c>
      <c r="E2006">
        <v>26</v>
      </c>
      <c r="F2006" t="s">
        <v>28</v>
      </c>
      <c r="G2006">
        <v>194.02</v>
      </c>
      <c r="H2006">
        <v>57</v>
      </c>
      <c r="I2006" t="s">
        <v>16</v>
      </c>
      <c r="J2006">
        <v>4.8</v>
      </c>
      <c r="K2006" t="s">
        <v>29</v>
      </c>
      <c r="L2006" t="s">
        <v>18</v>
      </c>
      <c r="M2006" t="str">
        <f>VLOOKUP(D2010,Restaurant_Master!A:B,2,FALSE)</f>
        <v>https://www.chatswoodinterchange.com/storages/2018/08/Sushi-World_666x448.jpg</v>
      </c>
    </row>
    <row r="2007" spans="1:13" x14ac:dyDescent="0.3">
      <c r="A2007" t="s">
        <v>2037</v>
      </c>
      <c r="B2007" s="1">
        <v>45430</v>
      </c>
      <c r="C2007" t="s">
        <v>43</v>
      </c>
      <c r="D2007" t="s">
        <v>32</v>
      </c>
      <c r="E2007">
        <v>53</v>
      </c>
      <c r="F2007" t="s">
        <v>28</v>
      </c>
      <c r="G2007">
        <v>431.3</v>
      </c>
      <c r="H2007">
        <v>40</v>
      </c>
      <c r="I2007" t="s">
        <v>22</v>
      </c>
      <c r="J2007">
        <v>4.9000000000000004</v>
      </c>
      <c r="K2007" t="s">
        <v>26</v>
      </c>
      <c r="L2007" t="s">
        <v>23</v>
      </c>
      <c r="M2007" t="str">
        <f>VLOOKUP(D2011,Restaurant_Master!A:B,2,FALSE)</f>
        <v>https://content.jdmagicbox.com/comp/deoria/g6/9999p5568.5568.200119143033.m4g6/catalogue/biryani-house-deoria-ho-deoria-mktc2xph0o.jpg</v>
      </c>
    </row>
    <row r="2008" spans="1:13" x14ac:dyDescent="0.3">
      <c r="A2008" t="s">
        <v>2038</v>
      </c>
      <c r="B2008" s="1">
        <v>45480</v>
      </c>
      <c r="C2008" t="s">
        <v>43</v>
      </c>
      <c r="D2008" t="s">
        <v>38</v>
      </c>
      <c r="E2008">
        <v>56</v>
      </c>
      <c r="F2008" t="s">
        <v>15</v>
      </c>
      <c r="G2008">
        <v>700.46</v>
      </c>
      <c r="H2008">
        <v>40</v>
      </c>
      <c r="I2008" t="s">
        <v>22</v>
      </c>
      <c r="J2008">
        <v>4.7</v>
      </c>
      <c r="K2008" t="s">
        <v>41</v>
      </c>
      <c r="L2008" t="s">
        <v>18</v>
      </c>
      <c r="M2008" t="str">
        <f>VLOOKUP(D2012,Restaurant_Master!A:B,2,FALSE)</f>
        <v>https://dynamic-media-cdn.tripadvisor.com/media/photo-o/1c/e7/04/0d/front-of-the-local-easily.jpg</v>
      </c>
    </row>
    <row r="2009" spans="1:13" x14ac:dyDescent="0.3">
      <c r="A2009" t="s">
        <v>2039</v>
      </c>
      <c r="B2009" s="1">
        <v>45652</v>
      </c>
      <c r="C2009" t="s">
        <v>13</v>
      </c>
      <c r="D2009" t="s">
        <v>38</v>
      </c>
      <c r="E2009">
        <v>24</v>
      </c>
      <c r="F2009" t="s">
        <v>15</v>
      </c>
      <c r="G2009">
        <v>886.6</v>
      </c>
      <c r="H2009">
        <v>34</v>
      </c>
      <c r="I2009" t="s">
        <v>22</v>
      </c>
      <c r="J2009">
        <v>4.8</v>
      </c>
      <c r="K2009" t="s">
        <v>26</v>
      </c>
      <c r="L2009" t="s">
        <v>18</v>
      </c>
      <c r="M2009" t="str">
        <f>VLOOKUP(D2013,Restaurant_Master!A:B,2,FALSE)</f>
        <v>https://dynamic-media-cdn.tripadvisor.com/media/photo-o/1c/e7/04/0d/front-of-the-local-easily.jpg</v>
      </c>
    </row>
    <row r="2010" spans="1:13" x14ac:dyDescent="0.3">
      <c r="A2010" t="s">
        <v>2040</v>
      </c>
      <c r="B2010" s="1">
        <v>45358</v>
      </c>
      <c r="C2010" t="s">
        <v>13</v>
      </c>
      <c r="D2010" t="s">
        <v>38</v>
      </c>
      <c r="E2010">
        <v>25</v>
      </c>
      <c r="F2010" t="s">
        <v>15</v>
      </c>
      <c r="G2010">
        <v>823.86</v>
      </c>
      <c r="H2010">
        <v>30</v>
      </c>
      <c r="I2010" t="s">
        <v>22</v>
      </c>
      <c r="J2010">
        <v>3</v>
      </c>
      <c r="K2010" t="s">
        <v>17</v>
      </c>
      <c r="L2010" t="s">
        <v>23</v>
      </c>
      <c r="M2010" t="str">
        <f>VLOOKUP(D2014,Restaurant_Master!A:B,2,FALSE)</f>
        <v>https://content.jdmagicbox.com/comp/deoria/g6/9999p5568.5568.200119143033.m4g6/catalogue/biryani-house-deoria-ho-deoria-mktc2xph0o.jpg</v>
      </c>
    </row>
    <row r="2011" spans="1:13" x14ac:dyDescent="0.3">
      <c r="A2011" t="s">
        <v>2041</v>
      </c>
      <c r="B2011" s="1">
        <v>45434</v>
      </c>
      <c r="C2011" t="s">
        <v>20</v>
      </c>
      <c r="D2011" t="s">
        <v>32</v>
      </c>
      <c r="E2011">
        <v>58</v>
      </c>
      <c r="F2011" t="s">
        <v>15</v>
      </c>
      <c r="G2011">
        <v>992.19</v>
      </c>
      <c r="H2011">
        <v>54</v>
      </c>
      <c r="I2011" t="s">
        <v>16</v>
      </c>
      <c r="J2011">
        <v>5</v>
      </c>
      <c r="K2011" t="s">
        <v>26</v>
      </c>
      <c r="L2011" t="s">
        <v>23</v>
      </c>
      <c r="M2011" t="str">
        <f>VLOOKUP(D2015,Restaurant_Master!A:B,2,FALSE)</f>
        <v>https://media-cdn.tripadvisor.com/media/photo-s/1c/c7/97/b6/photo6jpg.jpg</v>
      </c>
    </row>
    <row r="2012" spans="1:13" x14ac:dyDescent="0.3">
      <c r="A2012" t="s">
        <v>2042</v>
      </c>
      <c r="B2012" s="1">
        <v>45653</v>
      </c>
      <c r="C2012" t="s">
        <v>34</v>
      </c>
      <c r="D2012" t="s">
        <v>21</v>
      </c>
      <c r="E2012">
        <v>47</v>
      </c>
      <c r="F2012" t="s">
        <v>15</v>
      </c>
      <c r="G2012">
        <v>761.8</v>
      </c>
      <c r="H2012">
        <v>29</v>
      </c>
      <c r="I2012" t="s">
        <v>22</v>
      </c>
      <c r="J2012">
        <v>4.0999999999999996</v>
      </c>
      <c r="K2012" t="s">
        <v>29</v>
      </c>
      <c r="L2012" t="s">
        <v>18</v>
      </c>
      <c r="M2012" t="str">
        <f>VLOOKUP(D2016,Restaurant_Master!A:B,2,FALSE)</f>
        <v>https://content.jdmagicbox.com/comp/deoria/g6/9999p5568.5568.200119143033.m4g6/catalogue/biryani-house-deoria-ho-deoria-mktc2xph0o.jpg</v>
      </c>
    </row>
    <row r="2013" spans="1:13" x14ac:dyDescent="0.3">
      <c r="A2013" t="s">
        <v>2043</v>
      </c>
      <c r="B2013" s="1">
        <v>45441</v>
      </c>
      <c r="C2013" t="s">
        <v>34</v>
      </c>
      <c r="D2013" t="s">
        <v>21</v>
      </c>
      <c r="E2013">
        <v>28</v>
      </c>
      <c r="F2013" t="s">
        <v>15</v>
      </c>
      <c r="G2013">
        <v>438.62</v>
      </c>
      <c r="H2013">
        <v>45</v>
      </c>
      <c r="I2013" t="s">
        <v>16</v>
      </c>
      <c r="J2013">
        <v>4.2</v>
      </c>
      <c r="K2013" t="s">
        <v>41</v>
      </c>
      <c r="L2013" t="s">
        <v>18</v>
      </c>
      <c r="M2013" t="str">
        <f>VLOOKUP(D2017,Restaurant_Master!A:B,2,FALSE)</f>
        <v>https://www.chatswoodinterchange.com/storages/2018/08/Sushi-World_666x448.jpg</v>
      </c>
    </row>
    <row r="2014" spans="1:13" x14ac:dyDescent="0.3">
      <c r="A2014" t="s">
        <v>2044</v>
      </c>
      <c r="B2014" s="1">
        <v>45377</v>
      </c>
      <c r="C2014" t="s">
        <v>20</v>
      </c>
      <c r="D2014" t="s">
        <v>32</v>
      </c>
      <c r="E2014">
        <v>36</v>
      </c>
      <c r="F2014" t="s">
        <v>28</v>
      </c>
      <c r="G2014">
        <v>226.69</v>
      </c>
      <c r="H2014">
        <v>57</v>
      </c>
      <c r="I2014" t="s">
        <v>16</v>
      </c>
      <c r="J2014">
        <v>3.9</v>
      </c>
      <c r="K2014" t="s">
        <v>26</v>
      </c>
      <c r="L2014" t="s">
        <v>23</v>
      </c>
      <c r="M2014" t="str">
        <f>VLOOKUP(D2018,Restaurant_Master!A:B,2,FALSE)</f>
        <v>https://dynamic-media-cdn.tripadvisor.com/media/photo-o/1c/e7/04/0d/front-of-the-local-easily.jpg</v>
      </c>
    </row>
    <row r="2015" spans="1:13" x14ac:dyDescent="0.3">
      <c r="A2015" t="s">
        <v>2045</v>
      </c>
      <c r="B2015" s="1">
        <v>45502</v>
      </c>
      <c r="C2015" t="s">
        <v>43</v>
      </c>
      <c r="D2015" t="s">
        <v>25</v>
      </c>
      <c r="E2015">
        <v>34</v>
      </c>
      <c r="F2015" t="s">
        <v>28</v>
      </c>
      <c r="G2015">
        <v>620.6</v>
      </c>
      <c r="H2015">
        <v>26</v>
      </c>
      <c r="I2015" t="s">
        <v>22</v>
      </c>
      <c r="J2015">
        <v>4.5999999999999996</v>
      </c>
      <c r="K2015" t="s">
        <v>29</v>
      </c>
      <c r="L2015" t="s">
        <v>18</v>
      </c>
      <c r="M2015" t="str">
        <f>VLOOKUP(D2019,Restaurant_Master!A:B,2,FALSE)</f>
        <v>https://dineout-media-assets.swiggy.com/swiggy/image/upload/fl_lossy,f_auto,q_auto/v1660793737/fdqxvxcxg1wtdwvyv45v.jpg</v>
      </c>
    </row>
    <row r="2016" spans="1:13" x14ac:dyDescent="0.3">
      <c r="A2016" t="s">
        <v>2046</v>
      </c>
      <c r="B2016" s="1">
        <v>45404</v>
      </c>
      <c r="C2016" t="s">
        <v>34</v>
      </c>
      <c r="D2016" t="s">
        <v>32</v>
      </c>
      <c r="E2016">
        <v>34</v>
      </c>
      <c r="F2016" t="s">
        <v>15</v>
      </c>
      <c r="G2016">
        <v>877.29</v>
      </c>
      <c r="H2016">
        <v>25</v>
      </c>
      <c r="I2016" t="s">
        <v>22</v>
      </c>
      <c r="J2016">
        <v>3.7</v>
      </c>
      <c r="K2016" t="s">
        <v>26</v>
      </c>
      <c r="L2016" t="s">
        <v>18</v>
      </c>
      <c r="M2016" t="str">
        <f>VLOOKUP(D2020,Restaurant_Master!A:B,2,FALSE)</f>
        <v>https://dineout-media-assets.swiggy.com/swiggy/image/upload/fl_lossy,f_auto,q_auto/v1660793737/fdqxvxcxg1wtdwvyv45v.jpg</v>
      </c>
    </row>
    <row r="2017" spans="1:13" x14ac:dyDescent="0.3">
      <c r="A2017" t="s">
        <v>2047</v>
      </c>
      <c r="B2017" s="1">
        <v>45436</v>
      </c>
      <c r="C2017" t="s">
        <v>20</v>
      </c>
      <c r="D2017" t="s">
        <v>38</v>
      </c>
      <c r="E2017">
        <v>29</v>
      </c>
      <c r="F2017" t="s">
        <v>15</v>
      </c>
      <c r="G2017">
        <v>1094.1500000000001</v>
      </c>
      <c r="H2017">
        <v>36</v>
      </c>
      <c r="I2017" t="s">
        <v>22</v>
      </c>
      <c r="J2017">
        <v>5</v>
      </c>
      <c r="K2017" t="s">
        <v>29</v>
      </c>
      <c r="L2017" t="s">
        <v>18</v>
      </c>
      <c r="M2017" t="str">
        <f>VLOOKUP(D2021,Restaurant_Master!A:B,2,FALSE)</f>
        <v>https://dineout-media-assets.swiggy.com/swiggy/image/upload/fl_lossy,f_auto,q_auto/v1660793737/fdqxvxcxg1wtdwvyv45v.jpg</v>
      </c>
    </row>
    <row r="2018" spans="1:13" x14ac:dyDescent="0.3">
      <c r="A2018" t="s">
        <v>2048</v>
      </c>
      <c r="B2018" s="1">
        <v>45457</v>
      </c>
      <c r="C2018" t="s">
        <v>43</v>
      </c>
      <c r="D2018" t="s">
        <v>21</v>
      </c>
      <c r="E2018">
        <v>35</v>
      </c>
      <c r="F2018" t="s">
        <v>28</v>
      </c>
      <c r="G2018">
        <v>1095.57</v>
      </c>
      <c r="H2018">
        <v>53</v>
      </c>
      <c r="I2018" t="s">
        <v>16</v>
      </c>
      <c r="J2018">
        <v>4.5999999999999996</v>
      </c>
      <c r="K2018" t="s">
        <v>26</v>
      </c>
      <c r="L2018" t="s">
        <v>23</v>
      </c>
      <c r="M2018" t="str">
        <f>VLOOKUP(D2022,Restaurant_Master!A:B,2,FALSE)</f>
        <v>https://www.chatswoodinterchange.com/storages/2018/08/Sushi-World_666x448.jpg</v>
      </c>
    </row>
    <row r="2019" spans="1:13" x14ac:dyDescent="0.3">
      <c r="A2019" t="s">
        <v>2049</v>
      </c>
      <c r="B2019" s="1">
        <v>45308</v>
      </c>
      <c r="C2019" t="s">
        <v>13</v>
      </c>
      <c r="D2019" t="s">
        <v>14</v>
      </c>
      <c r="E2019">
        <v>42</v>
      </c>
      <c r="F2019" t="s">
        <v>15</v>
      </c>
      <c r="G2019">
        <v>305.54000000000002</v>
      </c>
      <c r="H2019">
        <v>56</v>
      </c>
      <c r="I2019" t="s">
        <v>16</v>
      </c>
      <c r="J2019">
        <v>4.7</v>
      </c>
      <c r="K2019" t="s">
        <v>26</v>
      </c>
      <c r="L2019" t="s">
        <v>23</v>
      </c>
      <c r="M2019" t="str">
        <f>VLOOKUP(D2023,Restaurant_Master!A:B,2,FALSE)</f>
        <v>https://www.chatswoodinterchange.com/storages/2018/08/Sushi-World_666x448.jpg</v>
      </c>
    </row>
    <row r="2020" spans="1:13" x14ac:dyDescent="0.3">
      <c r="A2020" t="s">
        <v>2050</v>
      </c>
      <c r="B2020" s="1">
        <v>45342</v>
      </c>
      <c r="C2020" t="s">
        <v>20</v>
      </c>
      <c r="D2020" t="s">
        <v>14</v>
      </c>
      <c r="E2020">
        <v>41</v>
      </c>
      <c r="F2020" t="s">
        <v>28</v>
      </c>
      <c r="G2020">
        <v>267.79000000000002</v>
      </c>
      <c r="H2020">
        <v>31</v>
      </c>
      <c r="I2020" t="s">
        <v>22</v>
      </c>
      <c r="J2020">
        <v>3.1</v>
      </c>
      <c r="K2020" t="s">
        <v>29</v>
      </c>
      <c r="L2020" t="s">
        <v>23</v>
      </c>
      <c r="M2020" t="str">
        <f>VLOOKUP(D2024,Restaurant_Master!A:B,2,FALSE)</f>
        <v>https://content.jdmagicbox.com/comp/deoria/g6/9999p5568.5568.200119143033.m4g6/catalogue/biryani-house-deoria-ho-deoria-mktc2xph0o.jpg</v>
      </c>
    </row>
    <row r="2021" spans="1:13" x14ac:dyDescent="0.3">
      <c r="A2021" t="s">
        <v>2051</v>
      </c>
      <c r="B2021" s="1">
        <v>45317</v>
      </c>
      <c r="C2021" t="s">
        <v>34</v>
      </c>
      <c r="D2021" t="s">
        <v>14</v>
      </c>
      <c r="E2021">
        <v>20</v>
      </c>
      <c r="F2021" t="s">
        <v>28</v>
      </c>
      <c r="G2021">
        <v>165.89</v>
      </c>
      <c r="H2021">
        <v>49</v>
      </c>
      <c r="I2021" t="s">
        <v>16</v>
      </c>
      <c r="J2021">
        <v>2.6</v>
      </c>
      <c r="K2021" t="s">
        <v>41</v>
      </c>
      <c r="L2021" t="s">
        <v>18</v>
      </c>
      <c r="M2021" t="str">
        <f>VLOOKUP(D2025,Restaurant_Master!A:B,2,FALSE)</f>
        <v>https://media-cdn.tripadvisor.com/media/photo-s/1c/c7/97/b6/photo6jpg.jpg</v>
      </c>
    </row>
    <row r="2022" spans="1:13" x14ac:dyDescent="0.3">
      <c r="A2022" t="s">
        <v>2052</v>
      </c>
      <c r="B2022" s="1">
        <v>45503</v>
      </c>
      <c r="C2022" t="s">
        <v>13</v>
      </c>
      <c r="D2022" t="s">
        <v>38</v>
      </c>
      <c r="E2022">
        <v>28</v>
      </c>
      <c r="F2022" t="s">
        <v>15</v>
      </c>
      <c r="G2022">
        <v>565.92999999999995</v>
      </c>
      <c r="H2022">
        <v>40</v>
      </c>
      <c r="I2022" t="s">
        <v>22</v>
      </c>
      <c r="J2022">
        <v>4.5</v>
      </c>
      <c r="K2022" t="s">
        <v>26</v>
      </c>
      <c r="L2022" t="s">
        <v>18</v>
      </c>
      <c r="M2022" t="str">
        <f>VLOOKUP(D2026,Restaurant_Master!A:B,2,FALSE)</f>
        <v>https://media-cdn.tripadvisor.com/media/photo-s/1c/c7/97/b6/photo6jpg.jpg</v>
      </c>
    </row>
    <row r="2023" spans="1:13" x14ac:dyDescent="0.3">
      <c r="A2023" t="s">
        <v>2053</v>
      </c>
      <c r="B2023" s="1">
        <v>45600</v>
      </c>
      <c r="C2023" t="s">
        <v>20</v>
      </c>
      <c r="D2023" t="s">
        <v>38</v>
      </c>
      <c r="E2023">
        <v>29</v>
      </c>
      <c r="F2023" t="s">
        <v>15</v>
      </c>
      <c r="G2023">
        <v>974.1</v>
      </c>
      <c r="H2023">
        <v>22</v>
      </c>
      <c r="I2023" t="s">
        <v>22</v>
      </c>
      <c r="J2023">
        <v>4.5</v>
      </c>
      <c r="K2023" t="s">
        <v>26</v>
      </c>
      <c r="L2023" t="s">
        <v>23</v>
      </c>
      <c r="M2023" t="str">
        <f>VLOOKUP(D2027,Restaurant_Master!A:B,2,FALSE)</f>
        <v>https://media-cdn.tripadvisor.com/media/photo-s/1c/c7/97/b6/photo6jpg.jpg</v>
      </c>
    </row>
    <row r="2024" spans="1:13" x14ac:dyDescent="0.3">
      <c r="A2024" t="s">
        <v>2054</v>
      </c>
      <c r="B2024" s="1">
        <v>45371</v>
      </c>
      <c r="C2024" t="s">
        <v>43</v>
      </c>
      <c r="D2024" t="s">
        <v>32</v>
      </c>
      <c r="E2024">
        <v>36</v>
      </c>
      <c r="F2024" t="s">
        <v>15</v>
      </c>
      <c r="G2024">
        <v>928.54</v>
      </c>
      <c r="H2024">
        <v>56</v>
      </c>
      <c r="I2024" t="s">
        <v>16</v>
      </c>
      <c r="J2024">
        <v>4.8</v>
      </c>
      <c r="K2024" t="s">
        <v>41</v>
      </c>
      <c r="L2024" t="s">
        <v>18</v>
      </c>
      <c r="M2024" t="str">
        <f>VLOOKUP(D2028,Restaurant_Master!A:B,2,FALSE)</f>
        <v>https://dynamic-media-cdn.tripadvisor.com/media/photo-o/1c/e7/04/0d/front-of-the-local-easily.jpg</v>
      </c>
    </row>
    <row r="2025" spans="1:13" x14ac:dyDescent="0.3">
      <c r="A2025" t="s">
        <v>2055</v>
      </c>
      <c r="B2025" s="1">
        <v>45620</v>
      </c>
      <c r="C2025" t="s">
        <v>43</v>
      </c>
      <c r="D2025" t="s">
        <v>25</v>
      </c>
      <c r="E2025">
        <v>54</v>
      </c>
      <c r="F2025" t="s">
        <v>28</v>
      </c>
      <c r="G2025">
        <v>1094.8599999999999</v>
      </c>
      <c r="H2025">
        <v>32</v>
      </c>
      <c r="I2025" t="s">
        <v>22</v>
      </c>
      <c r="J2025">
        <v>2.8</v>
      </c>
      <c r="K2025" t="s">
        <v>29</v>
      </c>
      <c r="L2025" t="s">
        <v>18</v>
      </c>
      <c r="M2025" t="str">
        <f>VLOOKUP(D2029,Restaurant_Master!A:B,2,FALSE)</f>
        <v>https://www.chatswoodinterchange.com/storages/2018/08/Sushi-World_666x448.jpg</v>
      </c>
    </row>
    <row r="2026" spans="1:13" x14ac:dyDescent="0.3">
      <c r="A2026" t="s">
        <v>2056</v>
      </c>
      <c r="B2026" s="1">
        <v>45411</v>
      </c>
      <c r="C2026" t="s">
        <v>20</v>
      </c>
      <c r="D2026" t="s">
        <v>25</v>
      </c>
      <c r="E2026">
        <v>51</v>
      </c>
      <c r="F2026" t="s">
        <v>15</v>
      </c>
      <c r="G2026">
        <v>843.05</v>
      </c>
      <c r="H2026">
        <v>33</v>
      </c>
      <c r="I2026" t="s">
        <v>22</v>
      </c>
      <c r="J2026">
        <v>3</v>
      </c>
      <c r="K2026" t="s">
        <v>29</v>
      </c>
      <c r="L2026" t="s">
        <v>23</v>
      </c>
      <c r="M2026" t="str">
        <f>VLOOKUP(D2030,Restaurant_Master!A:B,2,FALSE)</f>
        <v>https://dynamic-media-cdn.tripadvisor.com/media/photo-o/1c/e7/04/0d/front-of-the-local-easily.jpg</v>
      </c>
    </row>
    <row r="2027" spans="1:13" x14ac:dyDescent="0.3">
      <c r="A2027" t="s">
        <v>2057</v>
      </c>
      <c r="B2027" s="1">
        <v>45516</v>
      </c>
      <c r="C2027" t="s">
        <v>43</v>
      </c>
      <c r="D2027" t="s">
        <v>25</v>
      </c>
      <c r="E2027">
        <v>37</v>
      </c>
      <c r="F2027" t="s">
        <v>15</v>
      </c>
      <c r="G2027">
        <v>932.78</v>
      </c>
      <c r="H2027">
        <v>24</v>
      </c>
      <c r="I2027" t="s">
        <v>22</v>
      </c>
      <c r="J2027">
        <v>3.5</v>
      </c>
      <c r="K2027" t="s">
        <v>41</v>
      </c>
      <c r="L2027" t="s">
        <v>23</v>
      </c>
      <c r="M2027" t="str">
        <f>VLOOKUP(D2031,Restaurant_Master!A:B,2,FALSE)</f>
        <v>https://media-cdn.tripadvisor.com/media/photo-s/1c/c7/97/b6/photo6jpg.jpg</v>
      </c>
    </row>
    <row r="2028" spans="1:13" x14ac:dyDescent="0.3">
      <c r="A2028" t="s">
        <v>2058</v>
      </c>
      <c r="B2028" s="1">
        <v>45595</v>
      </c>
      <c r="C2028" t="s">
        <v>34</v>
      </c>
      <c r="D2028" t="s">
        <v>21</v>
      </c>
      <c r="E2028">
        <v>50</v>
      </c>
      <c r="F2028" t="s">
        <v>15</v>
      </c>
      <c r="G2028">
        <v>258.32</v>
      </c>
      <c r="H2028">
        <v>24</v>
      </c>
      <c r="I2028" t="s">
        <v>22</v>
      </c>
      <c r="J2028">
        <v>3.8</v>
      </c>
      <c r="K2028" t="s">
        <v>41</v>
      </c>
      <c r="L2028" t="s">
        <v>18</v>
      </c>
      <c r="M2028" t="str">
        <f>VLOOKUP(D2032,Restaurant_Master!A:B,2,FALSE)</f>
        <v>https://dynamic-media-cdn.tripadvisor.com/media/photo-o/1c/e7/04/0d/front-of-the-local-easily.jpg</v>
      </c>
    </row>
    <row r="2029" spans="1:13" x14ac:dyDescent="0.3">
      <c r="A2029" t="s">
        <v>2059</v>
      </c>
      <c r="B2029" s="1">
        <v>45489</v>
      </c>
      <c r="C2029" t="s">
        <v>13</v>
      </c>
      <c r="D2029" t="s">
        <v>38</v>
      </c>
      <c r="E2029">
        <v>57</v>
      </c>
      <c r="F2029" t="s">
        <v>28</v>
      </c>
      <c r="G2029">
        <v>470.91</v>
      </c>
      <c r="H2029">
        <v>47</v>
      </c>
      <c r="I2029" t="s">
        <v>16</v>
      </c>
      <c r="J2029">
        <v>3.8</v>
      </c>
      <c r="K2029" t="s">
        <v>26</v>
      </c>
      <c r="L2029" t="s">
        <v>23</v>
      </c>
      <c r="M2029" t="str">
        <f>VLOOKUP(D2033,Restaurant_Master!A:B,2,FALSE)</f>
        <v>https://www.chatswoodinterchange.com/storages/2018/08/Sushi-World_666x448.jpg</v>
      </c>
    </row>
    <row r="2030" spans="1:13" x14ac:dyDescent="0.3">
      <c r="A2030" t="s">
        <v>2060</v>
      </c>
      <c r="B2030" s="1">
        <v>45578</v>
      </c>
      <c r="C2030" t="s">
        <v>36</v>
      </c>
      <c r="D2030" t="s">
        <v>21</v>
      </c>
      <c r="E2030">
        <v>42</v>
      </c>
      <c r="F2030" t="s">
        <v>28</v>
      </c>
      <c r="G2030">
        <v>1064.02</v>
      </c>
      <c r="H2030">
        <v>32</v>
      </c>
      <c r="I2030" t="s">
        <v>22</v>
      </c>
      <c r="J2030">
        <v>3.8</v>
      </c>
      <c r="K2030" t="s">
        <v>41</v>
      </c>
      <c r="L2030" t="s">
        <v>23</v>
      </c>
      <c r="M2030" t="str">
        <f>VLOOKUP(D2034,Restaurant_Master!A:B,2,FALSE)</f>
        <v>https://www.chatswoodinterchange.com/storages/2018/08/Sushi-World_666x448.jpg</v>
      </c>
    </row>
    <row r="2031" spans="1:13" x14ac:dyDescent="0.3">
      <c r="A2031" t="s">
        <v>2061</v>
      </c>
      <c r="B2031" s="1">
        <v>45436</v>
      </c>
      <c r="C2031" t="s">
        <v>20</v>
      </c>
      <c r="D2031" t="s">
        <v>25</v>
      </c>
      <c r="E2031">
        <v>32</v>
      </c>
      <c r="F2031" t="s">
        <v>15</v>
      </c>
      <c r="G2031">
        <v>729.05</v>
      </c>
      <c r="H2031">
        <v>52</v>
      </c>
      <c r="I2031" t="s">
        <v>16</v>
      </c>
      <c r="J2031">
        <v>4</v>
      </c>
      <c r="K2031" t="s">
        <v>17</v>
      </c>
      <c r="L2031" t="s">
        <v>23</v>
      </c>
      <c r="M2031" t="str">
        <f>VLOOKUP(D2035,Restaurant_Master!A:B,2,FALSE)</f>
        <v>https://content.jdmagicbox.com/comp/deoria/g6/9999p5568.5568.200119143033.m4g6/catalogue/biryani-house-deoria-ho-deoria-mktc2xph0o.jpg</v>
      </c>
    </row>
    <row r="2032" spans="1:13" x14ac:dyDescent="0.3">
      <c r="A2032" t="s">
        <v>2062</v>
      </c>
      <c r="B2032" s="1">
        <v>45625</v>
      </c>
      <c r="C2032" t="s">
        <v>20</v>
      </c>
      <c r="D2032" t="s">
        <v>21</v>
      </c>
      <c r="E2032">
        <v>58</v>
      </c>
      <c r="F2032" t="s">
        <v>15</v>
      </c>
      <c r="G2032">
        <v>604.28</v>
      </c>
      <c r="H2032">
        <v>28</v>
      </c>
      <c r="I2032" t="s">
        <v>22</v>
      </c>
      <c r="J2032">
        <v>3.5</v>
      </c>
      <c r="K2032" t="s">
        <v>29</v>
      </c>
      <c r="L2032" t="s">
        <v>18</v>
      </c>
      <c r="M2032" t="str">
        <f>VLOOKUP(D2036,Restaurant_Master!A:B,2,FALSE)</f>
        <v>https://www.chatswoodinterchange.com/storages/2018/08/Sushi-World_666x448.jpg</v>
      </c>
    </row>
    <row r="2033" spans="1:13" x14ac:dyDescent="0.3">
      <c r="A2033" t="s">
        <v>2063</v>
      </c>
      <c r="B2033" s="1">
        <v>45499</v>
      </c>
      <c r="C2033" t="s">
        <v>34</v>
      </c>
      <c r="D2033" t="s">
        <v>38</v>
      </c>
      <c r="E2033">
        <v>38</v>
      </c>
      <c r="F2033" t="s">
        <v>28</v>
      </c>
      <c r="G2033">
        <v>496.08</v>
      </c>
      <c r="H2033">
        <v>37</v>
      </c>
      <c r="I2033" t="s">
        <v>22</v>
      </c>
      <c r="J2033">
        <v>2.9</v>
      </c>
      <c r="K2033" t="s">
        <v>41</v>
      </c>
      <c r="L2033" t="s">
        <v>23</v>
      </c>
      <c r="M2033" t="str">
        <f>VLOOKUP(D2037,Restaurant_Master!A:B,2,FALSE)</f>
        <v>https://dineout-media-assets.swiggy.com/swiggy/image/upload/fl_lossy,f_auto,q_auto/v1660793737/fdqxvxcxg1wtdwvyv45v.jpg</v>
      </c>
    </row>
    <row r="2034" spans="1:13" x14ac:dyDescent="0.3">
      <c r="A2034" t="s">
        <v>2064</v>
      </c>
      <c r="B2034" s="1">
        <v>45459</v>
      </c>
      <c r="C2034" t="s">
        <v>36</v>
      </c>
      <c r="D2034" t="s">
        <v>38</v>
      </c>
      <c r="E2034">
        <v>40</v>
      </c>
      <c r="F2034" t="s">
        <v>15</v>
      </c>
      <c r="G2034">
        <v>281.16000000000003</v>
      </c>
      <c r="H2034">
        <v>22</v>
      </c>
      <c r="I2034" t="s">
        <v>22</v>
      </c>
      <c r="J2034">
        <v>4.7</v>
      </c>
      <c r="K2034" t="s">
        <v>26</v>
      </c>
      <c r="L2034" t="s">
        <v>18</v>
      </c>
      <c r="M2034" t="str">
        <f>VLOOKUP(D2038,Restaurant_Master!A:B,2,FALSE)</f>
        <v>https://dynamic-media-cdn.tripadvisor.com/media/photo-o/1c/e7/04/0d/front-of-the-local-easily.jpg</v>
      </c>
    </row>
    <row r="2035" spans="1:13" x14ac:dyDescent="0.3">
      <c r="A2035" t="s">
        <v>2065</v>
      </c>
      <c r="B2035" s="1">
        <v>45478</v>
      </c>
      <c r="C2035" t="s">
        <v>36</v>
      </c>
      <c r="D2035" t="s">
        <v>32</v>
      </c>
      <c r="E2035">
        <v>51</v>
      </c>
      <c r="F2035" t="s">
        <v>28</v>
      </c>
      <c r="G2035">
        <v>636.29999999999995</v>
      </c>
      <c r="H2035">
        <v>39</v>
      </c>
      <c r="I2035" t="s">
        <v>22</v>
      </c>
      <c r="J2035">
        <v>4.5</v>
      </c>
      <c r="K2035" t="s">
        <v>26</v>
      </c>
      <c r="L2035" t="s">
        <v>23</v>
      </c>
      <c r="M2035" t="str">
        <f>VLOOKUP(D2039,Restaurant_Master!A:B,2,FALSE)</f>
        <v>https://dynamic-media-cdn.tripadvisor.com/media/photo-o/1c/e7/04/0d/front-of-the-local-easily.jpg</v>
      </c>
    </row>
    <row r="2036" spans="1:13" x14ac:dyDescent="0.3">
      <c r="A2036" t="s">
        <v>2066</v>
      </c>
      <c r="B2036" s="1">
        <v>45581</v>
      </c>
      <c r="C2036" t="s">
        <v>13</v>
      </c>
      <c r="D2036" t="s">
        <v>38</v>
      </c>
      <c r="E2036">
        <v>45</v>
      </c>
      <c r="F2036" t="s">
        <v>15</v>
      </c>
      <c r="G2036">
        <v>898.54</v>
      </c>
      <c r="H2036">
        <v>57</v>
      </c>
      <c r="I2036" t="s">
        <v>16</v>
      </c>
      <c r="J2036">
        <v>4.4000000000000004</v>
      </c>
      <c r="K2036" t="s">
        <v>41</v>
      </c>
      <c r="L2036" t="s">
        <v>23</v>
      </c>
      <c r="M2036" t="str">
        <f>VLOOKUP(D2040,Restaurant_Master!A:B,2,FALSE)</f>
        <v>https://media-cdn.tripadvisor.com/media/photo-s/1c/c7/97/b6/photo6jpg.jpg</v>
      </c>
    </row>
    <row r="2037" spans="1:13" x14ac:dyDescent="0.3">
      <c r="A2037" t="s">
        <v>2067</v>
      </c>
      <c r="B2037" s="1">
        <v>45517</v>
      </c>
      <c r="C2037" t="s">
        <v>36</v>
      </c>
      <c r="D2037" t="s">
        <v>14</v>
      </c>
      <c r="E2037">
        <v>31</v>
      </c>
      <c r="F2037" t="s">
        <v>15</v>
      </c>
      <c r="G2037">
        <v>903.37</v>
      </c>
      <c r="H2037">
        <v>34</v>
      </c>
      <c r="I2037" t="s">
        <v>22</v>
      </c>
      <c r="J2037">
        <v>3.5</v>
      </c>
      <c r="K2037" t="s">
        <v>29</v>
      </c>
      <c r="L2037" t="s">
        <v>18</v>
      </c>
      <c r="M2037" t="str">
        <f>VLOOKUP(D2041,Restaurant_Master!A:B,2,FALSE)</f>
        <v>https://www.chatswoodinterchange.com/storages/2018/08/Sushi-World_666x448.jpg</v>
      </c>
    </row>
    <row r="2038" spans="1:13" x14ac:dyDescent="0.3">
      <c r="A2038" t="s">
        <v>2068</v>
      </c>
      <c r="B2038" s="1">
        <v>45531</v>
      </c>
      <c r="C2038" t="s">
        <v>36</v>
      </c>
      <c r="D2038" t="s">
        <v>21</v>
      </c>
      <c r="E2038">
        <v>46</v>
      </c>
      <c r="F2038" t="s">
        <v>15</v>
      </c>
      <c r="G2038">
        <v>730.86</v>
      </c>
      <c r="H2038">
        <v>55</v>
      </c>
      <c r="I2038" t="s">
        <v>16</v>
      </c>
      <c r="J2038">
        <v>3</v>
      </c>
      <c r="K2038" t="s">
        <v>29</v>
      </c>
      <c r="L2038" t="s">
        <v>23</v>
      </c>
      <c r="M2038" t="str">
        <f>VLOOKUP(D2042,Restaurant_Master!A:B,2,FALSE)</f>
        <v>https://dynamic-media-cdn.tripadvisor.com/media/photo-o/1c/e7/04/0d/front-of-the-local-easily.jpg</v>
      </c>
    </row>
    <row r="2039" spans="1:13" x14ac:dyDescent="0.3">
      <c r="A2039" t="s">
        <v>2069</v>
      </c>
      <c r="B2039" s="1">
        <v>45475</v>
      </c>
      <c r="C2039" t="s">
        <v>20</v>
      </c>
      <c r="D2039" t="s">
        <v>21</v>
      </c>
      <c r="E2039">
        <v>46</v>
      </c>
      <c r="F2039" t="s">
        <v>15</v>
      </c>
      <c r="G2039">
        <v>1045.1600000000001</v>
      </c>
      <c r="H2039">
        <v>30</v>
      </c>
      <c r="I2039" t="s">
        <v>22</v>
      </c>
      <c r="J2039">
        <v>3.8</v>
      </c>
      <c r="K2039" t="s">
        <v>26</v>
      </c>
      <c r="L2039" t="s">
        <v>23</v>
      </c>
      <c r="M2039" t="str">
        <f>VLOOKUP(D2043,Restaurant_Master!A:B,2,FALSE)</f>
        <v>https://dineout-media-assets.swiggy.com/swiggy/image/upload/fl_lossy,f_auto,q_auto/v1660793737/fdqxvxcxg1wtdwvyv45v.jpg</v>
      </c>
    </row>
    <row r="2040" spans="1:13" x14ac:dyDescent="0.3">
      <c r="A2040" t="s">
        <v>2070</v>
      </c>
      <c r="B2040" s="1">
        <v>45493</v>
      </c>
      <c r="C2040" t="s">
        <v>13</v>
      </c>
      <c r="D2040" t="s">
        <v>25</v>
      </c>
      <c r="E2040">
        <v>32</v>
      </c>
      <c r="F2040" t="s">
        <v>28</v>
      </c>
      <c r="G2040">
        <v>744.24</v>
      </c>
      <c r="H2040">
        <v>55</v>
      </c>
      <c r="I2040" t="s">
        <v>16</v>
      </c>
      <c r="J2040">
        <v>3</v>
      </c>
      <c r="K2040" t="s">
        <v>17</v>
      </c>
      <c r="L2040" t="s">
        <v>23</v>
      </c>
      <c r="M2040" t="str">
        <f>VLOOKUP(D2044,Restaurant_Master!A:B,2,FALSE)</f>
        <v>https://dineout-media-assets.swiggy.com/swiggy/image/upload/fl_lossy,f_auto,q_auto/v1660793737/fdqxvxcxg1wtdwvyv45v.jpg</v>
      </c>
    </row>
    <row r="2041" spans="1:13" x14ac:dyDescent="0.3">
      <c r="A2041" t="s">
        <v>2071</v>
      </c>
      <c r="B2041" s="1">
        <v>45410</v>
      </c>
      <c r="C2041" t="s">
        <v>36</v>
      </c>
      <c r="D2041" t="s">
        <v>38</v>
      </c>
      <c r="E2041">
        <v>30</v>
      </c>
      <c r="F2041" t="s">
        <v>15</v>
      </c>
      <c r="G2041">
        <v>1026.28</v>
      </c>
      <c r="H2041">
        <v>51</v>
      </c>
      <c r="I2041" t="s">
        <v>16</v>
      </c>
      <c r="J2041">
        <v>3.2</v>
      </c>
      <c r="K2041" t="s">
        <v>17</v>
      </c>
      <c r="L2041" t="s">
        <v>23</v>
      </c>
      <c r="M2041" t="str">
        <f>VLOOKUP(D2045,Restaurant_Master!A:B,2,FALSE)</f>
        <v>https://media-cdn.tripadvisor.com/media/photo-s/1c/c7/97/b6/photo6jpg.jpg</v>
      </c>
    </row>
    <row r="2042" spans="1:13" x14ac:dyDescent="0.3">
      <c r="A2042" t="s">
        <v>2072</v>
      </c>
      <c r="B2042" s="1">
        <v>45541</v>
      </c>
      <c r="C2042" t="s">
        <v>20</v>
      </c>
      <c r="D2042" t="s">
        <v>21</v>
      </c>
      <c r="E2042">
        <v>40</v>
      </c>
      <c r="F2042" t="s">
        <v>28</v>
      </c>
      <c r="G2042">
        <v>273.04000000000002</v>
      </c>
      <c r="H2042">
        <v>46</v>
      </c>
      <c r="I2042" t="s">
        <v>16</v>
      </c>
      <c r="J2042">
        <v>3.8</v>
      </c>
      <c r="K2042" t="s">
        <v>17</v>
      </c>
      <c r="L2042" t="s">
        <v>18</v>
      </c>
      <c r="M2042" t="str">
        <f>VLOOKUP(D2046,Restaurant_Master!A:B,2,FALSE)</f>
        <v>https://content.jdmagicbox.com/comp/deoria/g6/9999p5568.5568.200119143033.m4g6/catalogue/biryani-house-deoria-ho-deoria-mktc2xph0o.jpg</v>
      </c>
    </row>
    <row r="2043" spans="1:13" x14ac:dyDescent="0.3">
      <c r="A2043" t="s">
        <v>2073</v>
      </c>
      <c r="B2043" s="1">
        <v>45585</v>
      </c>
      <c r="C2043" t="s">
        <v>34</v>
      </c>
      <c r="D2043" t="s">
        <v>14</v>
      </c>
      <c r="E2043">
        <v>52</v>
      </c>
      <c r="F2043" t="s">
        <v>15</v>
      </c>
      <c r="G2043">
        <v>307.81</v>
      </c>
      <c r="H2043">
        <v>32</v>
      </c>
      <c r="I2043" t="s">
        <v>22</v>
      </c>
      <c r="J2043">
        <v>3.1</v>
      </c>
      <c r="K2043" t="s">
        <v>17</v>
      </c>
      <c r="L2043" t="s">
        <v>18</v>
      </c>
      <c r="M2043" t="str">
        <f>VLOOKUP(D2047,Restaurant_Master!A:B,2,FALSE)</f>
        <v>https://dynamic-media-cdn.tripadvisor.com/media/photo-o/1c/e7/04/0d/front-of-the-local-easily.jpg</v>
      </c>
    </row>
    <row r="2044" spans="1:13" x14ac:dyDescent="0.3">
      <c r="A2044" t="s">
        <v>2074</v>
      </c>
      <c r="B2044" s="1">
        <v>45613</v>
      </c>
      <c r="C2044" t="s">
        <v>43</v>
      </c>
      <c r="D2044" t="s">
        <v>14</v>
      </c>
      <c r="E2044">
        <v>60</v>
      </c>
      <c r="F2044" t="s">
        <v>28</v>
      </c>
      <c r="G2044">
        <v>261.77</v>
      </c>
      <c r="H2044">
        <v>30</v>
      </c>
      <c r="I2044" t="s">
        <v>22</v>
      </c>
      <c r="J2044">
        <v>3.1</v>
      </c>
      <c r="K2044" t="s">
        <v>26</v>
      </c>
      <c r="L2044" t="s">
        <v>23</v>
      </c>
      <c r="M2044" t="str">
        <f>VLOOKUP(D2048,Restaurant_Master!A:B,2,FALSE)</f>
        <v>https://www.chatswoodinterchange.com/storages/2018/08/Sushi-World_666x448.jpg</v>
      </c>
    </row>
    <row r="2045" spans="1:13" x14ac:dyDescent="0.3">
      <c r="A2045" t="s">
        <v>2075</v>
      </c>
      <c r="B2045" s="1">
        <v>45656</v>
      </c>
      <c r="C2045" t="s">
        <v>20</v>
      </c>
      <c r="D2045" t="s">
        <v>25</v>
      </c>
      <c r="E2045">
        <v>51</v>
      </c>
      <c r="F2045" t="s">
        <v>28</v>
      </c>
      <c r="G2045">
        <v>383.43</v>
      </c>
      <c r="H2045">
        <v>43</v>
      </c>
      <c r="I2045" t="s">
        <v>16</v>
      </c>
      <c r="J2045">
        <v>4.4000000000000004</v>
      </c>
      <c r="K2045" t="s">
        <v>29</v>
      </c>
      <c r="L2045" t="s">
        <v>23</v>
      </c>
      <c r="M2045" t="str">
        <f>VLOOKUP(D2049,Restaurant_Master!A:B,2,FALSE)</f>
        <v>https://www.chatswoodinterchange.com/storages/2018/08/Sushi-World_666x448.jpg</v>
      </c>
    </row>
    <row r="2046" spans="1:13" x14ac:dyDescent="0.3">
      <c r="A2046" t="s">
        <v>2076</v>
      </c>
      <c r="B2046" s="1">
        <v>45459</v>
      </c>
      <c r="C2046" t="s">
        <v>43</v>
      </c>
      <c r="D2046" t="s">
        <v>32</v>
      </c>
      <c r="E2046">
        <v>28</v>
      </c>
      <c r="F2046" t="s">
        <v>15</v>
      </c>
      <c r="G2046">
        <v>1199.0999999999999</v>
      </c>
      <c r="H2046">
        <v>44</v>
      </c>
      <c r="I2046" t="s">
        <v>16</v>
      </c>
      <c r="J2046">
        <v>3.7</v>
      </c>
      <c r="K2046" t="s">
        <v>41</v>
      </c>
      <c r="L2046" t="s">
        <v>18</v>
      </c>
      <c r="M2046" t="str">
        <f>VLOOKUP(D2050,Restaurant_Master!A:B,2,FALSE)</f>
        <v>https://media-cdn.tripadvisor.com/media/photo-s/1c/c7/97/b6/photo6jpg.jpg</v>
      </c>
    </row>
    <row r="2047" spans="1:13" x14ac:dyDescent="0.3">
      <c r="A2047" t="s">
        <v>2077</v>
      </c>
      <c r="B2047" s="1">
        <v>45586</v>
      </c>
      <c r="C2047" t="s">
        <v>13</v>
      </c>
      <c r="D2047" t="s">
        <v>21</v>
      </c>
      <c r="E2047">
        <v>24</v>
      </c>
      <c r="F2047" t="s">
        <v>28</v>
      </c>
      <c r="G2047">
        <v>245.83</v>
      </c>
      <c r="H2047">
        <v>51</v>
      </c>
      <c r="I2047" t="s">
        <v>16</v>
      </c>
      <c r="J2047">
        <v>4.2</v>
      </c>
      <c r="K2047" t="s">
        <v>29</v>
      </c>
      <c r="L2047" t="s">
        <v>23</v>
      </c>
      <c r="M2047" t="str">
        <f>VLOOKUP(D2051,Restaurant_Master!A:B,2,FALSE)</f>
        <v>https://content.jdmagicbox.com/comp/deoria/g6/9999p5568.5568.200119143033.m4g6/catalogue/biryani-house-deoria-ho-deoria-mktc2xph0o.jpg</v>
      </c>
    </row>
    <row r="2048" spans="1:13" x14ac:dyDescent="0.3">
      <c r="A2048" t="s">
        <v>2078</v>
      </c>
      <c r="B2048" s="1">
        <v>45500</v>
      </c>
      <c r="C2048" t="s">
        <v>36</v>
      </c>
      <c r="D2048" t="s">
        <v>38</v>
      </c>
      <c r="E2048">
        <v>39</v>
      </c>
      <c r="F2048" t="s">
        <v>28</v>
      </c>
      <c r="G2048">
        <v>461.32</v>
      </c>
      <c r="H2048">
        <v>42</v>
      </c>
      <c r="I2048" t="s">
        <v>16</v>
      </c>
      <c r="J2048">
        <v>4.5</v>
      </c>
      <c r="K2048" t="s">
        <v>17</v>
      </c>
      <c r="L2048" t="s">
        <v>18</v>
      </c>
      <c r="M2048" t="str">
        <f>VLOOKUP(D2052,Restaurant_Master!A:B,2,FALSE)</f>
        <v>https://content.jdmagicbox.com/comp/deoria/g6/9999p5568.5568.200119143033.m4g6/catalogue/biryani-house-deoria-ho-deoria-mktc2xph0o.jpg</v>
      </c>
    </row>
    <row r="2049" spans="1:13" x14ac:dyDescent="0.3">
      <c r="A2049" t="s">
        <v>2079</v>
      </c>
      <c r="B2049" s="1">
        <v>45478</v>
      </c>
      <c r="C2049" t="s">
        <v>34</v>
      </c>
      <c r="D2049" t="s">
        <v>38</v>
      </c>
      <c r="E2049">
        <v>25</v>
      </c>
      <c r="F2049" t="s">
        <v>28</v>
      </c>
      <c r="G2049">
        <v>261.70999999999998</v>
      </c>
      <c r="H2049">
        <v>43</v>
      </c>
      <c r="I2049" t="s">
        <v>16</v>
      </c>
      <c r="J2049">
        <v>2.6</v>
      </c>
      <c r="K2049" t="s">
        <v>26</v>
      </c>
      <c r="L2049" t="s">
        <v>23</v>
      </c>
      <c r="M2049" t="str">
        <f>VLOOKUP(D2053,Restaurant_Master!A:B,2,FALSE)</f>
        <v>https://media-cdn.tripadvisor.com/media/photo-s/1c/c7/97/b6/photo6jpg.jpg</v>
      </c>
    </row>
    <row r="2050" spans="1:13" x14ac:dyDescent="0.3">
      <c r="A2050" t="s">
        <v>2080</v>
      </c>
      <c r="B2050" s="1">
        <v>45353</v>
      </c>
      <c r="C2050" t="s">
        <v>20</v>
      </c>
      <c r="D2050" t="s">
        <v>25</v>
      </c>
      <c r="E2050">
        <v>42</v>
      </c>
      <c r="F2050" t="s">
        <v>15</v>
      </c>
      <c r="G2050">
        <v>904.31</v>
      </c>
      <c r="H2050">
        <v>52</v>
      </c>
      <c r="I2050" t="s">
        <v>16</v>
      </c>
      <c r="J2050">
        <v>4.8</v>
      </c>
      <c r="K2050" t="s">
        <v>29</v>
      </c>
      <c r="L2050" t="s">
        <v>23</v>
      </c>
      <c r="M2050" t="str">
        <f>VLOOKUP(D2054,Restaurant_Master!A:B,2,FALSE)</f>
        <v>https://dynamic-media-cdn.tripadvisor.com/media/photo-o/1c/e7/04/0d/front-of-the-local-easily.jpg</v>
      </c>
    </row>
    <row r="2051" spans="1:13" x14ac:dyDescent="0.3">
      <c r="A2051" t="s">
        <v>2081</v>
      </c>
      <c r="B2051" s="1">
        <v>45368</v>
      </c>
      <c r="C2051" t="s">
        <v>36</v>
      </c>
      <c r="D2051" t="s">
        <v>32</v>
      </c>
      <c r="E2051">
        <v>19</v>
      </c>
      <c r="F2051" t="s">
        <v>15</v>
      </c>
      <c r="G2051">
        <v>367.63</v>
      </c>
      <c r="H2051">
        <v>37</v>
      </c>
      <c r="I2051" t="s">
        <v>22</v>
      </c>
      <c r="J2051">
        <v>4.2</v>
      </c>
      <c r="K2051" t="s">
        <v>17</v>
      </c>
      <c r="L2051" t="s">
        <v>18</v>
      </c>
      <c r="M2051" t="str">
        <f>VLOOKUP(D2055,Restaurant_Master!A:B,2,FALSE)</f>
        <v>https://www.chatswoodinterchange.com/storages/2018/08/Sushi-World_666x448.jpg</v>
      </c>
    </row>
    <row r="2052" spans="1:13" x14ac:dyDescent="0.3">
      <c r="A2052" t="s">
        <v>2082</v>
      </c>
      <c r="B2052" s="1">
        <v>45470</v>
      </c>
      <c r="C2052" t="s">
        <v>20</v>
      </c>
      <c r="D2052" t="s">
        <v>32</v>
      </c>
      <c r="E2052">
        <v>56</v>
      </c>
      <c r="F2052" t="s">
        <v>28</v>
      </c>
      <c r="G2052">
        <v>757.55</v>
      </c>
      <c r="H2052">
        <v>28</v>
      </c>
      <c r="I2052" t="s">
        <v>22</v>
      </c>
      <c r="J2052">
        <v>4</v>
      </c>
      <c r="K2052" t="s">
        <v>17</v>
      </c>
      <c r="L2052" t="s">
        <v>18</v>
      </c>
      <c r="M2052" t="str">
        <f>VLOOKUP(D2056,Restaurant_Master!A:B,2,FALSE)</f>
        <v>https://www.chatswoodinterchange.com/storages/2018/08/Sushi-World_666x448.jpg</v>
      </c>
    </row>
    <row r="2053" spans="1:13" x14ac:dyDescent="0.3">
      <c r="A2053" t="s">
        <v>2083</v>
      </c>
      <c r="B2053" s="1">
        <v>45634</v>
      </c>
      <c r="C2053" t="s">
        <v>34</v>
      </c>
      <c r="D2053" t="s">
        <v>25</v>
      </c>
      <c r="E2053">
        <v>56</v>
      </c>
      <c r="F2053" t="s">
        <v>15</v>
      </c>
      <c r="G2053">
        <v>1129.8</v>
      </c>
      <c r="H2053">
        <v>46</v>
      </c>
      <c r="I2053" t="s">
        <v>16</v>
      </c>
      <c r="J2053">
        <v>3.1</v>
      </c>
      <c r="K2053" t="s">
        <v>29</v>
      </c>
      <c r="L2053" t="s">
        <v>23</v>
      </c>
      <c r="M2053" t="str">
        <f>VLOOKUP(D2057,Restaurant_Master!A:B,2,FALSE)</f>
        <v>https://content.jdmagicbox.com/comp/deoria/g6/9999p5568.5568.200119143033.m4g6/catalogue/biryani-house-deoria-ho-deoria-mktc2xph0o.jpg</v>
      </c>
    </row>
    <row r="2054" spans="1:13" x14ac:dyDescent="0.3">
      <c r="A2054" t="s">
        <v>2084</v>
      </c>
      <c r="B2054" s="1">
        <v>45607</v>
      </c>
      <c r="C2054" t="s">
        <v>36</v>
      </c>
      <c r="D2054" t="s">
        <v>21</v>
      </c>
      <c r="E2054">
        <v>57</v>
      </c>
      <c r="F2054" t="s">
        <v>28</v>
      </c>
      <c r="G2054">
        <v>846.66</v>
      </c>
      <c r="H2054">
        <v>29</v>
      </c>
      <c r="I2054" t="s">
        <v>22</v>
      </c>
      <c r="J2054">
        <v>4.0999999999999996</v>
      </c>
      <c r="K2054" t="s">
        <v>41</v>
      </c>
      <c r="L2054" t="s">
        <v>23</v>
      </c>
      <c r="M2054" t="str">
        <f>VLOOKUP(D2058,Restaurant_Master!A:B,2,FALSE)</f>
        <v>https://www.chatswoodinterchange.com/storages/2018/08/Sushi-World_666x448.jpg</v>
      </c>
    </row>
    <row r="2055" spans="1:13" x14ac:dyDescent="0.3">
      <c r="A2055" t="s">
        <v>2085</v>
      </c>
      <c r="B2055" s="1">
        <v>45643</v>
      </c>
      <c r="C2055" t="s">
        <v>36</v>
      </c>
      <c r="D2055" t="s">
        <v>38</v>
      </c>
      <c r="E2055">
        <v>60</v>
      </c>
      <c r="F2055" t="s">
        <v>15</v>
      </c>
      <c r="G2055">
        <v>853.32</v>
      </c>
      <c r="H2055">
        <v>22</v>
      </c>
      <c r="I2055" t="s">
        <v>22</v>
      </c>
      <c r="J2055">
        <v>4.9000000000000004</v>
      </c>
      <c r="K2055" t="s">
        <v>29</v>
      </c>
      <c r="L2055" t="s">
        <v>23</v>
      </c>
      <c r="M2055" t="str">
        <f>VLOOKUP(D2059,Restaurant_Master!A:B,2,FALSE)</f>
        <v>https://media-cdn.tripadvisor.com/media/photo-s/1c/c7/97/b6/photo6jpg.jpg</v>
      </c>
    </row>
    <row r="2056" spans="1:13" x14ac:dyDescent="0.3">
      <c r="A2056" t="s">
        <v>2086</v>
      </c>
      <c r="B2056" s="1">
        <v>45612</v>
      </c>
      <c r="C2056" t="s">
        <v>34</v>
      </c>
      <c r="D2056" t="s">
        <v>38</v>
      </c>
      <c r="E2056">
        <v>31</v>
      </c>
      <c r="F2056" t="s">
        <v>15</v>
      </c>
      <c r="G2056">
        <v>291.24</v>
      </c>
      <c r="H2056">
        <v>27</v>
      </c>
      <c r="I2056" t="s">
        <v>22</v>
      </c>
      <c r="J2056">
        <v>4.2</v>
      </c>
      <c r="K2056" t="s">
        <v>29</v>
      </c>
      <c r="L2056" t="s">
        <v>23</v>
      </c>
      <c r="M2056" t="str">
        <f>VLOOKUP(D2060,Restaurant_Master!A:B,2,FALSE)</f>
        <v>https://media-cdn.tripadvisor.com/media/photo-s/1c/c7/97/b6/photo6jpg.jpg</v>
      </c>
    </row>
    <row r="2057" spans="1:13" x14ac:dyDescent="0.3">
      <c r="A2057" t="s">
        <v>2087</v>
      </c>
      <c r="B2057" s="1">
        <v>45354</v>
      </c>
      <c r="C2057" t="s">
        <v>13</v>
      </c>
      <c r="D2057" t="s">
        <v>32</v>
      </c>
      <c r="E2057">
        <v>49</v>
      </c>
      <c r="F2057" t="s">
        <v>15</v>
      </c>
      <c r="G2057">
        <v>1157.5999999999999</v>
      </c>
      <c r="H2057">
        <v>29</v>
      </c>
      <c r="I2057" t="s">
        <v>22</v>
      </c>
      <c r="J2057">
        <v>2.7</v>
      </c>
      <c r="K2057" t="s">
        <v>26</v>
      </c>
      <c r="L2057" t="s">
        <v>18</v>
      </c>
      <c r="M2057" t="str">
        <f>VLOOKUP(D2061,Restaurant_Master!A:B,2,FALSE)</f>
        <v>https://content.jdmagicbox.com/comp/deoria/g6/9999p5568.5568.200119143033.m4g6/catalogue/biryani-house-deoria-ho-deoria-mktc2xph0o.jpg</v>
      </c>
    </row>
    <row r="2058" spans="1:13" x14ac:dyDescent="0.3">
      <c r="A2058" t="s">
        <v>2088</v>
      </c>
      <c r="B2058" s="1">
        <v>45340</v>
      </c>
      <c r="C2058" t="s">
        <v>13</v>
      </c>
      <c r="D2058" t="s">
        <v>38</v>
      </c>
      <c r="E2058">
        <v>51</v>
      </c>
      <c r="F2058" t="s">
        <v>28</v>
      </c>
      <c r="G2058">
        <v>548.21</v>
      </c>
      <c r="H2058">
        <v>36</v>
      </c>
      <c r="I2058" t="s">
        <v>22</v>
      </c>
      <c r="J2058">
        <v>4.5</v>
      </c>
      <c r="K2058" t="s">
        <v>26</v>
      </c>
      <c r="L2058" t="s">
        <v>18</v>
      </c>
      <c r="M2058" t="str">
        <f>VLOOKUP(D2062,Restaurant_Master!A:B,2,FALSE)</f>
        <v>https://media-cdn.tripadvisor.com/media/photo-s/1c/c7/97/b6/photo6jpg.jpg</v>
      </c>
    </row>
    <row r="2059" spans="1:13" x14ac:dyDescent="0.3">
      <c r="A2059" t="s">
        <v>2089</v>
      </c>
      <c r="B2059" s="1">
        <v>45460</v>
      </c>
      <c r="C2059" t="s">
        <v>34</v>
      </c>
      <c r="D2059" t="s">
        <v>25</v>
      </c>
      <c r="E2059">
        <v>49</v>
      </c>
      <c r="F2059" t="s">
        <v>15</v>
      </c>
      <c r="G2059">
        <v>621.36</v>
      </c>
      <c r="H2059">
        <v>31</v>
      </c>
      <c r="I2059" t="s">
        <v>22</v>
      </c>
      <c r="J2059">
        <v>4</v>
      </c>
      <c r="K2059" t="s">
        <v>26</v>
      </c>
      <c r="L2059" t="s">
        <v>18</v>
      </c>
      <c r="M2059" t="str">
        <f>VLOOKUP(D2063,Restaurant_Master!A:B,2,FALSE)</f>
        <v>https://dynamic-media-cdn.tripadvisor.com/media/photo-o/1c/e7/04/0d/front-of-the-local-easily.jpg</v>
      </c>
    </row>
    <row r="2060" spans="1:13" x14ac:dyDescent="0.3">
      <c r="A2060" t="s">
        <v>2090</v>
      </c>
      <c r="B2060" s="1">
        <v>45639</v>
      </c>
      <c r="C2060" t="s">
        <v>43</v>
      </c>
      <c r="D2060" t="s">
        <v>25</v>
      </c>
      <c r="E2060">
        <v>44</v>
      </c>
      <c r="F2060" t="s">
        <v>28</v>
      </c>
      <c r="G2060">
        <v>1027.18</v>
      </c>
      <c r="H2060">
        <v>46</v>
      </c>
      <c r="I2060" t="s">
        <v>16</v>
      </c>
      <c r="J2060">
        <v>4.5</v>
      </c>
      <c r="K2060" t="s">
        <v>41</v>
      </c>
      <c r="L2060" t="s">
        <v>23</v>
      </c>
      <c r="M2060" t="str">
        <f>VLOOKUP(D2064,Restaurant_Master!A:B,2,FALSE)</f>
        <v>https://dynamic-media-cdn.tripadvisor.com/media/photo-o/1c/e7/04/0d/front-of-the-local-easily.jpg</v>
      </c>
    </row>
    <row r="2061" spans="1:13" x14ac:dyDescent="0.3">
      <c r="A2061" t="s">
        <v>2091</v>
      </c>
      <c r="B2061" s="1">
        <v>45562</v>
      </c>
      <c r="C2061" t="s">
        <v>43</v>
      </c>
      <c r="D2061" t="s">
        <v>32</v>
      </c>
      <c r="E2061">
        <v>40</v>
      </c>
      <c r="F2061" t="s">
        <v>28</v>
      </c>
      <c r="G2061">
        <v>1144.07</v>
      </c>
      <c r="H2061">
        <v>26</v>
      </c>
      <c r="I2061" t="s">
        <v>22</v>
      </c>
      <c r="J2061">
        <v>2.8</v>
      </c>
      <c r="K2061" t="s">
        <v>26</v>
      </c>
      <c r="L2061" t="s">
        <v>18</v>
      </c>
      <c r="M2061" t="str">
        <f>VLOOKUP(D2065,Restaurant_Master!A:B,2,FALSE)</f>
        <v>https://content.jdmagicbox.com/comp/deoria/g6/9999p5568.5568.200119143033.m4g6/catalogue/biryani-house-deoria-ho-deoria-mktc2xph0o.jpg</v>
      </c>
    </row>
    <row r="2062" spans="1:13" x14ac:dyDescent="0.3">
      <c r="A2062" t="s">
        <v>2092</v>
      </c>
      <c r="B2062" s="1">
        <v>45534</v>
      </c>
      <c r="C2062" t="s">
        <v>13</v>
      </c>
      <c r="D2062" t="s">
        <v>25</v>
      </c>
      <c r="E2062">
        <v>37</v>
      </c>
      <c r="F2062" t="s">
        <v>15</v>
      </c>
      <c r="G2062">
        <v>1168.51</v>
      </c>
      <c r="H2062">
        <v>49</v>
      </c>
      <c r="I2062" t="s">
        <v>16</v>
      </c>
      <c r="J2062">
        <v>3.3</v>
      </c>
      <c r="K2062" t="s">
        <v>26</v>
      </c>
      <c r="L2062" t="s">
        <v>18</v>
      </c>
      <c r="M2062" t="str">
        <f>VLOOKUP(D2066,Restaurant_Master!A:B,2,FALSE)</f>
        <v>https://content.jdmagicbox.com/comp/deoria/g6/9999p5568.5568.200119143033.m4g6/catalogue/biryani-house-deoria-ho-deoria-mktc2xph0o.jpg</v>
      </c>
    </row>
    <row r="2063" spans="1:13" x14ac:dyDescent="0.3">
      <c r="A2063" t="s">
        <v>2093</v>
      </c>
      <c r="B2063" s="1">
        <v>45547</v>
      </c>
      <c r="C2063" t="s">
        <v>20</v>
      </c>
      <c r="D2063" t="s">
        <v>21</v>
      </c>
      <c r="E2063">
        <v>53</v>
      </c>
      <c r="F2063" t="s">
        <v>28</v>
      </c>
      <c r="G2063">
        <v>874.46</v>
      </c>
      <c r="H2063">
        <v>52</v>
      </c>
      <c r="I2063" t="s">
        <v>16</v>
      </c>
      <c r="J2063">
        <v>3.6</v>
      </c>
      <c r="K2063" t="s">
        <v>26</v>
      </c>
      <c r="L2063" t="s">
        <v>23</v>
      </c>
      <c r="M2063" t="str">
        <f>VLOOKUP(D2067,Restaurant_Master!A:B,2,FALSE)</f>
        <v>https://dynamic-media-cdn.tripadvisor.com/media/photo-o/1c/e7/04/0d/front-of-the-local-easily.jpg</v>
      </c>
    </row>
    <row r="2064" spans="1:13" x14ac:dyDescent="0.3">
      <c r="A2064" t="s">
        <v>2094</v>
      </c>
      <c r="B2064" s="1">
        <v>45529</v>
      </c>
      <c r="C2064" t="s">
        <v>43</v>
      </c>
      <c r="D2064" t="s">
        <v>21</v>
      </c>
      <c r="E2064">
        <v>51</v>
      </c>
      <c r="F2064" t="s">
        <v>28</v>
      </c>
      <c r="G2064">
        <v>608.91999999999996</v>
      </c>
      <c r="H2064">
        <v>35</v>
      </c>
      <c r="I2064" t="s">
        <v>22</v>
      </c>
      <c r="J2064">
        <v>2.9</v>
      </c>
      <c r="K2064" t="s">
        <v>17</v>
      </c>
      <c r="L2064" t="s">
        <v>23</v>
      </c>
      <c r="M2064" t="str">
        <f>VLOOKUP(D2068,Restaurant_Master!A:B,2,FALSE)</f>
        <v>https://dynamic-media-cdn.tripadvisor.com/media/photo-o/1c/e7/04/0d/front-of-the-local-easily.jpg</v>
      </c>
    </row>
    <row r="2065" spans="1:13" x14ac:dyDescent="0.3">
      <c r="A2065" t="s">
        <v>2095</v>
      </c>
      <c r="B2065" s="1">
        <v>45301</v>
      </c>
      <c r="C2065" t="s">
        <v>13</v>
      </c>
      <c r="D2065" t="s">
        <v>32</v>
      </c>
      <c r="E2065">
        <v>36</v>
      </c>
      <c r="F2065" t="s">
        <v>15</v>
      </c>
      <c r="G2065">
        <v>528.05999999999995</v>
      </c>
      <c r="H2065">
        <v>41</v>
      </c>
      <c r="I2065" t="s">
        <v>16</v>
      </c>
      <c r="J2065">
        <v>3.4</v>
      </c>
      <c r="K2065" t="s">
        <v>17</v>
      </c>
      <c r="L2065" t="s">
        <v>18</v>
      </c>
      <c r="M2065" t="str">
        <f>VLOOKUP(D2069,Restaurant_Master!A:B,2,FALSE)</f>
        <v>https://dynamic-media-cdn.tripadvisor.com/media/photo-o/1c/e7/04/0d/front-of-the-local-easily.jpg</v>
      </c>
    </row>
    <row r="2066" spans="1:13" x14ac:dyDescent="0.3">
      <c r="A2066" t="s">
        <v>2096</v>
      </c>
      <c r="B2066" s="1">
        <v>45515</v>
      </c>
      <c r="C2066" t="s">
        <v>43</v>
      </c>
      <c r="D2066" t="s">
        <v>32</v>
      </c>
      <c r="E2066">
        <v>57</v>
      </c>
      <c r="F2066" t="s">
        <v>15</v>
      </c>
      <c r="G2066">
        <v>333.1</v>
      </c>
      <c r="H2066">
        <v>53</v>
      </c>
      <c r="I2066" t="s">
        <v>16</v>
      </c>
      <c r="J2066">
        <v>4.3</v>
      </c>
      <c r="K2066" t="s">
        <v>29</v>
      </c>
      <c r="L2066" t="s">
        <v>23</v>
      </c>
      <c r="M2066" t="str">
        <f>VLOOKUP(D2070,Restaurant_Master!A:B,2,FALSE)</f>
        <v>https://content.jdmagicbox.com/comp/deoria/g6/9999p5568.5568.200119143033.m4g6/catalogue/biryani-house-deoria-ho-deoria-mktc2xph0o.jpg</v>
      </c>
    </row>
    <row r="2067" spans="1:13" x14ac:dyDescent="0.3">
      <c r="A2067" t="s">
        <v>2097</v>
      </c>
      <c r="B2067" s="1">
        <v>45381</v>
      </c>
      <c r="C2067" t="s">
        <v>13</v>
      </c>
      <c r="D2067" t="s">
        <v>21</v>
      </c>
      <c r="E2067">
        <v>58</v>
      </c>
      <c r="F2067" t="s">
        <v>28</v>
      </c>
      <c r="G2067">
        <v>1072.75</v>
      </c>
      <c r="H2067">
        <v>26</v>
      </c>
      <c r="I2067" t="s">
        <v>22</v>
      </c>
      <c r="J2067">
        <v>2.6</v>
      </c>
      <c r="K2067" t="s">
        <v>29</v>
      </c>
      <c r="L2067" t="s">
        <v>18</v>
      </c>
      <c r="M2067" t="str">
        <f>VLOOKUP(D2071,Restaurant_Master!A:B,2,FALSE)</f>
        <v>https://dineout-media-assets.swiggy.com/swiggy/image/upload/fl_lossy,f_auto,q_auto/v1660793737/fdqxvxcxg1wtdwvyv45v.jpg</v>
      </c>
    </row>
    <row r="2068" spans="1:13" x14ac:dyDescent="0.3">
      <c r="A2068" t="s">
        <v>2098</v>
      </c>
      <c r="B2068" s="1">
        <v>45506</v>
      </c>
      <c r="C2068" t="s">
        <v>20</v>
      </c>
      <c r="D2068" t="s">
        <v>21</v>
      </c>
      <c r="E2068">
        <v>32</v>
      </c>
      <c r="F2068" t="s">
        <v>28</v>
      </c>
      <c r="G2068">
        <v>315.66000000000003</v>
      </c>
      <c r="H2068">
        <v>53</v>
      </c>
      <c r="I2068" t="s">
        <v>16</v>
      </c>
      <c r="J2068">
        <v>4.3</v>
      </c>
      <c r="K2068" t="s">
        <v>26</v>
      </c>
      <c r="L2068" t="s">
        <v>18</v>
      </c>
      <c r="M2068" t="str">
        <f>VLOOKUP(D2072,Restaurant_Master!A:B,2,FALSE)</f>
        <v>https://media-cdn.tripadvisor.com/media/photo-s/1c/c7/97/b6/photo6jpg.jpg</v>
      </c>
    </row>
    <row r="2069" spans="1:13" x14ac:dyDescent="0.3">
      <c r="A2069" t="s">
        <v>2099</v>
      </c>
      <c r="B2069" s="1">
        <v>45594</v>
      </c>
      <c r="C2069" t="s">
        <v>13</v>
      </c>
      <c r="D2069" t="s">
        <v>21</v>
      </c>
      <c r="E2069">
        <v>27</v>
      </c>
      <c r="F2069" t="s">
        <v>28</v>
      </c>
      <c r="G2069">
        <v>457.48</v>
      </c>
      <c r="H2069">
        <v>37</v>
      </c>
      <c r="I2069" t="s">
        <v>22</v>
      </c>
      <c r="J2069">
        <v>2.6</v>
      </c>
      <c r="K2069" t="s">
        <v>26</v>
      </c>
      <c r="L2069" t="s">
        <v>23</v>
      </c>
      <c r="M2069" t="str">
        <f>VLOOKUP(D2073,Restaurant_Master!A:B,2,FALSE)</f>
        <v>https://dynamic-media-cdn.tripadvisor.com/media/photo-o/1c/e7/04/0d/front-of-the-local-easily.jpg</v>
      </c>
    </row>
    <row r="2070" spans="1:13" x14ac:dyDescent="0.3">
      <c r="A2070" t="s">
        <v>2100</v>
      </c>
      <c r="B2070" s="1">
        <v>45598</v>
      </c>
      <c r="C2070" t="s">
        <v>13</v>
      </c>
      <c r="D2070" t="s">
        <v>32</v>
      </c>
      <c r="E2070">
        <v>23</v>
      </c>
      <c r="F2070" t="s">
        <v>15</v>
      </c>
      <c r="G2070">
        <v>155.33000000000001</v>
      </c>
      <c r="H2070">
        <v>39</v>
      </c>
      <c r="I2070" t="s">
        <v>22</v>
      </c>
      <c r="J2070">
        <v>3.4</v>
      </c>
      <c r="K2070" t="s">
        <v>29</v>
      </c>
      <c r="L2070" t="s">
        <v>18</v>
      </c>
      <c r="M2070" t="str">
        <f>VLOOKUP(D2074,Restaurant_Master!A:B,2,FALSE)</f>
        <v>https://dynamic-media-cdn.tripadvisor.com/media/photo-o/1c/e7/04/0d/front-of-the-local-easily.jpg</v>
      </c>
    </row>
    <row r="2071" spans="1:13" x14ac:dyDescent="0.3">
      <c r="A2071" t="s">
        <v>2101</v>
      </c>
      <c r="B2071" s="1">
        <v>45504</v>
      </c>
      <c r="C2071" t="s">
        <v>13</v>
      </c>
      <c r="D2071" t="s">
        <v>14</v>
      </c>
      <c r="E2071">
        <v>38</v>
      </c>
      <c r="F2071" t="s">
        <v>28</v>
      </c>
      <c r="G2071">
        <v>637.88</v>
      </c>
      <c r="H2071">
        <v>20</v>
      </c>
      <c r="I2071" t="s">
        <v>22</v>
      </c>
      <c r="J2071">
        <v>3</v>
      </c>
      <c r="K2071" t="s">
        <v>41</v>
      </c>
      <c r="L2071" t="s">
        <v>23</v>
      </c>
      <c r="M2071" t="str">
        <f>VLOOKUP(D2075,Restaurant_Master!A:B,2,FALSE)</f>
        <v>https://content.jdmagicbox.com/comp/deoria/g6/9999p5568.5568.200119143033.m4g6/catalogue/biryani-house-deoria-ho-deoria-mktc2xph0o.jpg</v>
      </c>
    </row>
    <row r="2072" spans="1:13" x14ac:dyDescent="0.3">
      <c r="A2072" t="s">
        <v>2102</v>
      </c>
      <c r="B2072" s="1">
        <v>45302</v>
      </c>
      <c r="C2072" t="s">
        <v>20</v>
      </c>
      <c r="D2072" t="s">
        <v>25</v>
      </c>
      <c r="E2072">
        <v>33</v>
      </c>
      <c r="F2072" t="s">
        <v>15</v>
      </c>
      <c r="G2072">
        <v>536.72</v>
      </c>
      <c r="H2072">
        <v>27</v>
      </c>
      <c r="I2072" t="s">
        <v>22</v>
      </c>
      <c r="J2072">
        <v>4</v>
      </c>
      <c r="K2072" t="s">
        <v>29</v>
      </c>
      <c r="L2072" t="s">
        <v>23</v>
      </c>
      <c r="M2072" t="str">
        <f>VLOOKUP(D2076,Restaurant_Master!A:B,2,FALSE)</f>
        <v>https://dineout-media-assets.swiggy.com/swiggy/image/upload/fl_lossy,f_auto,q_auto/v1660793737/fdqxvxcxg1wtdwvyv45v.jpg</v>
      </c>
    </row>
    <row r="2073" spans="1:13" x14ac:dyDescent="0.3">
      <c r="A2073" t="s">
        <v>2103</v>
      </c>
      <c r="B2073" s="1">
        <v>45467</v>
      </c>
      <c r="C2073" t="s">
        <v>13</v>
      </c>
      <c r="D2073" t="s">
        <v>21</v>
      </c>
      <c r="E2073">
        <v>51</v>
      </c>
      <c r="F2073" t="s">
        <v>15</v>
      </c>
      <c r="G2073">
        <v>288.11</v>
      </c>
      <c r="H2073">
        <v>41</v>
      </c>
      <c r="I2073" t="s">
        <v>16</v>
      </c>
      <c r="J2073">
        <v>3.1</v>
      </c>
      <c r="K2073" t="s">
        <v>17</v>
      </c>
      <c r="L2073" t="s">
        <v>23</v>
      </c>
      <c r="M2073" t="str">
        <f>VLOOKUP(D2077,Restaurant_Master!A:B,2,FALSE)</f>
        <v>https://dynamic-media-cdn.tripadvisor.com/media/photo-o/1c/e7/04/0d/front-of-the-local-easily.jpg</v>
      </c>
    </row>
    <row r="2074" spans="1:13" x14ac:dyDescent="0.3">
      <c r="A2074" t="s">
        <v>2104</v>
      </c>
      <c r="B2074" s="1">
        <v>45340</v>
      </c>
      <c r="C2074" t="s">
        <v>34</v>
      </c>
      <c r="D2074" t="s">
        <v>21</v>
      </c>
      <c r="E2074">
        <v>56</v>
      </c>
      <c r="F2074" t="s">
        <v>15</v>
      </c>
      <c r="G2074">
        <v>214.59</v>
      </c>
      <c r="H2074">
        <v>21</v>
      </c>
      <c r="I2074" t="s">
        <v>22</v>
      </c>
      <c r="J2074">
        <v>4</v>
      </c>
      <c r="K2074" t="s">
        <v>41</v>
      </c>
      <c r="L2074" t="s">
        <v>23</v>
      </c>
      <c r="M2074" t="str">
        <f>VLOOKUP(D2078,Restaurant_Master!A:B,2,FALSE)</f>
        <v>https://dynamic-media-cdn.tripadvisor.com/media/photo-o/1c/e7/04/0d/front-of-the-local-easily.jpg</v>
      </c>
    </row>
    <row r="2075" spans="1:13" x14ac:dyDescent="0.3">
      <c r="A2075" t="s">
        <v>2105</v>
      </c>
      <c r="B2075" s="1">
        <v>45549</v>
      </c>
      <c r="C2075" t="s">
        <v>20</v>
      </c>
      <c r="D2075" t="s">
        <v>32</v>
      </c>
      <c r="E2075">
        <v>18</v>
      </c>
      <c r="F2075" t="s">
        <v>28</v>
      </c>
      <c r="G2075">
        <v>805.76</v>
      </c>
      <c r="H2075">
        <v>59</v>
      </c>
      <c r="I2075" t="s">
        <v>16</v>
      </c>
      <c r="J2075">
        <v>4.2</v>
      </c>
      <c r="K2075" t="s">
        <v>41</v>
      </c>
      <c r="L2075" t="s">
        <v>18</v>
      </c>
      <c r="M2075" t="str">
        <f>VLOOKUP(D2079,Restaurant_Master!A:B,2,FALSE)</f>
        <v>https://dineout-media-assets.swiggy.com/swiggy/image/upload/fl_lossy,f_auto,q_auto/v1660793737/fdqxvxcxg1wtdwvyv45v.jpg</v>
      </c>
    </row>
    <row r="2076" spans="1:13" x14ac:dyDescent="0.3">
      <c r="A2076" t="s">
        <v>2106</v>
      </c>
      <c r="B2076" s="1">
        <v>45422</v>
      </c>
      <c r="C2076" t="s">
        <v>13</v>
      </c>
      <c r="D2076" t="s">
        <v>14</v>
      </c>
      <c r="E2076">
        <v>45</v>
      </c>
      <c r="F2076" t="s">
        <v>28</v>
      </c>
      <c r="G2076">
        <v>186.14</v>
      </c>
      <c r="H2076">
        <v>37</v>
      </c>
      <c r="I2076" t="s">
        <v>22</v>
      </c>
      <c r="J2076">
        <v>3.8</v>
      </c>
      <c r="K2076" t="s">
        <v>41</v>
      </c>
      <c r="L2076" t="s">
        <v>18</v>
      </c>
      <c r="M2076" t="str">
        <f>VLOOKUP(D2080,Restaurant_Master!A:B,2,FALSE)</f>
        <v>https://dynamic-media-cdn.tripadvisor.com/media/photo-o/1c/e7/04/0d/front-of-the-local-easily.jpg</v>
      </c>
    </row>
    <row r="2077" spans="1:13" x14ac:dyDescent="0.3">
      <c r="A2077" t="s">
        <v>2107</v>
      </c>
      <c r="B2077" s="1">
        <v>45409</v>
      </c>
      <c r="C2077" t="s">
        <v>36</v>
      </c>
      <c r="D2077" t="s">
        <v>21</v>
      </c>
      <c r="E2077">
        <v>18</v>
      </c>
      <c r="F2077" t="s">
        <v>15</v>
      </c>
      <c r="G2077">
        <v>1037.81</v>
      </c>
      <c r="H2077">
        <v>56</v>
      </c>
      <c r="I2077" t="s">
        <v>16</v>
      </c>
      <c r="J2077">
        <v>2.5</v>
      </c>
      <c r="K2077" t="s">
        <v>41</v>
      </c>
      <c r="L2077" t="s">
        <v>23</v>
      </c>
      <c r="M2077" t="str">
        <f>VLOOKUP(D2081,Restaurant_Master!A:B,2,FALSE)</f>
        <v>https://dynamic-media-cdn.tripadvisor.com/media/photo-o/1c/e7/04/0d/front-of-the-local-easily.jpg</v>
      </c>
    </row>
    <row r="2078" spans="1:13" x14ac:dyDescent="0.3">
      <c r="A2078" t="s">
        <v>2108</v>
      </c>
      <c r="B2078" s="1">
        <v>45532</v>
      </c>
      <c r="C2078" t="s">
        <v>36</v>
      </c>
      <c r="D2078" t="s">
        <v>21</v>
      </c>
      <c r="E2078">
        <v>52</v>
      </c>
      <c r="F2078" t="s">
        <v>15</v>
      </c>
      <c r="G2078">
        <v>367.85</v>
      </c>
      <c r="H2078">
        <v>20</v>
      </c>
      <c r="I2078" t="s">
        <v>22</v>
      </c>
      <c r="J2078">
        <v>2.9</v>
      </c>
      <c r="K2078" t="s">
        <v>17</v>
      </c>
      <c r="L2078" t="s">
        <v>18</v>
      </c>
      <c r="M2078" t="str">
        <f>VLOOKUP(D2082,Restaurant_Master!A:B,2,FALSE)</f>
        <v>https://media-cdn.tripadvisor.com/media/photo-s/1c/c7/97/b6/photo6jpg.jpg</v>
      </c>
    </row>
    <row r="2079" spans="1:13" x14ac:dyDescent="0.3">
      <c r="A2079" t="s">
        <v>2109</v>
      </c>
      <c r="B2079" s="1">
        <v>45358</v>
      </c>
      <c r="C2079" t="s">
        <v>34</v>
      </c>
      <c r="D2079" t="s">
        <v>14</v>
      </c>
      <c r="E2079">
        <v>25</v>
      </c>
      <c r="F2079" t="s">
        <v>15</v>
      </c>
      <c r="G2079">
        <v>878.4</v>
      </c>
      <c r="H2079">
        <v>51</v>
      </c>
      <c r="I2079" t="s">
        <v>16</v>
      </c>
      <c r="J2079">
        <v>4.9000000000000004</v>
      </c>
      <c r="K2079" t="s">
        <v>17</v>
      </c>
      <c r="L2079" t="s">
        <v>23</v>
      </c>
      <c r="M2079" t="str">
        <f>VLOOKUP(D2083,Restaurant_Master!A:B,2,FALSE)</f>
        <v>https://dineout-media-assets.swiggy.com/swiggy/image/upload/fl_lossy,f_auto,q_auto/v1660793737/fdqxvxcxg1wtdwvyv45v.jpg</v>
      </c>
    </row>
    <row r="2080" spans="1:13" x14ac:dyDescent="0.3">
      <c r="A2080" t="s">
        <v>2110</v>
      </c>
      <c r="B2080" s="1">
        <v>45296</v>
      </c>
      <c r="C2080" t="s">
        <v>36</v>
      </c>
      <c r="D2080" t="s">
        <v>21</v>
      </c>
      <c r="E2080">
        <v>24</v>
      </c>
      <c r="F2080" t="s">
        <v>15</v>
      </c>
      <c r="G2080">
        <v>410.19</v>
      </c>
      <c r="H2080">
        <v>25</v>
      </c>
      <c r="I2080" t="s">
        <v>22</v>
      </c>
      <c r="J2080">
        <v>4.5</v>
      </c>
      <c r="K2080" t="s">
        <v>26</v>
      </c>
      <c r="L2080" t="s">
        <v>18</v>
      </c>
      <c r="M2080" t="str">
        <f>VLOOKUP(D2084,Restaurant_Master!A:B,2,FALSE)</f>
        <v>https://content.jdmagicbox.com/comp/deoria/g6/9999p5568.5568.200119143033.m4g6/catalogue/biryani-house-deoria-ho-deoria-mktc2xph0o.jpg</v>
      </c>
    </row>
    <row r="2081" spans="1:13" x14ac:dyDescent="0.3">
      <c r="A2081" t="s">
        <v>2111</v>
      </c>
      <c r="B2081" s="1">
        <v>45335</v>
      </c>
      <c r="C2081" t="s">
        <v>20</v>
      </c>
      <c r="D2081" t="s">
        <v>21</v>
      </c>
      <c r="E2081">
        <v>57</v>
      </c>
      <c r="F2081" t="s">
        <v>15</v>
      </c>
      <c r="G2081">
        <v>693.07</v>
      </c>
      <c r="H2081">
        <v>42</v>
      </c>
      <c r="I2081" t="s">
        <v>16</v>
      </c>
      <c r="J2081">
        <v>3</v>
      </c>
      <c r="K2081" t="s">
        <v>26</v>
      </c>
      <c r="L2081" t="s">
        <v>18</v>
      </c>
      <c r="M2081" t="str">
        <f>VLOOKUP(D2085,Restaurant_Master!A:B,2,FALSE)</f>
        <v>https://www.chatswoodinterchange.com/storages/2018/08/Sushi-World_666x448.jpg</v>
      </c>
    </row>
    <row r="2082" spans="1:13" x14ac:dyDescent="0.3">
      <c r="A2082" t="s">
        <v>2112</v>
      </c>
      <c r="B2082" s="1">
        <v>45559</v>
      </c>
      <c r="C2082" t="s">
        <v>13</v>
      </c>
      <c r="D2082" t="s">
        <v>25</v>
      </c>
      <c r="E2082">
        <v>37</v>
      </c>
      <c r="F2082" t="s">
        <v>15</v>
      </c>
      <c r="G2082">
        <v>229.04</v>
      </c>
      <c r="H2082">
        <v>32</v>
      </c>
      <c r="I2082" t="s">
        <v>22</v>
      </c>
      <c r="J2082">
        <v>3.5</v>
      </c>
      <c r="K2082" t="s">
        <v>26</v>
      </c>
      <c r="L2082" t="s">
        <v>23</v>
      </c>
      <c r="M2082" t="str">
        <f>VLOOKUP(D2086,Restaurant_Master!A:B,2,FALSE)</f>
        <v>https://dynamic-media-cdn.tripadvisor.com/media/photo-o/1c/e7/04/0d/front-of-the-local-easily.jpg</v>
      </c>
    </row>
    <row r="2083" spans="1:13" x14ac:dyDescent="0.3">
      <c r="A2083" t="s">
        <v>2113</v>
      </c>
      <c r="B2083" s="1">
        <v>45348</v>
      </c>
      <c r="C2083" t="s">
        <v>43</v>
      </c>
      <c r="D2083" t="s">
        <v>14</v>
      </c>
      <c r="E2083">
        <v>52</v>
      </c>
      <c r="F2083" t="s">
        <v>15</v>
      </c>
      <c r="G2083">
        <v>560.45000000000005</v>
      </c>
      <c r="H2083">
        <v>51</v>
      </c>
      <c r="I2083" t="s">
        <v>16</v>
      </c>
      <c r="J2083">
        <v>4.3</v>
      </c>
      <c r="K2083" t="s">
        <v>29</v>
      </c>
      <c r="L2083" t="s">
        <v>23</v>
      </c>
      <c r="M2083" t="str">
        <f>VLOOKUP(D2087,Restaurant_Master!A:B,2,FALSE)</f>
        <v>https://dineout-media-assets.swiggy.com/swiggy/image/upload/fl_lossy,f_auto,q_auto/v1660793737/fdqxvxcxg1wtdwvyv45v.jpg</v>
      </c>
    </row>
    <row r="2084" spans="1:13" x14ac:dyDescent="0.3">
      <c r="A2084" t="s">
        <v>2114</v>
      </c>
      <c r="B2084" s="1">
        <v>45650</v>
      </c>
      <c r="C2084" t="s">
        <v>36</v>
      </c>
      <c r="D2084" t="s">
        <v>32</v>
      </c>
      <c r="E2084">
        <v>58</v>
      </c>
      <c r="F2084" t="s">
        <v>28</v>
      </c>
      <c r="G2084">
        <v>1178.27</v>
      </c>
      <c r="H2084">
        <v>27</v>
      </c>
      <c r="I2084" t="s">
        <v>22</v>
      </c>
      <c r="J2084">
        <v>3.9</v>
      </c>
      <c r="K2084" t="s">
        <v>17</v>
      </c>
      <c r="L2084" t="s">
        <v>23</v>
      </c>
      <c r="M2084" t="str">
        <f>VLOOKUP(D2088,Restaurant_Master!A:B,2,FALSE)</f>
        <v>https://content.jdmagicbox.com/comp/deoria/g6/9999p5568.5568.200119143033.m4g6/catalogue/biryani-house-deoria-ho-deoria-mktc2xph0o.jpg</v>
      </c>
    </row>
    <row r="2085" spans="1:13" x14ac:dyDescent="0.3">
      <c r="A2085" t="s">
        <v>2115</v>
      </c>
      <c r="B2085" s="1">
        <v>45603</v>
      </c>
      <c r="C2085" t="s">
        <v>43</v>
      </c>
      <c r="D2085" t="s">
        <v>38</v>
      </c>
      <c r="E2085">
        <v>37</v>
      </c>
      <c r="F2085" t="s">
        <v>28</v>
      </c>
      <c r="G2085">
        <v>809.2</v>
      </c>
      <c r="H2085">
        <v>21</v>
      </c>
      <c r="I2085" t="s">
        <v>22</v>
      </c>
      <c r="J2085">
        <v>3.9</v>
      </c>
      <c r="K2085" t="s">
        <v>17</v>
      </c>
      <c r="L2085" t="s">
        <v>23</v>
      </c>
      <c r="M2085" t="str">
        <f>VLOOKUP(D2089,Restaurant_Master!A:B,2,FALSE)</f>
        <v>https://www.chatswoodinterchange.com/storages/2018/08/Sushi-World_666x448.jpg</v>
      </c>
    </row>
    <row r="2086" spans="1:13" x14ac:dyDescent="0.3">
      <c r="A2086" t="s">
        <v>2116</v>
      </c>
      <c r="B2086" s="1">
        <v>45565</v>
      </c>
      <c r="C2086" t="s">
        <v>20</v>
      </c>
      <c r="D2086" t="s">
        <v>21</v>
      </c>
      <c r="E2086">
        <v>55</v>
      </c>
      <c r="F2086" t="s">
        <v>15</v>
      </c>
      <c r="G2086">
        <v>653.66999999999996</v>
      </c>
      <c r="H2086">
        <v>60</v>
      </c>
      <c r="I2086" t="s">
        <v>16</v>
      </c>
      <c r="J2086">
        <v>4.2</v>
      </c>
      <c r="K2086" t="s">
        <v>41</v>
      </c>
      <c r="L2086" t="s">
        <v>23</v>
      </c>
      <c r="M2086" t="str">
        <f>VLOOKUP(D2090,Restaurant_Master!A:B,2,FALSE)</f>
        <v>https://content.jdmagicbox.com/comp/deoria/g6/9999p5568.5568.200119143033.m4g6/catalogue/biryani-house-deoria-ho-deoria-mktc2xph0o.jpg</v>
      </c>
    </row>
    <row r="2087" spans="1:13" x14ac:dyDescent="0.3">
      <c r="A2087" t="s">
        <v>2117</v>
      </c>
      <c r="B2087" s="1">
        <v>45651</v>
      </c>
      <c r="C2087" t="s">
        <v>36</v>
      </c>
      <c r="D2087" t="s">
        <v>14</v>
      </c>
      <c r="E2087">
        <v>40</v>
      </c>
      <c r="F2087" t="s">
        <v>28</v>
      </c>
      <c r="G2087">
        <v>1153.21</v>
      </c>
      <c r="H2087">
        <v>20</v>
      </c>
      <c r="I2087" t="s">
        <v>22</v>
      </c>
      <c r="J2087">
        <v>2.6</v>
      </c>
      <c r="K2087" t="s">
        <v>17</v>
      </c>
      <c r="L2087" t="s">
        <v>18</v>
      </c>
      <c r="M2087" t="str">
        <f>VLOOKUP(D2091,Restaurant_Master!A:B,2,FALSE)</f>
        <v>https://dineout-media-assets.swiggy.com/swiggy/image/upload/fl_lossy,f_auto,q_auto/v1660793737/fdqxvxcxg1wtdwvyv45v.jpg</v>
      </c>
    </row>
    <row r="2088" spans="1:13" x14ac:dyDescent="0.3">
      <c r="A2088" t="s">
        <v>2118</v>
      </c>
      <c r="B2088" s="1">
        <v>45545</v>
      </c>
      <c r="C2088" t="s">
        <v>34</v>
      </c>
      <c r="D2088" t="s">
        <v>32</v>
      </c>
      <c r="E2088">
        <v>31</v>
      </c>
      <c r="F2088" t="s">
        <v>28</v>
      </c>
      <c r="G2088">
        <v>537.55999999999995</v>
      </c>
      <c r="H2088">
        <v>25</v>
      </c>
      <c r="I2088" t="s">
        <v>22</v>
      </c>
      <c r="J2088">
        <v>3.4</v>
      </c>
      <c r="K2088" t="s">
        <v>26</v>
      </c>
      <c r="L2088" t="s">
        <v>23</v>
      </c>
      <c r="M2088" t="str">
        <f>VLOOKUP(D2092,Restaurant_Master!A:B,2,FALSE)</f>
        <v>https://media-cdn.tripadvisor.com/media/photo-s/1c/c7/97/b6/photo6jpg.jpg</v>
      </c>
    </row>
    <row r="2089" spans="1:13" x14ac:dyDescent="0.3">
      <c r="A2089" t="s">
        <v>2119</v>
      </c>
      <c r="B2089" s="1">
        <v>45540</v>
      </c>
      <c r="C2089" t="s">
        <v>43</v>
      </c>
      <c r="D2089" t="s">
        <v>38</v>
      </c>
      <c r="E2089">
        <v>23</v>
      </c>
      <c r="F2089" t="s">
        <v>28</v>
      </c>
      <c r="G2089">
        <v>198.33</v>
      </c>
      <c r="H2089">
        <v>37</v>
      </c>
      <c r="I2089" t="s">
        <v>22</v>
      </c>
      <c r="J2089">
        <v>2.6</v>
      </c>
      <c r="K2089" t="s">
        <v>41</v>
      </c>
      <c r="L2089" t="s">
        <v>18</v>
      </c>
      <c r="M2089" t="str">
        <f>VLOOKUP(D2093,Restaurant_Master!A:B,2,FALSE)</f>
        <v>https://dynamic-media-cdn.tripadvisor.com/media/photo-o/1c/e7/04/0d/front-of-the-local-easily.jpg</v>
      </c>
    </row>
    <row r="2090" spans="1:13" x14ac:dyDescent="0.3">
      <c r="A2090" t="s">
        <v>2120</v>
      </c>
      <c r="B2090" s="1">
        <v>45358</v>
      </c>
      <c r="C2090" t="s">
        <v>34</v>
      </c>
      <c r="D2090" t="s">
        <v>32</v>
      </c>
      <c r="E2090">
        <v>26</v>
      </c>
      <c r="F2090" t="s">
        <v>28</v>
      </c>
      <c r="G2090">
        <v>301.67</v>
      </c>
      <c r="H2090">
        <v>59</v>
      </c>
      <c r="I2090" t="s">
        <v>16</v>
      </c>
      <c r="J2090">
        <v>2.6</v>
      </c>
      <c r="K2090" t="s">
        <v>17</v>
      </c>
      <c r="L2090" t="s">
        <v>18</v>
      </c>
      <c r="M2090" t="str">
        <f>VLOOKUP(D2094,Restaurant_Master!A:B,2,FALSE)</f>
        <v>https://dynamic-media-cdn.tripadvisor.com/media/photo-o/1c/e7/04/0d/front-of-the-local-easily.jpg</v>
      </c>
    </row>
    <row r="2091" spans="1:13" x14ac:dyDescent="0.3">
      <c r="A2091" t="s">
        <v>2121</v>
      </c>
      <c r="B2091" s="1">
        <v>45443</v>
      </c>
      <c r="C2091" t="s">
        <v>34</v>
      </c>
      <c r="D2091" t="s">
        <v>14</v>
      </c>
      <c r="E2091">
        <v>36</v>
      </c>
      <c r="F2091" t="s">
        <v>28</v>
      </c>
      <c r="G2091">
        <v>661.19</v>
      </c>
      <c r="H2091">
        <v>39</v>
      </c>
      <c r="I2091" t="s">
        <v>22</v>
      </c>
      <c r="J2091">
        <v>3.8</v>
      </c>
      <c r="K2091" t="s">
        <v>41</v>
      </c>
      <c r="L2091" t="s">
        <v>23</v>
      </c>
      <c r="M2091" t="str">
        <f>VLOOKUP(D2095,Restaurant_Master!A:B,2,FALSE)</f>
        <v>https://content.jdmagicbox.com/comp/deoria/g6/9999p5568.5568.200119143033.m4g6/catalogue/biryani-house-deoria-ho-deoria-mktc2xph0o.jpg</v>
      </c>
    </row>
    <row r="2092" spans="1:13" x14ac:dyDescent="0.3">
      <c r="A2092" t="s">
        <v>2122</v>
      </c>
      <c r="B2092" s="1">
        <v>45610</v>
      </c>
      <c r="C2092" t="s">
        <v>43</v>
      </c>
      <c r="D2092" t="s">
        <v>25</v>
      </c>
      <c r="E2092">
        <v>20</v>
      </c>
      <c r="F2092" t="s">
        <v>28</v>
      </c>
      <c r="G2092">
        <v>242.83</v>
      </c>
      <c r="H2092">
        <v>60</v>
      </c>
      <c r="I2092" t="s">
        <v>16</v>
      </c>
      <c r="J2092">
        <v>4.0999999999999996</v>
      </c>
      <c r="K2092" t="s">
        <v>26</v>
      </c>
      <c r="L2092" t="s">
        <v>18</v>
      </c>
      <c r="M2092" t="str">
        <f>VLOOKUP(D2096,Restaurant_Master!A:B,2,FALSE)</f>
        <v>https://dineout-media-assets.swiggy.com/swiggy/image/upload/fl_lossy,f_auto,q_auto/v1660793737/fdqxvxcxg1wtdwvyv45v.jpg</v>
      </c>
    </row>
    <row r="2093" spans="1:13" x14ac:dyDescent="0.3">
      <c r="A2093" t="s">
        <v>2123</v>
      </c>
      <c r="B2093" s="1">
        <v>45564</v>
      </c>
      <c r="C2093" t="s">
        <v>13</v>
      </c>
      <c r="D2093" t="s">
        <v>21</v>
      </c>
      <c r="E2093">
        <v>44</v>
      </c>
      <c r="F2093" t="s">
        <v>28</v>
      </c>
      <c r="G2093">
        <v>219.92</v>
      </c>
      <c r="H2093">
        <v>28</v>
      </c>
      <c r="I2093" t="s">
        <v>22</v>
      </c>
      <c r="J2093">
        <v>5</v>
      </c>
      <c r="K2093" t="s">
        <v>41</v>
      </c>
      <c r="L2093" t="s">
        <v>23</v>
      </c>
      <c r="M2093" t="str">
        <f>VLOOKUP(D2097,Restaurant_Master!A:B,2,FALSE)</f>
        <v>https://media-cdn.tripadvisor.com/media/photo-s/1c/c7/97/b6/photo6jpg.jpg</v>
      </c>
    </row>
    <row r="2094" spans="1:13" x14ac:dyDescent="0.3">
      <c r="A2094" t="s">
        <v>2124</v>
      </c>
      <c r="B2094" s="1">
        <v>45313</v>
      </c>
      <c r="C2094" t="s">
        <v>43</v>
      </c>
      <c r="D2094" t="s">
        <v>21</v>
      </c>
      <c r="E2094">
        <v>50</v>
      </c>
      <c r="F2094" t="s">
        <v>15</v>
      </c>
      <c r="G2094">
        <v>497.43</v>
      </c>
      <c r="H2094">
        <v>20</v>
      </c>
      <c r="I2094" t="s">
        <v>22</v>
      </c>
      <c r="J2094">
        <v>5</v>
      </c>
      <c r="K2094" t="s">
        <v>17</v>
      </c>
      <c r="L2094" t="s">
        <v>23</v>
      </c>
      <c r="M2094" t="str">
        <f>VLOOKUP(D2098,Restaurant_Master!A:B,2,FALSE)</f>
        <v>https://content.jdmagicbox.com/comp/deoria/g6/9999p5568.5568.200119143033.m4g6/catalogue/biryani-house-deoria-ho-deoria-mktc2xph0o.jpg</v>
      </c>
    </row>
    <row r="2095" spans="1:13" x14ac:dyDescent="0.3">
      <c r="A2095" t="s">
        <v>2125</v>
      </c>
      <c r="B2095" s="1">
        <v>45558</v>
      </c>
      <c r="C2095" t="s">
        <v>43</v>
      </c>
      <c r="D2095" t="s">
        <v>32</v>
      </c>
      <c r="E2095">
        <v>55</v>
      </c>
      <c r="F2095" t="s">
        <v>28</v>
      </c>
      <c r="G2095">
        <v>401.26</v>
      </c>
      <c r="H2095">
        <v>25</v>
      </c>
      <c r="I2095" t="s">
        <v>22</v>
      </c>
      <c r="J2095">
        <v>5</v>
      </c>
      <c r="K2095" t="s">
        <v>17</v>
      </c>
      <c r="L2095" t="s">
        <v>18</v>
      </c>
      <c r="M2095" t="str">
        <f>VLOOKUP(D2099,Restaurant_Master!A:B,2,FALSE)</f>
        <v>https://dineout-media-assets.swiggy.com/swiggy/image/upload/fl_lossy,f_auto,q_auto/v1660793737/fdqxvxcxg1wtdwvyv45v.jpg</v>
      </c>
    </row>
    <row r="2096" spans="1:13" x14ac:dyDescent="0.3">
      <c r="A2096" t="s">
        <v>2126</v>
      </c>
      <c r="B2096" s="1">
        <v>45483</v>
      </c>
      <c r="C2096" t="s">
        <v>20</v>
      </c>
      <c r="D2096" t="s">
        <v>14</v>
      </c>
      <c r="E2096">
        <v>58</v>
      </c>
      <c r="F2096" t="s">
        <v>28</v>
      </c>
      <c r="G2096">
        <v>790.3</v>
      </c>
      <c r="H2096">
        <v>41</v>
      </c>
      <c r="I2096" t="s">
        <v>16</v>
      </c>
      <c r="J2096">
        <v>5</v>
      </c>
      <c r="K2096" t="s">
        <v>41</v>
      </c>
      <c r="L2096" t="s">
        <v>18</v>
      </c>
      <c r="M2096" t="str">
        <f>VLOOKUP(D2100,Restaurant_Master!A:B,2,FALSE)</f>
        <v>https://dynamic-media-cdn.tripadvisor.com/media/photo-o/1c/e7/04/0d/front-of-the-local-easily.jpg</v>
      </c>
    </row>
    <row r="2097" spans="1:13" x14ac:dyDescent="0.3">
      <c r="A2097" t="s">
        <v>2127</v>
      </c>
      <c r="B2097" s="1">
        <v>45507</v>
      </c>
      <c r="C2097" t="s">
        <v>43</v>
      </c>
      <c r="D2097" t="s">
        <v>25</v>
      </c>
      <c r="E2097">
        <v>60</v>
      </c>
      <c r="F2097" t="s">
        <v>15</v>
      </c>
      <c r="G2097">
        <v>818.86</v>
      </c>
      <c r="H2097">
        <v>27</v>
      </c>
      <c r="I2097" t="s">
        <v>22</v>
      </c>
      <c r="J2097">
        <v>3.9</v>
      </c>
      <c r="K2097" t="s">
        <v>17</v>
      </c>
      <c r="L2097" t="s">
        <v>23</v>
      </c>
      <c r="M2097" t="str">
        <f>VLOOKUP(D2101,Restaurant_Master!A:B,2,FALSE)</f>
        <v>https://www.chatswoodinterchange.com/storages/2018/08/Sushi-World_666x448.jpg</v>
      </c>
    </row>
    <row r="2098" spans="1:13" x14ac:dyDescent="0.3">
      <c r="A2098" t="s">
        <v>2128</v>
      </c>
      <c r="B2098" s="1">
        <v>45367</v>
      </c>
      <c r="C2098" t="s">
        <v>36</v>
      </c>
      <c r="D2098" t="s">
        <v>32</v>
      </c>
      <c r="E2098">
        <v>25</v>
      </c>
      <c r="F2098" t="s">
        <v>28</v>
      </c>
      <c r="G2098">
        <v>630.37</v>
      </c>
      <c r="H2098">
        <v>24</v>
      </c>
      <c r="I2098" t="s">
        <v>22</v>
      </c>
      <c r="J2098">
        <v>4.8</v>
      </c>
      <c r="K2098" t="s">
        <v>17</v>
      </c>
      <c r="L2098" t="s">
        <v>18</v>
      </c>
      <c r="M2098" t="str">
        <f>VLOOKUP(D2102,Restaurant_Master!A:B,2,FALSE)</f>
        <v>https://content.jdmagicbox.com/comp/deoria/g6/9999p5568.5568.200119143033.m4g6/catalogue/biryani-house-deoria-ho-deoria-mktc2xph0o.jpg</v>
      </c>
    </row>
    <row r="2099" spans="1:13" x14ac:dyDescent="0.3">
      <c r="A2099" t="s">
        <v>2129</v>
      </c>
      <c r="B2099" s="1">
        <v>45348</v>
      </c>
      <c r="C2099" t="s">
        <v>43</v>
      </c>
      <c r="D2099" t="s">
        <v>14</v>
      </c>
      <c r="E2099">
        <v>46</v>
      </c>
      <c r="F2099" t="s">
        <v>15</v>
      </c>
      <c r="G2099">
        <v>676.15</v>
      </c>
      <c r="H2099">
        <v>20</v>
      </c>
      <c r="I2099" t="s">
        <v>22</v>
      </c>
      <c r="J2099">
        <v>4.9000000000000004</v>
      </c>
      <c r="K2099" t="s">
        <v>26</v>
      </c>
      <c r="L2099" t="s">
        <v>18</v>
      </c>
      <c r="M2099" t="str">
        <f>VLOOKUP(D2103,Restaurant_Master!A:B,2,FALSE)</f>
        <v>https://dineout-media-assets.swiggy.com/swiggy/image/upload/fl_lossy,f_auto,q_auto/v1660793737/fdqxvxcxg1wtdwvyv45v.jpg</v>
      </c>
    </row>
    <row r="2100" spans="1:13" x14ac:dyDescent="0.3">
      <c r="A2100" t="s">
        <v>2130</v>
      </c>
      <c r="B2100" s="1">
        <v>45322</v>
      </c>
      <c r="C2100" t="s">
        <v>43</v>
      </c>
      <c r="D2100" t="s">
        <v>21</v>
      </c>
      <c r="E2100">
        <v>38</v>
      </c>
      <c r="F2100" t="s">
        <v>15</v>
      </c>
      <c r="G2100">
        <v>905.43</v>
      </c>
      <c r="H2100">
        <v>37</v>
      </c>
      <c r="I2100" t="s">
        <v>22</v>
      </c>
      <c r="J2100">
        <v>2.7</v>
      </c>
      <c r="K2100" t="s">
        <v>17</v>
      </c>
      <c r="L2100" t="s">
        <v>23</v>
      </c>
      <c r="M2100" t="str">
        <f>VLOOKUP(D2104,Restaurant_Master!A:B,2,FALSE)</f>
        <v>https://www.chatswoodinterchange.com/storages/2018/08/Sushi-World_666x448.jpg</v>
      </c>
    </row>
    <row r="2101" spans="1:13" x14ac:dyDescent="0.3">
      <c r="A2101" t="s">
        <v>2131</v>
      </c>
      <c r="B2101" s="1">
        <v>45515</v>
      </c>
      <c r="C2101" t="s">
        <v>20</v>
      </c>
      <c r="D2101" t="s">
        <v>38</v>
      </c>
      <c r="E2101">
        <v>36</v>
      </c>
      <c r="F2101" t="s">
        <v>15</v>
      </c>
      <c r="G2101">
        <v>1156.94</v>
      </c>
      <c r="H2101">
        <v>26</v>
      </c>
      <c r="I2101" t="s">
        <v>22</v>
      </c>
      <c r="J2101">
        <v>4.8</v>
      </c>
      <c r="K2101" t="s">
        <v>29</v>
      </c>
      <c r="L2101" t="s">
        <v>23</v>
      </c>
      <c r="M2101" t="str">
        <f>VLOOKUP(D2105,Restaurant_Master!A:B,2,FALSE)</f>
        <v>https://content.jdmagicbox.com/comp/deoria/g6/9999p5568.5568.200119143033.m4g6/catalogue/biryani-house-deoria-ho-deoria-mktc2xph0o.jpg</v>
      </c>
    </row>
    <row r="2102" spans="1:13" x14ac:dyDescent="0.3">
      <c r="A2102" t="s">
        <v>2132</v>
      </c>
      <c r="B2102" s="1">
        <v>45308</v>
      </c>
      <c r="C2102" t="s">
        <v>36</v>
      </c>
      <c r="D2102" t="s">
        <v>32</v>
      </c>
      <c r="E2102">
        <v>28</v>
      </c>
      <c r="F2102" t="s">
        <v>15</v>
      </c>
      <c r="G2102">
        <v>394.38</v>
      </c>
      <c r="H2102">
        <v>29</v>
      </c>
      <c r="I2102" t="s">
        <v>22</v>
      </c>
      <c r="J2102">
        <v>3.1</v>
      </c>
      <c r="K2102" t="s">
        <v>29</v>
      </c>
      <c r="L2102" t="s">
        <v>18</v>
      </c>
      <c r="M2102" t="str">
        <f>VLOOKUP(D2106,Restaurant_Master!A:B,2,FALSE)</f>
        <v>https://dineout-media-assets.swiggy.com/swiggy/image/upload/fl_lossy,f_auto,q_auto/v1660793737/fdqxvxcxg1wtdwvyv45v.jpg</v>
      </c>
    </row>
    <row r="2103" spans="1:13" x14ac:dyDescent="0.3">
      <c r="A2103" t="s">
        <v>2133</v>
      </c>
      <c r="B2103" s="1">
        <v>45322</v>
      </c>
      <c r="C2103" t="s">
        <v>43</v>
      </c>
      <c r="D2103" t="s">
        <v>14</v>
      </c>
      <c r="E2103">
        <v>55</v>
      </c>
      <c r="F2103" t="s">
        <v>15</v>
      </c>
      <c r="G2103">
        <v>320.7</v>
      </c>
      <c r="H2103">
        <v>43</v>
      </c>
      <c r="I2103" t="s">
        <v>16</v>
      </c>
      <c r="J2103">
        <v>4.8</v>
      </c>
      <c r="K2103" t="s">
        <v>41</v>
      </c>
      <c r="L2103" t="s">
        <v>18</v>
      </c>
      <c r="M2103" t="str">
        <f>VLOOKUP(D2107,Restaurant_Master!A:B,2,FALSE)</f>
        <v>https://dynamic-media-cdn.tripadvisor.com/media/photo-o/1c/e7/04/0d/front-of-the-local-easily.jpg</v>
      </c>
    </row>
    <row r="2104" spans="1:13" x14ac:dyDescent="0.3">
      <c r="A2104" t="s">
        <v>2134</v>
      </c>
      <c r="B2104" s="1">
        <v>45634</v>
      </c>
      <c r="C2104" t="s">
        <v>34</v>
      </c>
      <c r="D2104" t="s">
        <v>38</v>
      </c>
      <c r="E2104">
        <v>53</v>
      </c>
      <c r="F2104" t="s">
        <v>28</v>
      </c>
      <c r="G2104">
        <v>819.44</v>
      </c>
      <c r="H2104">
        <v>35</v>
      </c>
      <c r="I2104" t="s">
        <v>22</v>
      </c>
      <c r="J2104">
        <v>4.5999999999999996</v>
      </c>
      <c r="K2104" t="s">
        <v>17</v>
      </c>
      <c r="L2104" t="s">
        <v>23</v>
      </c>
      <c r="M2104" t="str">
        <f>VLOOKUP(D2108,Restaurant_Master!A:B,2,FALSE)</f>
        <v>https://dynamic-media-cdn.tripadvisor.com/media/photo-o/1c/e7/04/0d/front-of-the-local-easily.jpg</v>
      </c>
    </row>
    <row r="2105" spans="1:13" x14ac:dyDescent="0.3">
      <c r="A2105" t="s">
        <v>2135</v>
      </c>
      <c r="B2105" s="1">
        <v>45410</v>
      </c>
      <c r="C2105" t="s">
        <v>43</v>
      </c>
      <c r="D2105" t="s">
        <v>32</v>
      </c>
      <c r="E2105">
        <v>44</v>
      </c>
      <c r="F2105" t="s">
        <v>15</v>
      </c>
      <c r="G2105">
        <v>190.04</v>
      </c>
      <c r="H2105">
        <v>40</v>
      </c>
      <c r="I2105" t="s">
        <v>22</v>
      </c>
      <c r="J2105">
        <v>4.8</v>
      </c>
      <c r="K2105" t="s">
        <v>26</v>
      </c>
      <c r="L2105" t="s">
        <v>18</v>
      </c>
      <c r="M2105" t="str">
        <f>VLOOKUP(D2109,Restaurant_Master!A:B,2,FALSE)</f>
        <v>https://content.jdmagicbox.com/comp/deoria/g6/9999p5568.5568.200119143033.m4g6/catalogue/biryani-house-deoria-ho-deoria-mktc2xph0o.jpg</v>
      </c>
    </row>
    <row r="2106" spans="1:13" x14ac:dyDescent="0.3">
      <c r="A2106" t="s">
        <v>2136</v>
      </c>
      <c r="B2106" s="1">
        <v>45565</v>
      </c>
      <c r="C2106" t="s">
        <v>34</v>
      </c>
      <c r="D2106" t="s">
        <v>14</v>
      </c>
      <c r="E2106">
        <v>50</v>
      </c>
      <c r="F2106" t="s">
        <v>28</v>
      </c>
      <c r="G2106">
        <v>180.16</v>
      </c>
      <c r="H2106">
        <v>53</v>
      </c>
      <c r="I2106" t="s">
        <v>16</v>
      </c>
      <c r="J2106">
        <v>2.5</v>
      </c>
      <c r="K2106" t="s">
        <v>17</v>
      </c>
      <c r="L2106" t="s">
        <v>23</v>
      </c>
      <c r="M2106" t="str">
        <f>VLOOKUP(D2110,Restaurant_Master!A:B,2,FALSE)</f>
        <v>https://content.jdmagicbox.com/comp/deoria/g6/9999p5568.5568.200119143033.m4g6/catalogue/biryani-house-deoria-ho-deoria-mktc2xph0o.jpg</v>
      </c>
    </row>
    <row r="2107" spans="1:13" x14ac:dyDescent="0.3">
      <c r="A2107" t="s">
        <v>2137</v>
      </c>
      <c r="B2107" s="1">
        <v>45292</v>
      </c>
      <c r="C2107" t="s">
        <v>36</v>
      </c>
      <c r="D2107" t="s">
        <v>21</v>
      </c>
      <c r="E2107">
        <v>26</v>
      </c>
      <c r="F2107" t="s">
        <v>15</v>
      </c>
      <c r="G2107">
        <v>682.93</v>
      </c>
      <c r="H2107">
        <v>43</v>
      </c>
      <c r="I2107" t="s">
        <v>16</v>
      </c>
      <c r="J2107">
        <v>4.8</v>
      </c>
      <c r="K2107" t="s">
        <v>41</v>
      </c>
      <c r="L2107" t="s">
        <v>23</v>
      </c>
      <c r="M2107" t="str">
        <f>VLOOKUP(D2111,Restaurant_Master!A:B,2,FALSE)</f>
        <v>https://content.jdmagicbox.com/comp/deoria/g6/9999p5568.5568.200119143033.m4g6/catalogue/biryani-house-deoria-ho-deoria-mktc2xph0o.jpg</v>
      </c>
    </row>
    <row r="2108" spans="1:13" x14ac:dyDescent="0.3">
      <c r="A2108" t="s">
        <v>2138</v>
      </c>
      <c r="B2108" s="1">
        <v>45338</v>
      </c>
      <c r="C2108" t="s">
        <v>36</v>
      </c>
      <c r="D2108" t="s">
        <v>21</v>
      </c>
      <c r="E2108">
        <v>43</v>
      </c>
      <c r="F2108" t="s">
        <v>28</v>
      </c>
      <c r="G2108">
        <v>1156.06</v>
      </c>
      <c r="H2108">
        <v>50</v>
      </c>
      <c r="I2108" t="s">
        <v>16</v>
      </c>
      <c r="J2108">
        <v>4</v>
      </c>
      <c r="K2108" t="s">
        <v>26</v>
      </c>
      <c r="L2108" t="s">
        <v>23</v>
      </c>
      <c r="M2108" t="str">
        <f>VLOOKUP(D2112,Restaurant_Master!A:B,2,FALSE)</f>
        <v>https://dynamic-media-cdn.tripadvisor.com/media/photo-o/1c/e7/04/0d/front-of-the-local-easily.jpg</v>
      </c>
    </row>
    <row r="2109" spans="1:13" x14ac:dyDescent="0.3">
      <c r="A2109" t="s">
        <v>2139</v>
      </c>
      <c r="B2109" s="1">
        <v>45372</v>
      </c>
      <c r="C2109" t="s">
        <v>20</v>
      </c>
      <c r="D2109" t="s">
        <v>32</v>
      </c>
      <c r="E2109">
        <v>33</v>
      </c>
      <c r="F2109" t="s">
        <v>15</v>
      </c>
      <c r="G2109">
        <v>693.59</v>
      </c>
      <c r="H2109">
        <v>36</v>
      </c>
      <c r="I2109" t="s">
        <v>22</v>
      </c>
      <c r="J2109">
        <v>4.9000000000000004</v>
      </c>
      <c r="K2109" t="s">
        <v>17</v>
      </c>
      <c r="L2109" t="s">
        <v>23</v>
      </c>
      <c r="M2109" t="str">
        <f>VLOOKUP(D2113,Restaurant_Master!A:B,2,FALSE)</f>
        <v>https://dynamic-media-cdn.tripadvisor.com/media/photo-o/1c/e7/04/0d/front-of-the-local-easily.jpg</v>
      </c>
    </row>
    <row r="2110" spans="1:13" x14ac:dyDescent="0.3">
      <c r="A2110" t="s">
        <v>2140</v>
      </c>
      <c r="B2110" s="1">
        <v>45532</v>
      </c>
      <c r="C2110" t="s">
        <v>43</v>
      </c>
      <c r="D2110" t="s">
        <v>32</v>
      </c>
      <c r="E2110">
        <v>27</v>
      </c>
      <c r="F2110" t="s">
        <v>15</v>
      </c>
      <c r="G2110">
        <v>248.17</v>
      </c>
      <c r="H2110">
        <v>45</v>
      </c>
      <c r="I2110" t="s">
        <v>16</v>
      </c>
      <c r="J2110">
        <v>4.4000000000000004</v>
      </c>
      <c r="K2110" t="s">
        <v>26</v>
      </c>
      <c r="L2110" t="s">
        <v>18</v>
      </c>
      <c r="M2110" t="str">
        <f>VLOOKUP(D2114,Restaurant_Master!A:B,2,FALSE)</f>
        <v>https://content.jdmagicbox.com/comp/deoria/g6/9999p5568.5568.200119143033.m4g6/catalogue/biryani-house-deoria-ho-deoria-mktc2xph0o.jpg</v>
      </c>
    </row>
    <row r="2111" spans="1:13" x14ac:dyDescent="0.3">
      <c r="A2111" t="s">
        <v>2141</v>
      </c>
      <c r="B2111" s="1">
        <v>45530</v>
      </c>
      <c r="C2111" t="s">
        <v>13</v>
      </c>
      <c r="D2111" t="s">
        <v>32</v>
      </c>
      <c r="E2111">
        <v>28</v>
      </c>
      <c r="F2111" t="s">
        <v>28</v>
      </c>
      <c r="G2111">
        <v>521.23</v>
      </c>
      <c r="H2111">
        <v>36</v>
      </c>
      <c r="I2111" t="s">
        <v>22</v>
      </c>
      <c r="J2111">
        <v>3.8</v>
      </c>
      <c r="K2111" t="s">
        <v>29</v>
      </c>
      <c r="L2111" t="s">
        <v>18</v>
      </c>
      <c r="M2111" t="str">
        <f>VLOOKUP(D2115,Restaurant_Master!A:B,2,FALSE)</f>
        <v>https://dineout-media-assets.swiggy.com/swiggy/image/upload/fl_lossy,f_auto,q_auto/v1660793737/fdqxvxcxg1wtdwvyv45v.jpg</v>
      </c>
    </row>
    <row r="2112" spans="1:13" x14ac:dyDescent="0.3">
      <c r="A2112" t="s">
        <v>2142</v>
      </c>
      <c r="B2112" s="1">
        <v>45372</v>
      </c>
      <c r="C2112" t="s">
        <v>34</v>
      </c>
      <c r="D2112" t="s">
        <v>21</v>
      </c>
      <c r="E2112">
        <v>27</v>
      </c>
      <c r="F2112" t="s">
        <v>15</v>
      </c>
      <c r="G2112">
        <v>268.88</v>
      </c>
      <c r="H2112">
        <v>26</v>
      </c>
      <c r="I2112" t="s">
        <v>22</v>
      </c>
      <c r="J2112">
        <v>4.8</v>
      </c>
      <c r="K2112" t="s">
        <v>29</v>
      </c>
      <c r="L2112" t="s">
        <v>23</v>
      </c>
      <c r="M2112" t="str">
        <f>VLOOKUP(D2116,Restaurant_Master!A:B,2,FALSE)</f>
        <v>https://content.jdmagicbox.com/comp/deoria/g6/9999p5568.5568.200119143033.m4g6/catalogue/biryani-house-deoria-ho-deoria-mktc2xph0o.jpg</v>
      </c>
    </row>
    <row r="2113" spans="1:13" x14ac:dyDescent="0.3">
      <c r="A2113" t="s">
        <v>2143</v>
      </c>
      <c r="B2113" s="1">
        <v>45438</v>
      </c>
      <c r="C2113" t="s">
        <v>36</v>
      </c>
      <c r="D2113" t="s">
        <v>21</v>
      </c>
      <c r="E2113">
        <v>55</v>
      </c>
      <c r="F2113" t="s">
        <v>15</v>
      </c>
      <c r="G2113">
        <v>697.97</v>
      </c>
      <c r="H2113">
        <v>48</v>
      </c>
      <c r="I2113" t="s">
        <v>16</v>
      </c>
      <c r="J2113">
        <v>2.8</v>
      </c>
      <c r="K2113" t="s">
        <v>29</v>
      </c>
      <c r="L2113" t="s">
        <v>18</v>
      </c>
      <c r="M2113" t="str">
        <f>VLOOKUP(D2117,Restaurant_Master!A:B,2,FALSE)</f>
        <v>https://dineout-media-assets.swiggy.com/swiggy/image/upload/fl_lossy,f_auto,q_auto/v1660793737/fdqxvxcxg1wtdwvyv45v.jpg</v>
      </c>
    </row>
    <row r="2114" spans="1:13" x14ac:dyDescent="0.3">
      <c r="A2114" t="s">
        <v>2144</v>
      </c>
      <c r="B2114" s="1">
        <v>45447</v>
      </c>
      <c r="C2114" t="s">
        <v>36</v>
      </c>
      <c r="D2114" t="s">
        <v>32</v>
      </c>
      <c r="E2114">
        <v>45</v>
      </c>
      <c r="F2114" t="s">
        <v>15</v>
      </c>
      <c r="G2114">
        <v>616.12</v>
      </c>
      <c r="H2114">
        <v>48</v>
      </c>
      <c r="I2114" t="s">
        <v>16</v>
      </c>
      <c r="J2114">
        <v>3.6</v>
      </c>
      <c r="K2114" t="s">
        <v>17</v>
      </c>
      <c r="L2114" t="s">
        <v>23</v>
      </c>
      <c r="M2114" t="str">
        <f>VLOOKUP(D2118,Restaurant_Master!A:B,2,FALSE)</f>
        <v>https://www.chatswoodinterchange.com/storages/2018/08/Sushi-World_666x448.jpg</v>
      </c>
    </row>
    <row r="2115" spans="1:13" x14ac:dyDescent="0.3">
      <c r="A2115" t="s">
        <v>2145</v>
      </c>
      <c r="B2115" s="1">
        <v>45397</v>
      </c>
      <c r="C2115" t="s">
        <v>20</v>
      </c>
      <c r="D2115" t="s">
        <v>14</v>
      </c>
      <c r="E2115">
        <v>44</v>
      </c>
      <c r="F2115" t="s">
        <v>15</v>
      </c>
      <c r="G2115">
        <v>287.89</v>
      </c>
      <c r="H2115">
        <v>35</v>
      </c>
      <c r="I2115" t="s">
        <v>22</v>
      </c>
      <c r="J2115">
        <v>4.9000000000000004</v>
      </c>
      <c r="K2115" t="s">
        <v>29</v>
      </c>
      <c r="L2115" t="s">
        <v>18</v>
      </c>
      <c r="M2115" t="str">
        <f>VLOOKUP(D2119,Restaurant_Master!A:B,2,FALSE)</f>
        <v>https://media-cdn.tripadvisor.com/media/photo-s/1c/c7/97/b6/photo6jpg.jpg</v>
      </c>
    </row>
    <row r="2116" spans="1:13" x14ac:dyDescent="0.3">
      <c r="A2116" t="s">
        <v>2146</v>
      </c>
      <c r="B2116" s="1">
        <v>45451</v>
      </c>
      <c r="C2116" t="s">
        <v>34</v>
      </c>
      <c r="D2116" t="s">
        <v>32</v>
      </c>
      <c r="E2116">
        <v>20</v>
      </c>
      <c r="F2116" t="s">
        <v>15</v>
      </c>
      <c r="G2116">
        <v>1036.75</v>
      </c>
      <c r="H2116">
        <v>30</v>
      </c>
      <c r="I2116" t="s">
        <v>22</v>
      </c>
      <c r="J2116">
        <v>3.7</v>
      </c>
      <c r="K2116" t="s">
        <v>26</v>
      </c>
      <c r="L2116" t="s">
        <v>18</v>
      </c>
      <c r="M2116" t="str">
        <f>VLOOKUP(D2120,Restaurant_Master!A:B,2,FALSE)</f>
        <v>https://www.chatswoodinterchange.com/storages/2018/08/Sushi-World_666x448.jpg</v>
      </c>
    </row>
    <row r="2117" spans="1:13" x14ac:dyDescent="0.3">
      <c r="A2117" t="s">
        <v>2147</v>
      </c>
      <c r="B2117" s="1">
        <v>45345</v>
      </c>
      <c r="C2117" t="s">
        <v>34</v>
      </c>
      <c r="D2117" t="s">
        <v>14</v>
      </c>
      <c r="E2117">
        <v>57</v>
      </c>
      <c r="F2117" t="s">
        <v>28</v>
      </c>
      <c r="G2117">
        <v>192.75</v>
      </c>
      <c r="H2117">
        <v>20</v>
      </c>
      <c r="I2117" t="s">
        <v>22</v>
      </c>
      <c r="J2117">
        <v>2.8</v>
      </c>
      <c r="K2117" t="s">
        <v>29</v>
      </c>
      <c r="L2117" t="s">
        <v>18</v>
      </c>
      <c r="M2117" t="str">
        <f>VLOOKUP(D2121,Restaurant_Master!A:B,2,FALSE)</f>
        <v>https://dineout-media-assets.swiggy.com/swiggy/image/upload/fl_lossy,f_auto,q_auto/v1660793737/fdqxvxcxg1wtdwvyv45v.jpg</v>
      </c>
    </row>
    <row r="2118" spans="1:13" x14ac:dyDescent="0.3">
      <c r="A2118" t="s">
        <v>2148</v>
      </c>
      <c r="B2118" s="1">
        <v>45458</v>
      </c>
      <c r="C2118" t="s">
        <v>34</v>
      </c>
      <c r="D2118" t="s">
        <v>38</v>
      </c>
      <c r="E2118">
        <v>33</v>
      </c>
      <c r="F2118" t="s">
        <v>15</v>
      </c>
      <c r="G2118">
        <v>833.92</v>
      </c>
      <c r="H2118">
        <v>30</v>
      </c>
      <c r="I2118" t="s">
        <v>22</v>
      </c>
      <c r="J2118">
        <v>4.4000000000000004</v>
      </c>
      <c r="K2118" t="s">
        <v>29</v>
      </c>
      <c r="L2118" t="s">
        <v>23</v>
      </c>
      <c r="M2118" t="str">
        <f>VLOOKUP(D2122,Restaurant_Master!A:B,2,FALSE)</f>
        <v>https://dineout-media-assets.swiggy.com/swiggy/image/upload/fl_lossy,f_auto,q_auto/v1660793737/fdqxvxcxg1wtdwvyv45v.jpg</v>
      </c>
    </row>
    <row r="2119" spans="1:13" x14ac:dyDescent="0.3">
      <c r="A2119" t="s">
        <v>2149</v>
      </c>
      <c r="B2119" s="1">
        <v>45342</v>
      </c>
      <c r="C2119" t="s">
        <v>13</v>
      </c>
      <c r="D2119" t="s">
        <v>25</v>
      </c>
      <c r="E2119">
        <v>40</v>
      </c>
      <c r="F2119" t="s">
        <v>28</v>
      </c>
      <c r="G2119">
        <v>821.92</v>
      </c>
      <c r="H2119">
        <v>58</v>
      </c>
      <c r="I2119" t="s">
        <v>16</v>
      </c>
      <c r="J2119">
        <v>3.1</v>
      </c>
      <c r="K2119" t="s">
        <v>29</v>
      </c>
      <c r="L2119" t="s">
        <v>18</v>
      </c>
      <c r="M2119" t="str">
        <f>VLOOKUP(D2123,Restaurant_Master!A:B,2,FALSE)</f>
        <v>https://dineout-media-assets.swiggy.com/swiggy/image/upload/fl_lossy,f_auto,q_auto/v1660793737/fdqxvxcxg1wtdwvyv45v.jpg</v>
      </c>
    </row>
    <row r="2120" spans="1:13" x14ac:dyDescent="0.3">
      <c r="A2120" t="s">
        <v>2150</v>
      </c>
      <c r="B2120" s="1">
        <v>45614</v>
      </c>
      <c r="C2120" t="s">
        <v>13</v>
      </c>
      <c r="D2120" t="s">
        <v>38</v>
      </c>
      <c r="E2120">
        <v>19</v>
      </c>
      <c r="F2120" t="s">
        <v>15</v>
      </c>
      <c r="G2120">
        <v>601.32000000000005</v>
      </c>
      <c r="H2120">
        <v>41</v>
      </c>
      <c r="I2120" t="s">
        <v>16</v>
      </c>
      <c r="J2120">
        <v>3.1</v>
      </c>
      <c r="K2120" t="s">
        <v>17</v>
      </c>
      <c r="L2120" t="s">
        <v>23</v>
      </c>
      <c r="M2120" t="str">
        <f>VLOOKUP(D2124,Restaurant_Master!A:B,2,FALSE)</f>
        <v>https://content.jdmagicbox.com/comp/deoria/g6/9999p5568.5568.200119143033.m4g6/catalogue/biryani-house-deoria-ho-deoria-mktc2xph0o.jpg</v>
      </c>
    </row>
    <row r="2121" spans="1:13" x14ac:dyDescent="0.3">
      <c r="A2121" t="s">
        <v>2151</v>
      </c>
      <c r="B2121" s="1">
        <v>45372</v>
      </c>
      <c r="C2121" t="s">
        <v>13</v>
      </c>
      <c r="D2121" t="s">
        <v>14</v>
      </c>
      <c r="E2121">
        <v>58</v>
      </c>
      <c r="F2121" t="s">
        <v>15</v>
      </c>
      <c r="G2121">
        <v>1162.54</v>
      </c>
      <c r="H2121">
        <v>48</v>
      </c>
      <c r="I2121" t="s">
        <v>16</v>
      </c>
      <c r="J2121">
        <v>4.4000000000000004</v>
      </c>
      <c r="K2121" t="s">
        <v>29</v>
      </c>
      <c r="L2121" t="s">
        <v>18</v>
      </c>
      <c r="M2121" t="str">
        <f>VLOOKUP(D2125,Restaurant_Master!A:B,2,FALSE)</f>
        <v>https://dineout-media-assets.swiggy.com/swiggy/image/upload/fl_lossy,f_auto,q_auto/v1660793737/fdqxvxcxg1wtdwvyv45v.jpg</v>
      </c>
    </row>
    <row r="2122" spans="1:13" x14ac:dyDescent="0.3">
      <c r="A2122" t="s">
        <v>2152</v>
      </c>
      <c r="B2122" s="1">
        <v>45303</v>
      </c>
      <c r="C2122" t="s">
        <v>13</v>
      </c>
      <c r="D2122" t="s">
        <v>14</v>
      </c>
      <c r="E2122">
        <v>28</v>
      </c>
      <c r="F2122" t="s">
        <v>15</v>
      </c>
      <c r="G2122">
        <v>924.17</v>
      </c>
      <c r="H2122">
        <v>38</v>
      </c>
      <c r="I2122" t="s">
        <v>22</v>
      </c>
      <c r="J2122">
        <v>4.0999999999999996</v>
      </c>
      <c r="K2122" t="s">
        <v>41</v>
      </c>
      <c r="L2122" t="s">
        <v>18</v>
      </c>
      <c r="M2122" t="str">
        <f>VLOOKUP(D2126,Restaurant_Master!A:B,2,FALSE)</f>
        <v>https://dineout-media-assets.swiggy.com/swiggy/image/upload/fl_lossy,f_auto,q_auto/v1660793737/fdqxvxcxg1wtdwvyv45v.jpg</v>
      </c>
    </row>
    <row r="2123" spans="1:13" x14ac:dyDescent="0.3">
      <c r="A2123" t="s">
        <v>2153</v>
      </c>
      <c r="B2123" s="1">
        <v>45436</v>
      </c>
      <c r="C2123" t="s">
        <v>13</v>
      </c>
      <c r="D2123" t="s">
        <v>14</v>
      </c>
      <c r="E2123">
        <v>28</v>
      </c>
      <c r="F2123" t="s">
        <v>15</v>
      </c>
      <c r="G2123">
        <v>212.02</v>
      </c>
      <c r="H2123">
        <v>37</v>
      </c>
      <c r="I2123" t="s">
        <v>22</v>
      </c>
      <c r="J2123">
        <v>3</v>
      </c>
      <c r="K2123" t="s">
        <v>41</v>
      </c>
      <c r="L2123" t="s">
        <v>23</v>
      </c>
      <c r="M2123" t="str">
        <f>VLOOKUP(D2127,Restaurant_Master!A:B,2,FALSE)</f>
        <v>https://dynamic-media-cdn.tripadvisor.com/media/photo-o/1c/e7/04/0d/front-of-the-local-easily.jpg</v>
      </c>
    </row>
    <row r="2124" spans="1:13" x14ac:dyDescent="0.3">
      <c r="A2124" t="s">
        <v>2154</v>
      </c>
      <c r="B2124" s="1">
        <v>45579</v>
      </c>
      <c r="C2124" t="s">
        <v>36</v>
      </c>
      <c r="D2124" t="s">
        <v>32</v>
      </c>
      <c r="E2124">
        <v>36</v>
      </c>
      <c r="F2124" t="s">
        <v>28</v>
      </c>
      <c r="G2124">
        <v>565.55999999999995</v>
      </c>
      <c r="H2124">
        <v>42</v>
      </c>
      <c r="I2124" t="s">
        <v>16</v>
      </c>
      <c r="J2124">
        <v>5</v>
      </c>
      <c r="K2124" t="s">
        <v>26</v>
      </c>
      <c r="L2124" t="s">
        <v>18</v>
      </c>
      <c r="M2124" t="str">
        <f>VLOOKUP(D2128,Restaurant_Master!A:B,2,FALSE)</f>
        <v>https://www.chatswoodinterchange.com/storages/2018/08/Sushi-World_666x448.jpg</v>
      </c>
    </row>
    <row r="2125" spans="1:13" x14ac:dyDescent="0.3">
      <c r="A2125" t="s">
        <v>2155</v>
      </c>
      <c r="B2125" s="1">
        <v>45641</v>
      </c>
      <c r="C2125" t="s">
        <v>43</v>
      </c>
      <c r="D2125" t="s">
        <v>14</v>
      </c>
      <c r="E2125">
        <v>55</v>
      </c>
      <c r="F2125" t="s">
        <v>28</v>
      </c>
      <c r="G2125">
        <v>869.59</v>
      </c>
      <c r="H2125">
        <v>53</v>
      </c>
      <c r="I2125" t="s">
        <v>16</v>
      </c>
      <c r="J2125">
        <v>3.5</v>
      </c>
      <c r="K2125" t="s">
        <v>17</v>
      </c>
      <c r="L2125" t="s">
        <v>18</v>
      </c>
      <c r="M2125" t="str">
        <f>VLOOKUP(D2129,Restaurant_Master!A:B,2,FALSE)</f>
        <v>https://content.jdmagicbox.com/comp/deoria/g6/9999p5568.5568.200119143033.m4g6/catalogue/biryani-house-deoria-ho-deoria-mktc2xph0o.jpg</v>
      </c>
    </row>
    <row r="2126" spans="1:13" x14ac:dyDescent="0.3">
      <c r="A2126" t="s">
        <v>2156</v>
      </c>
      <c r="B2126" s="1">
        <v>45466</v>
      </c>
      <c r="C2126" t="s">
        <v>36</v>
      </c>
      <c r="D2126" t="s">
        <v>14</v>
      </c>
      <c r="E2126">
        <v>35</v>
      </c>
      <c r="F2126" t="s">
        <v>28</v>
      </c>
      <c r="G2126">
        <v>861.86</v>
      </c>
      <c r="H2126">
        <v>48</v>
      </c>
      <c r="I2126" t="s">
        <v>16</v>
      </c>
      <c r="J2126">
        <v>2.7</v>
      </c>
      <c r="K2126" t="s">
        <v>26</v>
      </c>
      <c r="L2126" t="s">
        <v>23</v>
      </c>
      <c r="M2126" t="str">
        <f>VLOOKUP(D2130,Restaurant_Master!A:B,2,FALSE)</f>
        <v>https://content.jdmagicbox.com/comp/deoria/g6/9999p5568.5568.200119143033.m4g6/catalogue/biryani-house-deoria-ho-deoria-mktc2xph0o.jpg</v>
      </c>
    </row>
    <row r="2127" spans="1:13" x14ac:dyDescent="0.3">
      <c r="A2127" t="s">
        <v>2157</v>
      </c>
      <c r="B2127" s="1">
        <v>45647</v>
      </c>
      <c r="C2127" t="s">
        <v>36</v>
      </c>
      <c r="D2127" t="s">
        <v>21</v>
      </c>
      <c r="E2127">
        <v>60</v>
      </c>
      <c r="F2127" t="s">
        <v>15</v>
      </c>
      <c r="G2127">
        <v>475.13</v>
      </c>
      <c r="H2127">
        <v>25</v>
      </c>
      <c r="I2127" t="s">
        <v>22</v>
      </c>
      <c r="J2127">
        <v>3.4</v>
      </c>
      <c r="K2127" t="s">
        <v>26</v>
      </c>
      <c r="L2127" t="s">
        <v>23</v>
      </c>
      <c r="M2127" t="str">
        <f>VLOOKUP(D2131,Restaurant_Master!A:B,2,FALSE)</f>
        <v>https://dynamic-media-cdn.tripadvisor.com/media/photo-o/1c/e7/04/0d/front-of-the-local-easily.jpg</v>
      </c>
    </row>
    <row r="2128" spans="1:13" x14ac:dyDescent="0.3">
      <c r="A2128" t="s">
        <v>2158</v>
      </c>
      <c r="B2128" s="1">
        <v>45352</v>
      </c>
      <c r="C2128" t="s">
        <v>43</v>
      </c>
      <c r="D2128" t="s">
        <v>38</v>
      </c>
      <c r="E2128">
        <v>41</v>
      </c>
      <c r="F2128" t="s">
        <v>15</v>
      </c>
      <c r="G2128">
        <v>967.39</v>
      </c>
      <c r="H2128">
        <v>35</v>
      </c>
      <c r="I2128" t="s">
        <v>22</v>
      </c>
      <c r="J2128">
        <v>4.7</v>
      </c>
      <c r="K2128" t="s">
        <v>41</v>
      </c>
      <c r="L2128" t="s">
        <v>23</v>
      </c>
      <c r="M2128" t="str">
        <f>VLOOKUP(D2132,Restaurant_Master!A:B,2,FALSE)</f>
        <v>https://dineout-media-assets.swiggy.com/swiggy/image/upload/fl_lossy,f_auto,q_auto/v1660793737/fdqxvxcxg1wtdwvyv45v.jpg</v>
      </c>
    </row>
    <row r="2129" spans="1:13" x14ac:dyDescent="0.3">
      <c r="A2129" t="s">
        <v>2159</v>
      </c>
      <c r="B2129" s="1">
        <v>45498</v>
      </c>
      <c r="C2129" t="s">
        <v>13</v>
      </c>
      <c r="D2129" t="s">
        <v>32</v>
      </c>
      <c r="E2129">
        <v>55</v>
      </c>
      <c r="F2129" t="s">
        <v>28</v>
      </c>
      <c r="G2129">
        <v>157.71</v>
      </c>
      <c r="H2129">
        <v>54</v>
      </c>
      <c r="I2129" t="s">
        <v>16</v>
      </c>
      <c r="J2129">
        <v>2.9</v>
      </c>
      <c r="K2129" t="s">
        <v>41</v>
      </c>
      <c r="L2129" t="s">
        <v>23</v>
      </c>
      <c r="M2129" t="str">
        <f>VLOOKUP(D2133,Restaurant_Master!A:B,2,FALSE)</f>
        <v>https://content.jdmagicbox.com/comp/deoria/g6/9999p5568.5568.200119143033.m4g6/catalogue/biryani-house-deoria-ho-deoria-mktc2xph0o.jpg</v>
      </c>
    </row>
    <row r="2130" spans="1:13" x14ac:dyDescent="0.3">
      <c r="A2130" t="s">
        <v>2160</v>
      </c>
      <c r="B2130" s="1">
        <v>45354</v>
      </c>
      <c r="C2130" t="s">
        <v>36</v>
      </c>
      <c r="D2130" t="s">
        <v>32</v>
      </c>
      <c r="E2130">
        <v>59</v>
      </c>
      <c r="F2130" t="s">
        <v>28</v>
      </c>
      <c r="G2130">
        <v>828.79</v>
      </c>
      <c r="H2130">
        <v>26</v>
      </c>
      <c r="I2130" t="s">
        <v>22</v>
      </c>
      <c r="J2130">
        <v>4.8</v>
      </c>
      <c r="K2130" t="s">
        <v>17</v>
      </c>
      <c r="L2130" t="s">
        <v>23</v>
      </c>
      <c r="M2130" t="str">
        <f>VLOOKUP(D2134,Restaurant_Master!A:B,2,FALSE)</f>
        <v>https://dynamic-media-cdn.tripadvisor.com/media/photo-o/1c/e7/04/0d/front-of-the-local-easily.jpg</v>
      </c>
    </row>
    <row r="2131" spans="1:13" x14ac:dyDescent="0.3">
      <c r="A2131" t="s">
        <v>2161</v>
      </c>
      <c r="B2131" s="1">
        <v>45330</v>
      </c>
      <c r="C2131" t="s">
        <v>13</v>
      </c>
      <c r="D2131" t="s">
        <v>21</v>
      </c>
      <c r="E2131">
        <v>29</v>
      </c>
      <c r="F2131" t="s">
        <v>15</v>
      </c>
      <c r="G2131">
        <v>486.69</v>
      </c>
      <c r="H2131">
        <v>30</v>
      </c>
      <c r="I2131" t="s">
        <v>22</v>
      </c>
      <c r="J2131">
        <v>2.7</v>
      </c>
      <c r="K2131" t="s">
        <v>17</v>
      </c>
      <c r="L2131" t="s">
        <v>18</v>
      </c>
      <c r="M2131" t="str">
        <f>VLOOKUP(D2135,Restaurant_Master!A:B,2,FALSE)</f>
        <v>https://content.jdmagicbox.com/comp/deoria/g6/9999p5568.5568.200119143033.m4g6/catalogue/biryani-house-deoria-ho-deoria-mktc2xph0o.jpg</v>
      </c>
    </row>
    <row r="2132" spans="1:13" x14ac:dyDescent="0.3">
      <c r="A2132" t="s">
        <v>2162</v>
      </c>
      <c r="B2132" s="1">
        <v>45614</v>
      </c>
      <c r="C2132" t="s">
        <v>13</v>
      </c>
      <c r="D2132" t="s">
        <v>14</v>
      </c>
      <c r="E2132">
        <v>40</v>
      </c>
      <c r="F2132" t="s">
        <v>15</v>
      </c>
      <c r="G2132">
        <v>158.30000000000001</v>
      </c>
      <c r="H2132">
        <v>25</v>
      </c>
      <c r="I2132" t="s">
        <v>22</v>
      </c>
      <c r="J2132">
        <v>2.6</v>
      </c>
      <c r="K2132" t="s">
        <v>41</v>
      </c>
      <c r="L2132" t="s">
        <v>18</v>
      </c>
      <c r="M2132" t="str">
        <f>VLOOKUP(D2136,Restaurant_Master!A:B,2,FALSE)</f>
        <v>https://content.jdmagicbox.com/comp/deoria/g6/9999p5568.5568.200119143033.m4g6/catalogue/biryani-house-deoria-ho-deoria-mktc2xph0o.jpg</v>
      </c>
    </row>
    <row r="2133" spans="1:13" x14ac:dyDescent="0.3">
      <c r="A2133" t="s">
        <v>2163</v>
      </c>
      <c r="B2133" s="1">
        <v>45332</v>
      </c>
      <c r="C2133" t="s">
        <v>13</v>
      </c>
      <c r="D2133" t="s">
        <v>32</v>
      </c>
      <c r="E2133">
        <v>25</v>
      </c>
      <c r="F2133" t="s">
        <v>15</v>
      </c>
      <c r="G2133">
        <v>480.67</v>
      </c>
      <c r="H2133">
        <v>40</v>
      </c>
      <c r="I2133" t="s">
        <v>22</v>
      </c>
      <c r="J2133">
        <v>2.7</v>
      </c>
      <c r="K2133" t="s">
        <v>41</v>
      </c>
      <c r="L2133" t="s">
        <v>18</v>
      </c>
      <c r="M2133" t="str">
        <f>VLOOKUP(D2137,Restaurant_Master!A:B,2,FALSE)</f>
        <v>https://content.jdmagicbox.com/comp/deoria/g6/9999p5568.5568.200119143033.m4g6/catalogue/biryani-house-deoria-ho-deoria-mktc2xph0o.jpg</v>
      </c>
    </row>
    <row r="2134" spans="1:13" x14ac:dyDescent="0.3">
      <c r="A2134" t="s">
        <v>2164</v>
      </c>
      <c r="B2134" s="1">
        <v>45558</v>
      </c>
      <c r="C2134" t="s">
        <v>43</v>
      </c>
      <c r="D2134" t="s">
        <v>21</v>
      </c>
      <c r="E2134">
        <v>49</v>
      </c>
      <c r="F2134" t="s">
        <v>15</v>
      </c>
      <c r="G2134">
        <v>427.45</v>
      </c>
      <c r="H2134">
        <v>33</v>
      </c>
      <c r="I2134" t="s">
        <v>22</v>
      </c>
      <c r="J2134">
        <v>3.8</v>
      </c>
      <c r="K2134" t="s">
        <v>17</v>
      </c>
      <c r="L2134" t="s">
        <v>23</v>
      </c>
      <c r="M2134" t="str">
        <f>VLOOKUP(D2138,Restaurant_Master!A:B,2,FALSE)</f>
        <v>https://www.chatswoodinterchange.com/storages/2018/08/Sushi-World_666x448.jpg</v>
      </c>
    </row>
    <row r="2135" spans="1:13" x14ac:dyDescent="0.3">
      <c r="A2135" t="s">
        <v>2165</v>
      </c>
      <c r="B2135" s="1">
        <v>45507</v>
      </c>
      <c r="C2135" t="s">
        <v>20</v>
      </c>
      <c r="D2135" t="s">
        <v>32</v>
      </c>
      <c r="E2135">
        <v>28</v>
      </c>
      <c r="F2135" t="s">
        <v>15</v>
      </c>
      <c r="G2135">
        <v>163.21</v>
      </c>
      <c r="H2135">
        <v>58</v>
      </c>
      <c r="I2135" t="s">
        <v>16</v>
      </c>
      <c r="J2135">
        <v>3.1</v>
      </c>
      <c r="K2135" t="s">
        <v>26</v>
      </c>
      <c r="L2135" t="s">
        <v>23</v>
      </c>
      <c r="M2135" t="str">
        <f>VLOOKUP(D2139,Restaurant_Master!A:B,2,FALSE)</f>
        <v>https://media-cdn.tripadvisor.com/media/photo-s/1c/c7/97/b6/photo6jpg.jpg</v>
      </c>
    </row>
    <row r="2136" spans="1:13" x14ac:dyDescent="0.3">
      <c r="A2136" t="s">
        <v>2166</v>
      </c>
      <c r="B2136" s="1">
        <v>45492</v>
      </c>
      <c r="C2136" t="s">
        <v>43</v>
      </c>
      <c r="D2136" t="s">
        <v>32</v>
      </c>
      <c r="E2136">
        <v>38</v>
      </c>
      <c r="F2136" t="s">
        <v>15</v>
      </c>
      <c r="G2136">
        <v>594.96</v>
      </c>
      <c r="H2136">
        <v>31</v>
      </c>
      <c r="I2136" t="s">
        <v>22</v>
      </c>
      <c r="J2136">
        <v>3.6</v>
      </c>
      <c r="K2136" t="s">
        <v>41</v>
      </c>
      <c r="L2136" t="s">
        <v>23</v>
      </c>
      <c r="M2136" t="str">
        <f>VLOOKUP(D2140,Restaurant_Master!A:B,2,FALSE)</f>
        <v>https://media-cdn.tripadvisor.com/media/photo-s/1c/c7/97/b6/photo6jpg.jpg</v>
      </c>
    </row>
    <row r="2137" spans="1:13" x14ac:dyDescent="0.3">
      <c r="A2137" t="s">
        <v>2167</v>
      </c>
      <c r="B2137" s="1">
        <v>45433</v>
      </c>
      <c r="C2137" t="s">
        <v>34</v>
      </c>
      <c r="D2137" t="s">
        <v>32</v>
      </c>
      <c r="E2137">
        <v>55</v>
      </c>
      <c r="F2137" t="s">
        <v>15</v>
      </c>
      <c r="G2137">
        <v>582</v>
      </c>
      <c r="H2137">
        <v>44</v>
      </c>
      <c r="I2137" t="s">
        <v>16</v>
      </c>
      <c r="J2137">
        <v>4.5999999999999996</v>
      </c>
      <c r="K2137" t="s">
        <v>29</v>
      </c>
      <c r="L2137" t="s">
        <v>23</v>
      </c>
      <c r="M2137" t="str">
        <f>VLOOKUP(D2141,Restaurant_Master!A:B,2,FALSE)</f>
        <v>https://content.jdmagicbox.com/comp/deoria/g6/9999p5568.5568.200119143033.m4g6/catalogue/biryani-house-deoria-ho-deoria-mktc2xph0o.jpg</v>
      </c>
    </row>
    <row r="2138" spans="1:13" x14ac:dyDescent="0.3">
      <c r="A2138" t="s">
        <v>2168</v>
      </c>
      <c r="B2138" s="1">
        <v>45318</v>
      </c>
      <c r="C2138" t="s">
        <v>20</v>
      </c>
      <c r="D2138" t="s">
        <v>38</v>
      </c>
      <c r="E2138">
        <v>43</v>
      </c>
      <c r="F2138" t="s">
        <v>15</v>
      </c>
      <c r="G2138">
        <v>619.94000000000005</v>
      </c>
      <c r="H2138">
        <v>51</v>
      </c>
      <c r="I2138" t="s">
        <v>16</v>
      </c>
      <c r="J2138">
        <v>3.2</v>
      </c>
      <c r="K2138" t="s">
        <v>29</v>
      </c>
      <c r="L2138" t="s">
        <v>18</v>
      </c>
      <c r="M2138" t="str">
        <f>VLOOKUP(D2142,Restaurant_Master!A:B,2,FALSE)</f>
        <v>https://dynamic-media-cdn.tripadvisor.com/media/photo-o/1c/e7/04/0d/front-of-the-local-easily.jpg</v>
      </c>
    </row>
    <row r="2139" spans="1:13" x14ac:dyDescent="0.3">
      <c r="A2139" t="s">
        <v>2169</v>
      </c>
      <c r="B2139" s="1">
        <v>45359</v>
      </c>
      <c r="C2139" t="s">
        <v>34</v>
      </c>
      <c r="D2139" t="s">
        <v>25</v>
      </c>
      <c r="E2139">
        <v>41</v>
      </c>
      <c r="F2139" t="s">
        <v>15</v>
      </c>
      <c r="G2139">
        <v>373.19</v>
      </c>
      <c r="H2139">
        <v>36</v>
      </c>
      <c r="I2139" t="s">
        <v>22</v>
      </c>
      <c r="J2139">
        <v>3.4</v>
      </c>
      <c r="K2139" t="s">
        <v>26</v>
      </c>
      <c r="L2139" t="s">
        <v>23</v>
      </c>
      <c r="M2139" t="str">
        <f>VLOOKUP(D2143,Restaurant_Master!A:B,2,FALSE)</f>
        <v>https://content.jdmagicbox.com/comp/deoria/g6/9999p5568.5568.200119143033.m4g6/catalogue/biryani-house-deoria-ho-deoria-mktc2xph0o.jpg</v>
      </c>
    </row>
    <row r="2140" spans="1:13" x14ac:dyDescent="0.3">
      <c r="A2140" t="s">
        <v>2170</v>
      </c>
      <c r="B2140" s="1">
        <v>45554</v>
      </c>
      <c r="C2140" t="s">
        <v>20</v>
      </c>
      <c r="D2140" t="s">
        <v>25</v>
      </c>
      <c r="E2140">
        <v>25</v>
      </c>
      <c r="F2140" t="s">
        <v>28</v>
      </c>
      <c r="G2140">
        <v>317.14999999999998</v>
      </c>
      <c r="H2140">
        <v>46</v>
      </c>
      <c r="I2140" t="s">
        <v>16</v>
      </c>
      <c r="J2140">
        <v>4</v>
      </c>
      <c r="K2140" t="s">
        <v>29</v>
      </c>
      <c r="L2140" t="s">
        <v>23</v>
      </c>
      <c r="M2140" t="str">
        <f>VLOOKUP(D2144,Restaurant_Master!A:B,2,FALSE)</f>
        <v>https://content.jdmagicbox.com/comp/deoria/g6/9999p5568.5568.200119143033.m4g6/catalogue/biryani-house-deoria-ho-deoria-mktc2xph0o.jpg</v>
      </c>
    </row>
    <row r="2141" spans="1:13" x14ac:dyDescent="0.3">
      <c r="A2141" t="s">
        <v>2171</v>
      </c>
      <c r="B2141" s="1">
        <v>45441</v>
      </c>
      <c r="C2141" t="s">
        <v>43</v>
      </c>
      <c r="D2141" t="s">
        <v>32</v>
      </c>
      <c r="E2141">
        <v>33</v>
      </c>
      <c r="F2141" t="s">
        <v>15</v>
      </c>
      <c r="G2141">
        <v>413.36</v>
      </c>
      <c r="H2141">
        <v>59</v>
      </c>
      <c r="I2141" t="s">
        <v>16</v>
      </c>
      <c r="J2141">
        <v>3.4</v>
      </c>
      <c r="K2141" t="s">
        <v>41</v>
      </c>
      <c r="L2141" t="s">
        <v>18</v>
      </c>
      <c r="M2141" t="str">
        <f>VLOOKUP(D2145,Restaurant_Master!A:B,2,FALSE)</f>
        <v>https://dynamic-media-cdn.tripadvisor.com/media/photo-o/1c/e7/04/0d/front-of-the-local-easily.jpg</v>
      </c>
    </row>
    <row r="2142" spans="1:13" x14ac:dyDescent="0.3">
      <c r="A2142" t="s">
        <v>2172</v>
      </c>
      <c r="B2142" s="1">
        <v>45527</v>
      </c>
      <c r="C2142" t="s">
        <v>13</v>
      </c>
      <c r="D2142" t="s">
        <v>21</v>
      </c>
      <c r="E2142">
        <v>18</v>
      </c>
      <c r="F2142" t="s">
        <v>15</v>
      </c>
      <c r="G2142">
        <v>761.2</v>
      </c>
      <c r="H2142">
        <v>44</v>
      </c>
      <c r="I2142" t="s">
        <v>16</v>
      </c>
      <c r="J2142">
        <v>2.7</v>
      </c>
      <c r="K2142" t="s">
        <v>17</v>
      </c>
      <c r="L2142" t="s">
        <v>23</v>
      </c>
      <c r="M2142" t="str">
        <f>VLOOKUP(D2146,Restaurant_Master!A:B,2,FALSE)</f>
        <v>https://dineout-media-assets.swiggy.com/swiggy/image/upload/fl_lossy,f_auto,q_auto/v1660793737/fdqxvxcxg1wtdwvyv45v.jpg</v>
      </c>
    </row>
    <row r="2143" spans="1:13" x14ac:dyDescent="0.3">
      <c r="A2143" t="s">
        <v>2173</v>
      </c>
      <c r="B2143" s="1">
        <v>45375</v>
      </c>
      <c r="C2143" t="s">
        <v>34</v>
      </c>
      <c r="D2143" t="s">
        <v>32</v>
      </c>
      <c r="E2143">
        <v>57</v>
      </c>
      <c r="F2143" t="s">
        <v>28</v>
      </c>
      <c r="G2143">
        <v>377.06</v>
      </c>
      <c r="H2143">
        <v>51</v>
      </c>
      <c r="I2143" t="s">
        <v>16</v>
      </c>
      <c r="J2143">
        <v>2.5</v>
      </c>
      <c r="K2143" t="s">
        <v>17</v>
      </c>
      <c r="L2143" t="s">
        <v>23</v>
      </c>
      <c r="M2143" t="str">
        <f>VLOOKUP(D2147,Restaurant_Master!A:B,2,FALSE)</f>
        <v>https://media-cdn.tripadvisor.com/media/photo-s/1c/c7/97/b6/photo6jpg.jpg</v>
      </c>
    </row>
    <row r="2144" spans="1:13" x14ac:dyDescent="0.3">
      <c r="A2144" t="s">
        <v>2174</v>
      </c>
      <c r="B2144" s="1">
        <v>45626</v>
      </c>
      <c r="C2144" t="s">
        <v>13</v>
      </c>
      <c r="D2144" t="s">
        <v>32</v>
      </c>
      <c r="E2144">
        <v>46</v>
      </c>
      <c r="F2144" t="s">
        <v>15</v>
      </c>
      <c r="G2144">
        <v>1005.16</v>
      </c>
      <c r="H2144">
        <v>28</v>
      </c>
      <c r="I2144" t="s">
        <v>22</v>
      </c>
      <c r="J2144">
        <v>4.4000000000000004</v>
      </c>
      <c r="K2144" t="s">
        <v>29</v>
      </c>
      <c r="L2144" t="s">
        <v>18</v>
      </c>
      <c r="M2144" t="str">
        <f>VLOOKUP(D2148,Restaurant_Master!A:B,2,FALSE)</f>
        <v>https://dineout-media-assets.swiggy.com/swiggy/image/upload/fl_lossy,f_auto,q_auto/v1660793737/fdqxvxcxg1wtdwvyv45v.jpg</v>
      </c>
    </row>
    <row r="2145" spans="1:13" x14ac:dyDescent="0.3">
      <c r="A2145" t="s">
        <v>2175</v>
      </c>
      <c r="B2145" s="1">
        <v>45480</v>
      </c>
      <c r="C2145" t="s">
        <v>13</v>
      </c>
      <c r="D2145" t="s">
        <v>21</v>
      </c>
      <c r="E2145">
        <v>52</v>
      </c>
      <c r="F2145" t="s">
        <v>15</v>
      </c>
      <c r="G2145">
        <v>178.34</v>
      </c>
      <c r="H2145">
        <v>33</v>
      </c>
      <c r="I2145" t="s">
        <v>22</v>
      </c>
      <c r="J2145">
        <v>4.0999999999999996</v>
      </c>
      <c r="K2145" t="s">
        <v>26</v>
      </c>
      <c r="L2145" t="s">
        <v>18</v>
      </c>
      <c r="M2145" t="str">
        <f>VLOOKUP(D2149,Restaurant_Master!A:B,2,FALSE)</f>
        <v>https://www.chatswoodinterchange.com/storages/2018/08/Sushi-World_666x448.jpg</v>
      </c>
    </row>
    <row r="2146" spans="1:13" x14ac:dyDescent="0.3">
      <c r="A2146" t="s">
        <v>2176</v>
      </c>
      <c r="B2146" s="1">
        <v>45628</v>
      </c>
      <c r="C2146" t="s">
        <v>36</v>
      </c>
      <c r="D2146" t="s">
        <v>14</v>
      </c>
      <c r="E2146">
        <v>49</v>
      </c>
      <c r="F2146" t="s">
        <v>28</v>
      </c>
      <c r="G2146">
        <v>818.21</v>
      </c>
      <c r="H2146">
        <v>52</v>
      </c>
      <c r="I2146" t="s">
        <v>16</v>
      </c>
      <c r="J2146">
        <v>4.8</v>
      </c>
      <c r="K2146" t="s">
        <v>26</v>
      </c>
      <c r="L2146" t="s">
        <v>23</v>
      </c>
      <c r="M2146" t="str">
        <f>VLOOKUP(D2150,Restaurant_Master!A:B,2,FALSE)</f>
        <v>https://media-cdn.tripadvisor.com/media/photo-s/1c/c7/97/b6/photo6jpg.jpg</v>
      </c>
    </row>
    <row r="2147" spans="1:13" x14ac:dyDescent="0.3">
      <c r="A2147" t="s">
        <v>2177</v>
      </c>
      <c r="B2147" s="1">
        <v>45508</v>
      </c>
      <c r="C2147" t="s">
        <v>34</v>
      </c>
      <c r="D2147" t="s">
        <v>25</v>
      </c>
      <c r="E2147">
        <v>45</v>
      </c>
      <c r="F2147" t="s">
        <v>15</v>
      </c>
      <c r="G2147">
        <v>210.76</v>
      </c>
      <c r="H2147">
        <v>23</v>
      </c>
      <c r="I2147" t="s">
        <v>22</v>
      </c>
      <c r="J2147">
        <v>3.6</v>
      </c>
      <c r="K2147" t="s">
        <v>17</v>
      </c>
      <c r="L2147" t="s">
        <v>23</v>
      </c>
      <c r="M2147" t="str">
        <f>VLOOKUP(D2151,Restaurant_Master!A:B,2,FALSE)</f>
        <v>https://www.chatswoodinterchange.com/storages/2018/08/Sushi-World_666x448.jpg</v>
      </c>
    </row>
    <row r="2148" spans="1:13" x14ac:dyDescent="0.3">
      <c r="A2148" t="s">
        <v>2178</v>
      </c>
      <c r="B2148" s="1">
        <v>45532</v>
      </c>
      <c r="C2148" t="s">
        <v>34</v>
      </c>
      <c r="D2148" t="s">
        <v>14</v>
      </c>
      <c r="E2148">
        <v>54</v>
      </c>
      <c r="F2148" t="s">
        <v>28</v>
      </c>
      <c r="G2148">
        <v>396.29</v>
      </c>
      <c r="H2148">
        <v>39</v>
      </c>
      <c r="I2148" t="s">
        <v>22</v>
      </c>
      <c r="J2148">
        <v>2.6</v>
      </c>
      <c r="K2148" t="s">
        <v>41</v>
      </c>
      <c r="L2148" t="s">
        <v>18</v>
      </c>
      <c r="M2148" t="str">
        <f>VLOOKUP(D2152,Restaurant_Master!A:B,2,FALSE)</f>
        <v>https://dineout-media-assets.swiggy.com/swiggy/image/upload/fl_lossy,f_auto,q_auto/v1660793737/fdqxvxcxg1wtdwvyv45v.jpg</v>
      </c>
    </row>
    <row r="2149" spans="1:13" x14ac:dyDescent="0.3">
      <c r="A2149" t="s">
        <v>2179</v>
      </c>
      <c r="B2149" s="1">
        <v>45519</v>
      </c>
      <c r="C2149" t="s">
        <v>34</v>
      </c>
      <c r="D2149" t="s">
        <v>38</v>
      </c>
      <c r="E2149">
        <v>34</v>
      </c>
      <c r="F2149" t="s">
        <v>28</v>
      </c>
      <c r="G2149">
        <v>479.8</v>
      </c>
      <c r="H2149">
        <v>53</v>
      </c>
      <c r="I2149" t="s">
        <v>16</v>
      </c>
      <c r="J2149">
        <v>4.7</v>
      </c>
      <c r="K2149" t="s">
        <v>26</v>
      </c>
      <c r="L2149" t="s">
        <v>18</v>
      </c>
      <c r="M2149" t="str">
        <f>VLOOKUP(D2153,Restaurant_Master!A:B,2,FALSE)</f>
        <v>https://content.jdmagicbox.com/comp/deoria/g6/9999p5568.5568.200119143033.m4g6/catalogue/biryani-house-deoria-ho-deoria-mktc2xph0o.jpg</v>
      </c>
    </row>
    <row r="2150" spans="1:13" x14ac:dyDescent="0.3">
      <c r="A2150" t="s">
        <v>2180</v>
      </c>
      <c r="B2150" s="1">
        <v>45589</v>
      </c>
      <c r="C2150" t="s">
        <v>36</v>
      </c>
      <c r="D2150" t="s">
        <v>25</v>
      </c>
      <c r="E2150">
        <v>25</v>
      </c>
      <c r="F2150" t="s">
        <v>15</v>
      </c>
      <c r="G2150">
        <v>544.9</v>
      </c>
      <c r="H2150">
        <v>38</v>
      </c>
      <c r="I2150" t="s">
        <v>22</v>
      </c>
      <c r="J2150">
        <v>3.8</v>
      </c>
      <c r="K2150" t="s">
        <v>29</v>
      </c>
      <c r="L2150" t="s">
        <v>23</v>
      </c>
      <c r="M2150" t="str">
        <f>VLOOKUP(D2154,Restaurant_Master!A:B,2,FALSE)</f>
        <v>https://content.jdmagicbox.com/comp/deoria/g6/9999p5568.5568.200119143033.m4g6/catalogue/biryani-house-deoria-ho-deoria-mktc2xph0o.jpg</v>
      </c>
    </row>
    <row r="2151" spans="1:13" x14ac:dyDescent="0.3">
      <c r="A2151" t="s">
        <v>2181</v>
      </c>
      <c r="B2151" s="1">
        <v>45499</v>
      </c>
      <c r="C2151" t="s">
        <v>34</v>
      </c>
      <c r="D2151" t="s">
        <v>38</v>
      </c>
      <c r="E2151">
        <v>29</v>
      </c>
      <c r="F2151" t="s">
        <v>15</v>
      </c>
      <c r="G2151">
        <v>422.48</v>
      </c>
      <c r="H2151">
        <v>54</v>
      </c>
      <c r="I2151" t="s">
        <v>16</v>
      </c>
      <c r="J2151">
        <v>4.9000000000000004</v>
      </c>
      <c r="K2151" t="s">
        <v>29</v>
      </c>
      <c r="L2151" t="s">
        <v>23</v>
      </c>
      <c r="M2151" t="str">
        <f>VLOOKUP(D2155,Restaurant_Master!A:B,2,FALSE)</f>
        <v>https://dineout-media-assets.swiggy.com/swiggy/image/upload/fl_lossy,f_auto,q_auto/v1660793737/fdqxvxcxg1wtdwvyv45v.jpg</v>
      </c>
    </row>
    <row r="2152" spans="1:13" x14ac:dyDescent="0.3">
      <c r="A2152" t="s">
        <v>2182</v>
      </c>
      <c r="B2152" s="1">
        <v>45439</v>
      </c>
      <c r="C2152" t="s">
        <v>34</v>
      </c>
      <c r="D2152" t="s">
        <v>14</v>
      </c>
      <c r="E2152">
        <v>57</v>
      </c>
      <c r="F2152" t="s">
        <v>28</v>
      </c>
      <c r="G2152">
        <v>260</v>
      </c>
      <c r="H2152">
        <v>20</v>
      </c>
      <c r="I2152" t="s">
        <v>22</v>
      </c>
      <c r="J2152">
        <v>3.2</v>
      </c>
      <c r="K2152" t="s">
        <v>41</v>
      </c>
      <c r="L2152" t="s">
        <v>18</v>
      </c>
      <c r="M2152" t="str">
        <f>VLOOKUP(D2156,Restaurant_Master!A:B,2,FALSE)</f>
        <v>https://media-cdn.tripadvisor.com/media/photo-s/1c/c7/97/b6/photo6jpg.jpg</v>
      </c>
    </row>
    <row r="2153" spans="1:13" x14ac:dyDescent="0.3">
      <c r="A2153" t="s">
        <v>2183</v>
      </c>
      <c r="B2153" s="1">
        <v>45519</v>
      </c>
      <c r="C2153" t="s">
        <v>20</v>
      </c>
      <c r="D2153" t="s">
        <v>32</v>
      </c>
      <c r="E2153">
        <v>59</v>
      </c>
      <c r="F2153" t="s">
        <v>15</v>
      </c>
      <c r="G2153">
        <v>1011.88</v>
      </c>
      <c r="H2153">
        <v>22</v>
      </c>
      <c r="I2153" t="s">
        <v>22</v>
      </c>
      <c r="J2153">
        <v>4.0999999999999996</v>
      </c>
      <c r="K2153" t="s">
        <v>17</v>
      </c>
      <c r="L2153" t="s">
        <v>18</v>
      </c>
      <c r="M2153" t="str">
        <f>VLOOKUP(D2157,Restaurant_Master!A:B,2,FALSE)</f>
        <v>https://content.jdmagicbox.com/comp/deoria/g6/9999p5568.5568.200119143033.m4g6/catalogue/biryani-house-deoria-ho-deoria-mktc2xph0o.jpg</v>
      </c>
    </row>
    <row r="2154" spans="1:13" x14ac:dyDescent="0.3">
      <c r="A2154" t="s">
        <v>2184</v>
      </c>
      <c r="B2154" s="1">
        <v>45294</v>
      </c>
      <c r="C2154" t="s">
        <v>20</v>
      </c>
      <c r="D2154" t="s">
        <v>32</v>
      </c>
      <c r="E2154">
        <v>33</v>
      </c>
      <c r="F2154" t="s">
        <v>28</v>
      </c>
      <c r="G2154">
        <v>154.55000000000001</v>
      </c>
      <c r="H2154">
        <v>41</v>
      </c>
      <c r="I2154" t="s">
        <v>16</v>
      </c>
      <c r="J2154">
        <v>4.9000000000000004</v>
      </c>
      <c r="K2154" t="s">
        <v>17</v>
      </c>
      <c r="L2154" t="s">
        <v>23</v>
      </c>
      <c r="M2154" t="str">
        <f>VLOOKUP(D2158,Restaurant_Master!A:B,2,FALSE)</f>
        <v>https://www.chatswoodinterchange.com/storages/2018/08/Sushi-World_666x448.jpg</v>
      </c>
    </row>
    <row r="2155" spans="1:13" x14ac:dyDescent="0.3">
      <c r="A2155" t="s">
        <v>2185</v>
      </c>
      <c r="B2155" s="1">
        <v>45537</v>
      </c>
      <c r="C2155" t="s">
        <v>36</v>
      </c>
      <c r="D2155" t="s">
        <v>14</v>
      </c>
      <c r="E2155">
        <v>25</v>
      </c>
      <c r="F2155" t="s">
        <v>15</v>
      </c>
      <c r="G2155">
        <v>776.9</v>
      </c>
      <c r="H2155">
        <v>57</v>
      </c>
      <c r="I2155" t="s">
        <v>16</v>
      </c>
      <c r="J2155">
        <v>4.2</v>
      </c>
      <c r="K2155" t="s">
        <v>29</v>
      </c>
      <c r="L2155" t="s">
        <v>23</v>
      </c>
      <c r="M2155" t="str">
        <f>VLOOKUP(D2159,Restaurant_Master!A:B,2,FALSE)</f>
        <v>https://media-cdn.tripadvisor.com/media/photo-s/1c/c7/97/b6/photo6jpg.jpg</v>
      </c>
    </row>
    <row r="2156" spans="1:13" x14ac:dyDescent="0.3">
      <c r="A2156" t="s">
        <v>2186</v>
      </c>
      <c r="B2156" s="1">
        <v>45547</v>
      </c>
      <c r="C2156" t="s">
        <v>13</v>
      </c>
      <c r="D2156" t="s">
        <v>25</v>
      </c>
      <c r="E2156">
        <v>37</v>
      </c>
      <c r="F2156" t="s">
        <v>28</v>
      </c>
      <c r="G2156">
        <v>300.83</v>
      </c>
      <c r="H2156">
        <v>55</v>
      </c>
      <c r="I2156" t="s">
        <v>16</v>
      </c>
      <c r="J2156">
        <v>3.6</v>
      </c>
      <c r="K2156" t="s">
        <v>29</v>
      </c>
      <c r="L2156" t="s">
        <v>23</v>
      </c>
      <c r="M2156" t="str">
        <f>VLOOKUP(D2160,Restaurant_Master!A:B,2,FALSE)</f>
        <v>https://dynamic-media-cdn.tripadvisor.com/media/photo-o/1c/e7/04/0d/front-of-the-local-easily.jpg</v>
      </c>
    </row>
    <row r="2157" spans="1:13" x14ac:dyDescent="0.3">
      <c r="A2157" t="s">
        <v>2187</v>
      </c>
      <c r="B2157" s="1">
        <v>45618</v>
      </c>
      <c r="C2157" t="s">
        <v>34</v>
      </c>
      <c r="D2157" t="s">
        <v>32</v>
      </c>
      <c r="E2157">
        <v>29</v>
      </c>
      <c r="F2157" t="s">
        <v>28</v>
      </c>
      <c r="G2157">
        <v>499.6</v>
      </c>
      <c r="H2157">
        <v>42</v>
      </c>
      <c r="I2157" t="s">
        <v>16</v>
      </c>
      <c r="J2157">
        <v>4</v>
      </c>
      <c r="K2157" t="s">
        <v>17</v>
      </c>
      <c r="L2157" t="s">
        <v>23</v>
      </c>
      <c r="M2157" t="str">
        <f>VLOOKUP(D2161,Restaurant_Master!A:B,2,FALSE)</f>
        <v>https://dineout-media-assets.swiggy.com/swiggy/image/upload/fl_lossy,f_auto,q_auto/v1660793737/fdqxvxcxg1wtdwvyv45v.jpg</v>
      </c>
    </row>
    <row r="2158" spans="1:13" x14ac:dyDescent="0.3">
      <c r="A2158" t="s">
        <v>2188</v>
      </c>
      <c r="B2158" s="1">
        <v>45402</v>
      </c>
      <c r="C2158" t="s">
        <v>36</v>
      </c>
      <c r="D2158" t="s">
        <v>38</v>
      </c>
      <c r="E2158">
        <v>18</v>
      </c>
      <c r="F2158" t="s">
        <v>15</v>
      </c>
      <c r="G2158">
        <v>704.97</v>
      </c>
      <c r="H2158">
        <v>31</v>
      </c>
      <c r="I2158" t="s">
        <v>22</v>
      </c>
      <c r="J2158">
        <v>3.4</v>
      </c>
      <c r="K2158" t="s">
        <v>41</v>
      </c>
      <c r="L2158" t="s">
        <v>23</v>
      </c>
      <c r="M2158" t="str">
        <f>VLOOKUP(D2162,Restaurant_Master!A:B,2,FALSE)</f>
        <v>https://dynamic-media-cdn.tripadvisor.com/media/photo-o/1c/e7/04/0d/front-of-the-local-easily.jpg</v>
      </c>
    </row>
    <row r="2159" spans="1:13" x14ac:dyDescent="0.3">
      <c r="A2159" t="s">
        <v>2189</v>
      </c>
      <c r="B2159" s="1">
        <v>45483</v>
      </c>
      <c r="C2159" t="s">
        <v>43</v>
      </c>
      <c r="D2159" t="s">
        <v>25</v>
      </c>
      <c r="E2159">
        <v>20</v>
      </c>
      <c r="F2159" t="s">
        <v>15</v>
      </c>
      <c r="G2159">
        <v>973.76</v>
      </c>
      <c r="H2159">
        <v>58</v>
      </c>
      <c r="I2159" t="s">
        <v>16</v>
      </c>
      <c r="J2159">
        <v>3.2</v>
      </c>
      <c r="K2159" t="s">
        <v>17</v>
      </c>
      <c r="L2159" t="s">
        <v>18</v>
      </c>
      <c r="M2159" t="str">
        <f>VLOOKUP(D2163,Restaurant_Master!A:B,2,FALSE)</f>
        <v>https://www.chatswoodinterchange.com/storages/2018/08/Sushi-World_666x448.jpg</v>
      </c>
    </row>
    <row r="2160" spans="1:13" x14ac:dyDescent="0.3">
      <c r="A2160" t="s">
        <v>2190</v>
      </c>
      <c r="B2160" s="1">
        <v>45474</v>
      </c>
      <c r="C2160" t="s">
        <v>43</v>
      </c>
      <c r="D2160" t="s">
        <v>21</v>
      </c>
      <c r="E2160">
        <v>32</v>
      </c>
      <c r="F2160" t="s">
        <v>28</v>
      </c>
      <c r="G2160">
        <v>741.86</v>
      </c>
      <c r="H2160">
        <v>21</v>
      </c>
      <c r="I2160" t="s">
        <v>22</v>
      </c>
      <c r="J2160">
        <v>2.8</v>
      </c>
      <c r="K2160" t="s">
        <v>29</v>
      </c>
      <c r="L2160" t="s">
        <v>23</v>
      </c>
      <c r="M2160" t="str">
        <f>VLOOKUP(D2164,Restaurant_Master!A:B,2,FALSE)</f>
        <v>https://media-cdn.tripadvisor.com/media/photo-s/1c/c7/97/b6/photo6jpg.jpg</v>
      </c>
    </row>
    <row r="2161" spans="1:13" x14ac:dyDescent="0.3">
      <c r="A2161" t="s">
        <v>2191</v>
      </c>
      <c r="B2161" s="1">
        <v>45657</v>
      </c>
      <c r="C2161" t="s">
        <v>20</v>
      </c>
      <c r="D2161" t="s">
        <v>14</v>
      </c>
      <c r="E2161">
        <v>48</v>
      </c>
      <c r="F2161" t="s">
        <v>28</v>
      </c>
      <c r="G2161">
        <v>964.83</v>
      </c>
      <c r="H2161">
        <v>38</v>
      </c>
      <c r="I2161" t="s">
        <v>22</v>
      </c>
      <c r="J2161">
        <v>3.2</v>
      </c>
      <c r="K2161" t="s">
        <v>17</v>
      </c>
      <c r="L2161" t="s">
        <v>23</v>
      </c>
      <c r="M2161" t="str">
        <f>VLOOKUP(D2165,Restaurant_Master!A:B,2,FALSE)</f>
        <v>https://media-cdn.tripadvisor.com/media/photo-s/1c/c7/97/b6/photo6jpg.jpg</v>
      </c>
    </row>
    <row r="2162" spans="1:13" x14ac:dyDescent="0.3">
      <c r="A2162" t="s">
        <v>2192</v>
      </c>
      <c r="B2162" s="1">
        <v>45435</v>
      </c>
      <c r="C2162" t="s">
        <v>13</v>
      </c>
      <c r="D2162" t="s">
        <v>21</v>
      </c>
      <c r="E2162">
        <v>26</v>
      </c>
      <c r="F2162" t="s">
        <v>28</v>
      </c>
      <c r="G2162">
        <v>391.5</v>
      </c>
      <c r="H2162">
        <v>46</v>
      </c>
      <c r="I2162" t="s">
        <v>16</v>
      </c>
      <c r="J2162">
        <v>4.2</v>
      </c>
      <c r="K2162" t="s">
        <v>26</v>
      </c>
      <c r="L2162" t="s">
        <v>23</v>
      </c>
      <c r="M2162" t="str">
        <f>VLOOKUP(D2166,Restaurant_Master!A:B,2,FALSE)</f>
        <v>https://dineout-media-assets.swiggy.com/swiggy/image/upload/fl_lossy,f_auto,q_auto/v1660793737/fdqxvxcxg1wtdwvyv45v.jpg</v>
      </c>
    </row>
    <row r="2163" spans="1:13" x14ac:dyDescent="0.3">
      <c r="A2163" t="s">
        <v>2193</v>
      </c>
      <c r="B2163" s="1">
        <v>45600</v>
      </c>
      <c r="C2163" t="s">
        <v>43</v>
      </c>
      <c r="D2163" t="s">
        <v>38</v>
      </c>
      <c r="E2163">
        <v>59</v>
      </c>
      <c r="F2163" t="s">
        <v>15</v>
      </c>
      <c r="G2163">
        <v>789.25</v>
      </c>
      <c r="H2163">
        <v>25</v>
      </c>
      <c r="I2163" t="s">
        <v>22</v>
      </c>
      <c r="J2163">
        <v>4.4000000000000004</v>
      </c>
      <c r="K2163" t="s">
        <v>26</v>
      </c>
      <c r="L2163" t="s">
        <v>23</v>
      </c>
      <c r="M2163" t="str">
        <f>VLOOKUP(D2167,Restaurant_Master!A:B,2,FALSE)</f>
        <v>https://www.chatswoodinterchange.com/storages/2018/08/Sushi-World_666x448.jpg</v>
      </c>
    </row>
    <row r="2164" spans="1:13" x14ac:dyDescent="0.3">
      <c r="A2164" t="s">
        <v>2194</v>
      </c>
      <c r="B2164" s="1">
        <v>45410</v>
      </c>
      <c r="C2164" t="s">
        <v>36</v>
      </c>
      <c r="D2164" t="s">
        <v>25</v>
      </c>
      <c r="E2164">
        <v>21</v>
      </c>
      <c r="F2164" t="s">
        <v>15</v>
      </c>
      <c r="G2164">
        <v>1037.54</v>
      </c>
      <c r="H2164">
        <v>41</v>
      </c>
      <c r="I2164" t="s">
        <v>16</v>
      </c>
      <c r="J2164">
        <v>3.6</v>
      </c>
      <c r="K2164" t="s">
        <v>41</v>
      </c>
      <c r="L2164" t="s">
        <v>23</v>
      </c>
      <c r="M2164" t="str">
        <f>VLOOKUP(D2168,Restaurant_Master!A:B,2,FALSE)</f>
        <v>https://dynamic-media-cdn.tripadvisor.com/media/photo-o/1c/e7/04/0d/front-of-the-local-easily.jpg</v>
      </c>
    </row>
    <row r="2165" spans="1:13" x14ac:dyDescent="0.3">
      <c r="A2165" t="s">
        <v>2195</v>
      </c>
      <c r="B2165" s="1">
        <v>45385</v>
      </c>
      <c r="C2165" t="s">
        <v>43</v>
      </c>
      <c r="D2165" t="s">
        <v>25</v>
      </c>
      <c r="E2165">
        <v>59</v>
      </c>
      <c r="F2165" t="s">
        <v>28</v>
      </c>
      <c r="G2165">
        <v>888.32</v>
      </c>
      <c r="H2165">
        <v>47</v>
      </c>
      <c r="I2165" t="s">
        <v>16</v>
      </c>
      <c r="J2165">
        <v>2.7</v>
      </c>
      <c r="K2165" t="s">
        <v>26</v>
      </c>
      <c r="L2165" t="s">
        <v>18</v>
      </c>
      <c r="M2165" t="str">
        <f>VLOOKUP(D2169,Restaurant_Master!A:B,2,FALSE)</f>
        <v>https://www.chatswoodinterchange.com/storages/2018/08/Sushi-World_666x448.jpg</v>
      </c>
    </row>
    <row r="2166" spans="1:13" x14ac:dyDescent="0.3">
      <c r="A2166" t="s">
        <v>2196</v>
      </c>
      <c r="B2166" s="1">
        <v>45315</v>
      </c>
      <c r="C2166" t="s">
        <v>13</v>
      </c>
      <c r="D2166" t="s">
        <v>14</v>
      </c>
      <c r="E2166">
        <v>18</v>
      </c>
      <c r="F2166" t="s">
        <v>15</v>
      </c>
      <c r="G2166">
        <v>513.49</v>
      </c>
      <c r="H2166">
        <v>46</v>
      </c>
      <c r="I2166" t="s">
        <v>16</v>
      </c>
      <c r="J2166">
        <v>4.3</v>
      </c>
      <c r="K2166" t="s">
        <v>29</v>
      </c>
      <c r="L2166" t="s">
        <v>23</v>
      </c>
      <c r="M2166" t="str">
        <f>VLOOKUP(D2170,Restaurant_Master!A:B,2,FALSE)</f>
        <v>https://dineout-media-assets.swiggy.com/swiggy/image/upload/fl_lossy,f_auto,q_auto/v1660793737/fdqxvxcxg1wtdwvyv45v.jpg</v>
      </c>
    </row>
    <row r="2167" spans="1:13" x14ac:dyDescent="0.3">
      <c r="A2167" t="s">
        <v>2197</v>
      </c>
      <c r="B2167" s="1">
        <v>45350</v>
      </c>
      <c r="C2167" t="s">
        <v>43</v>
      </c>
      <c r="D2167" t="s">
        <v>38</v>
      </c>
      <c r="E2167">
        <v>43</v>
      </c>
      <c r="F2167" t="s">
        <v>15</v>
      </c>
      <c r="G2167">
        <v>765.37</v>
      </c>
      <c r="H2167">
        <v>21</v>
      </c>
      <c r="I2167" t="s">
        <v>22</v>
      </c>
      <c r="J2167">
        <v>4.2</v>
      </c>
      <c r="K2167" t="s">
        <v>17</v>
      </c>
      <c r="L2167" t="s">
        <v>18</v>
      </c>
      <c r="M2167" t="str">
        <f>VLOOKUP(D2171,Restaurant_Master!A:B,2,FALSE)</f>
        <v>https://content.jdmagicbox.com/comp/deoria/g6/9999p5568.5568.200119143033.m4g6/catalogue/biryani-house-deoria-ho-deoria-mktc2xph0o.jpg</v>
      </c>
    </row>
    <row r="2168" spans="1:13" x14ac:dyDescent="0.3">
      <c r="A2168" t="s">
        <v>2198</v>
      </c>
      <c r="B2168" s="1">
        <v>45294</v>
      </c>
      <c r="C2168" t="s">
        <v>36</v>
      </c>
      <c r="D2168" t="s">
        <v>21</v>
      </c>
      <c r="E2168">
        <v>57</v>
      </c>
      <c r="F2168" t="s">
        <v>15</v>
      </c>
      <c r="G2168">
        <v>1054.8</v>
      </c>
      <c r="H2168">
        <v>33</v>
      </c>
      <c r="I2168" t="s">
        <v>22</v>
      </c>
      <c r="J2168">
        <v>4</v>
      </c>
      <c r="K2168" t="s">
        <v>17</v>
      </c>
      <c r="L2168" t="s">
        <v>23</v>
      </c>
      <c r="M2168" t="str">
        <f>VLOOKUP(D2172,Restaurant_Master!A:B,2,FALSE)</f>
        <v>https://www.chatswoodinterchange.com/storages/2018/08/Sushi-World_666x448.jpg</v>
      </c>
    </row>
    <row r="2169" spans="1:13" x14ac:dyDescent="0.3">
      <c r="A2169" t="s">
        <v>2199</v>
      </c>
      <c r="B2169" s="1">
        <v>45639</v>
      </c>
      <c r="C2169" t="s">
        <v>13</v>
      </c>
      <c r="D2169" t="s">
        <v>38</v>
      </c>
      <c r="E2169">
        <v>18</v>
      </c>
      <c r="F2169" t="s">
        <v>15</v>
      </c>
      <c r="G2169">
        <v>1163.8800000000001</v>
      </c>
      <c r="H2169">
        <v>34</v>
      </c>
      <c r="I2169" t="s">
        <v>22</v>
      </c>
      <c r="J2169">
        <v>4</v>
      </c>
      <c r="K2169" t="s">
        <v>41</v>
      </c>
      <c r="L2169" t="s">
        <v>23</v>
      </c>
      <c r="M2169" t="str">
        <f>VLOOKUP(D2173,Restaurant_Master!A:B,2,FALSE)</f>
        <v>https://dineout-media-assets.swiggy.com/swiggy/image/upload/fl_lossy,f_auto,q_auto/v1660793737/fdqxvxcxg1wtdwvyv45v.jpg</v>
      </c>
    </row>
    <row r="2170" spans="1:13" x14ac:dyDescent="0.3">
      <c r="A2170" t="s">
        <v>2200</v>
      </c>
      <c r="B2170" s="1">
        <v>45536</v>
      </c>
      <c r="C2170" t="s">
        <v>43</v>
      </c>
      <c r="D2170" t="s">
        <v>14</v>
      </c>
      <c r="E2170">
        <v>32</v>
      </c>
      <c r="F2170" t="s">
        <v>15</v>
      </c>
      <c r="G2170">
        <v>1075.58</v>
      </c>
      <c r="H2170">
        <v>38</v>
      </c>
      <c r="I2170" t="s">
        <v>22</v>
      </c>
      <c r="J2170">
        <v>4.3</v>
      </c>
      <c r="K2170" t="s">
        <v>29</v>
      </c>
      <c r="L2170" t="s">
        <v>18</v>
      </c>
      <c r="M2170" t="str">
        <f>VLOOKUP(D2174,Restaurant_Master!A:B,2,FALSE)</f>
        <v>https://dynamic-media-cdn.tripadvisor.com/media/photo-o/1c/e7/04/0d/front-of-the-local-easily.jpg</v>
      </c>
    </row>
    <row r="2171" spans="1:13" x14ac:dyDescent="0.3">
      <c r="A2171" t="s">
        <v>2201</v>
      </c>
      <c r="B2171" s="1">
        <v>45361</v>
      </c>
      <c r="C2171" t="s">
        <v>36</v>
      </c>
      <c r="D2171" t="s">
        <v>32</v>
      </c>
      <c r="E2171">
        <v>53</v>
      </c>
      <c r="F2171" t="s">
        <v>28</v>
      </c>
      <c r="G2171">
        <v>1146.18</v>
      </c>
      <c r="H2171">
        <v>58</v>
      </c>
      <c r="I2171" t="s">
        <v>16</v>
      </c>
      <c r="J2171">
        <v>3.5</v>
      </c>
      <c r="K2171" t="s">
        <v>17</v>
      </c>
      <c r="L2171" t="s">
        <v>23</v>
      </c>
      <c r="M2171" t="str">
        <f>VLOOKUP(D2175,Restaurant_Master!A:B,2,FALSE)</f>
        <v>https://dynamic-media-cdn.tripadvisor.com/media/photo-o/1c/e7/04/0d/front-of-the-local-easily.jpg</v>
      </c>
    </row>
    <row r="2172" spans="1:13" x14ac:dyDescent="0.3">
      <c r="A2172" t="s">
        <v>2202</v>
      </c>
      <c r="B2172" s="1">
        <v>45630</v>
      </c>
      <c r="C2172" t="s">
        <v>34</v>
      </c>
      <c r="D2172" t="s">
        <v>38</v>
      </c>
      <c r="E2172">
        <v>21</v>
      </c>
      <c r="F2172" t="s">
        <v>15</v>
      </c>
      <c r="G2172">
        <v>502.63</v>
      </c>
      <c r="H2172">
        <v>25</v>
      </c>
      <c r="I2172" t="s">
        <v>22</v>
      </c>
      <c r="J2172">
        <v>3.3</v>
      </c>
      <c r="K2172" t="s">
        <v>26</v>
      </c>
      <c r="L2172" t="s">
        <v>23</v>
      </c>
      <c r="M2172" t="str">
        <f>VLOOKUP(D2176,Restaurant_Master!A:B,2,FALSE)</f>
        <v>https://media-cdn.tripadvisor.com/media/photo-s/1c/c7/97/b6/photo6jpg.jpg</v>
      </c>
    </row>
    <row r="2173" spans="1:13" x14ac:dyDescent="0.3">
      <c r="A2173" t="s">
        <v>2203</v>
      </c>
      <c r="B2173" s="1">
        <v>45493</v>
      </c>
      <c r="C2173" t="s">
        <v>20</v>
      </c>
      <c r="D2173" t="s">
        <v>14</v>
      </c>
      <c r="E2173">
        <v>47</v>
      </c>
      <c r="F2173" t="s">
        <v>28</v>
      </c>
      <c r="G2173">
        <v>457.33</v>
      </c>
      <c r="H2173">
        <v>25</v>
      </c>
      <c r="I2173" t="s">
        <v>22</v>
      </c>
      <c r="J2173">
        <v>3.6</v>
      </c>
      <c r="K2173" t="s">
        <v>41</v>
      </c>
      <c r="L2173" t="s">
        <v>18</v>
      </c>
      <c r="M2173" t="str">
        <f>VLOOKUP(D2177,Restaurant_Master!A:B,2,FALSE)</f>
        <v>https://www.chatswoodinterchange.com/storages/2018/08/Sushi-World_666x448.jpg</v>
      </c>
    </row>
    <row r="2174" spans="1:13" x14ac:dyDescent="0.3">
      <c r="A2174" t="s">
        <v>2204</v>
      </c>
      <c r="B2174" s="1">
        <v>45639</v>
      </c>
      <c r="C2174" t="s">
        <v>36</v>
      </c>
      <c r="D2174" t="s">
        <v>21</v>
      </c>
      <c r="E2174">
        <v>22</v>
      </c>
      <c r="F2174" t="s">
        <v>28</v>
      </c>
      <c r="G2174">
        <v>1133.25</v>
      </c>
      <c r="H2174">
        <v>21</v>
      </c>
      <c r="I2174" t="s">
        <v>22</v>
      </c>
      <c r="J2174">
        <v>4.0999999999999996</v>
      </c>
      <c r="K2174" t="s">
        <v>17</v>
      </c>
      <c r="L2174" t="s">
        <v>23</v>
      </c>
      <c r="M2174" t="str">
        <f>VLOOKUP(D2178,Restaurant_Master!A:B,2,FALSE)</f>
        <v>https://dineout-media-assets.swiggy.com/swiggy/image/upload/fl_lossy,f_auto,q_auto/v1660793737/fdqxvxcxg1wtdwvyv45v.jpg</v>
      </c>
    </row>
    <row r="2175" spans="1:13" x14ac:dyDescent="0.3">
      <c r="A2175" t="s">
        <v>2205</v>
      </c>
      <c r="B2175" s="1">
        <v>45538</v>
      </c>
      <c r="C2175" t="s">
        <v>13</v>
      </c>
      <c r="D2175" t="s">
        <v>21</v>
      </c>
      <c r="E2175">
        <v>54</v>
      </c>
      <c r="F2175" t="s">
        <v>15</v>
      </c>
      <c r="G2175">
        <v>711.66</v>
      </c>
      <c r="H2175">
        <v>22</v>
      </c>
      <c r="I2175" t="s">
        <v>22</v>
      </c>
      <c r="J2175">
        <v>2.6</v>
      </c>
      <c r="K2175" t="s">
        <v>41</v>
      </c>
      <c r="L2175" t="s">
        <v>18</v>
      </c>
      <c r="M2175" t="str">
        <f>VLOOKUP(D2179,Restaurant_Master!A:B,2,FALSE)</f>
        <v>https://www.chatswoodinterchange.com/storages/2018/08/Sushi-World_666x448.jpg</v>
      </c>
    </row>
    <row r="2176" spans="1:13" x14ac:dyDescent="0.3">
      <c r="A2176" t="s">
        <v>2206</v>
      </c>
      <c r="B2176" s="1">
        <v>45583</v>
      </c>
      <c r="C2176" t="s">
        <v>43</v>
      </c>
      <c r="D2176" t="s">
        <v>25</v>
      </c>
      <c r="E2176">
        <v>27</v>
      </c>
      <c r="F2176" t="s">
        <v>28</v>
      </c>
      <c r="G2176">
        <v>174.6</v>
      </c>
      <c r="H2176">
        <v>25</v>
      </c>
      <c r="I2176" t="s">
        <v>22</v>
      </c>
      <c r="J2176">
        <v>3.4</v>
      </c>
      <c r="K2176" t="s">
        <v>29</v>
      </c>
      <c r="L2176" t="s">
        <v>18</v>
      </c>
      <c r="M2176" t="str">
        <f>VLOOKUP(D2180,Restaurant_Master!A:B,2,FALSE)</f>
        <v>https://content.jdmagicbox.com/comp/deoria/g6/9999p5568.5568.200119143033.m4g6/catalogue/biryani-house-deoria-ho-deoria-mktc2xph0o.jpg</v>
      </c>
    </row>
    <row r="2177" spans="1:13" x14ac:dyDescent="0.3">
      <c r="A2177" t="s">
        <v>2207</v>
      </c>
      <c r="B2177" s="1">
        <v>45605</v>
      </c>
      <c r="C2177" t="s">
        <v>36</v>
      </c>
      <c r="D2177" t="s">
        <v>38</v>
      </c>
      <c r="E2177">
        <v>31</v>
      </c>
      <c r="F2177" t="s">
        <v>28</v>
      </c>
      <c r="G2177">
        <v>444.99</v>
      </c>
      <c r="H2177">
        <v>36</v>
      </c>
      <c r="I2177" t="s">
        <v>22</v>
      </c>
      <c r="J2177">
        <v>4</v>
      </c>
      <c r="K2177" t="s">
        <v>17</v>
      </c>
      <c r="L2177" t="s">
        <v>18</v>
      </c>
      <c r="M2177" t="str">
        <f>VLOOKUP(D2181,Restaurant_Master!A:B,2,FALSE)</f>
        <v>https://dineout-media-assets.swiggy.com/swiggy/image/upload/fl_lossy,f_auto,q_auto/v1660793737/fdqxvxcxg1wtdwvyv45v.jpg</v>
      </c>
    </row>
    <row r="2178" spans="1:13" x14ac:dyDescent="0.3">
      <c r="A2178" t="s">
        <v>2208</v>
      </c>
      <c r="B2178" s="1">
        <v>45525</v>
      </c>
      <c r="C2178" t="s">
        <v>36</v>
      </c>
      <c r="D2178" t="s">
        <v>14</v>
      </c>
      <c r="E2178">
        <v>42</v>
      </c>
      <c r="F2178" t="s">
        <v>15</v>
      </c>
      <c r="G2178">
        <v>661.81</v>
      </c>
      <c r="H2178">
        <v>59</v>
      </c>
      <c r="I2178" t="s">
        <v>16</v>
      </c>
      <c r="J2178">
        <v>3.9</v>
      </c>
      <c r="K2178" t="s">
        <v>41</v>
      </c>
      <c r="L2178" t="s">
        <v>18</v>
      </c>
      <c r="M2178" t="str">
        <f>VLOOKUP(D2182,Restaurant_Master!A:B,2,FALSE)</f>
        <v>https://media-cdn.tripadvisor.com/media/photo-s/1c/c7/97/b6/photo6jpg.jpg</v>
      </c>
    </row>
    <row r="2179" spans="1:13" x14ac:dyDescent="0.3">
      <c r="A2179" t="s">
        <v>2209</v>
      </c>
      <c r="B2179" s="1">
        <v>45576</v>
      </c>
      <c r="C2179" t="s">
        <v>43</v>
      </c>
      <c r="D2179" t="s">
        <v>38</v>
      </c>
      <c r="E2179">
        <v>46</v>
      </c>
      <c r="F2179" t="s">
        <v>28</v>
      </c>
      <c r="G2179">
        <v>682.83</v>
      </c>
      <c r="H2179">
        <v>52</v>
      </c>
      <c r="I2179" t="s">
        <v>16</v>
      </c>
      <c r="J2179">
        <v>3.8</v>
      </c>
      <c r="K2179" t="s">
        <v>17</v>
      </c>
      <c r="L2179" t="s">
        <v>23</v>
      </c>
      <c r="M2179" t="str">
        <f>VLOOKUP(D2183,Restaurant_Master!A:B,2,FALSE)</f>
        <v>https://content.jdmagicbox.com/comp/deoria/g6/9999p5568.5568.200119143033.m4g6/catalogue/biryani-house-deoria-ho-deoria-mktc2xph0o.jpg</v>
      </c>
    </row>
    <row r="2180" spans="1:13" x14ac:dyDescent="0.3">
      <c r="A2180" t="s">
        <v>2210</v>
      </c>
      <c r="B2180" s="1">
        <v>45456</v>
      </c>
      <c r="C2180" t="s">
        <v>13</v>
      </c>
      <c r="D2180" t="s">
        <v>32</v>
      </c>
      <c r="E2180">
        <v>52</v>
      </c>
      <c r="F2180" t="s">
        <v>28</v>
      </c>
      <c r="G2180">
        <v>1034.28</v>
      </c>
      <c r="H2180">
        <v>38</v>
      </c>
      <c r="I2180" t="s">
        <v>22</v>
      </c>
      <c r="J2180">
        <v>3.3</v>
      </c>
      <c r="K2180" t="s">
        <v>17</v>
      </c>
      <c r="L2180" t="s">
        <v>23</v>
      </c>
      <c r="M2180" t="str">
        <f>VLOOKUP(D2184,Restaurant_Master!A:B,2,FALSE)</f>
        <v>https://www.chatswoodinterchange.com/storages/2018/08/Sushi-World_666x448.jpg</v>
      </c>
    </row>
    <row r="2181" spans="1:13" x14ac:dyDescent="0.3">
      <c r="A2181" t="s">
        <v>2211</v>
      </c>
      <c r="B2181" s="1">
        <v>45364</v>
      </c>
      <c r="C2181" t="s">
        <v>36</v>
      </c>
      <c r="D2181" t="s">
        <v>14</v>
      </c>
      <c r="E2181">
        <v>38</v>
      </c>
      <c r="F2181" t="s">
        <v>15</v>
      </c>
      <c r="G2181">
        <v>760.51</v>
      </c>
      <c r="H2181">
        <v>51</v>
      </c>
      <c r="I2181" t="s">
        <v>16</v>
      </c>
      <c r="J2181">
        <v>3.5</v>
      </c>
      <c r="K2181" t="s">
        <v>17</v>
      </c>
      <c r="L2181" t="s">
        <v>23</v>
      </c>
      <c r="M2181" t="str">
        <f>VLOOKUP(D2185,Restaurant_Master!A:B,2,FALSE)</f>
        <v>https://www.chatswoodinterchange.com/storages/2018/08/Sushi-World_666x448.jpg</v>
      </c>
    </row>
    <row r="2182" spans="1:13" x14ac:dyDescent="0.3">
      <c r="A2182" t="s">
        <v>2212</v>
      </c>
      <c r="B2182" s="1">
        <v>45515</v>
      </c>
      <c r="C2182" t="s">
        <v>43</v>
      </c>
      <c r="D2182" t="s">
        <v>25</v>
      </c>
      <c r="E2182">
        <v>32</v>
      </c>
      <c r="F2182" t="s">
        <v>15</v>
      </c>
      <c r="G2182">
        <v>926.21</v>
      </c>
      <c r="H2182">
        <v>57</v>
      </c>
      <c r="I2182" t="s">
        <v>16</v>
      </c>
      <c r="J2182">
        <v>2.7</v>
      </c>
      <c r="K2182" t="s">
        <v>41</v>
      </c>
      <c r="L2182" t="s">
        <v>18</v>
      </c>
      <c r="M2182" t="str">
        <f>VLOOKUP(D2186,Restaurant_Master!A:B,2,FALSE)</f>
        <v>https://dynamic-media-cdn.tripadvisor.com/media/photo-o/1c/e7/04/0d/front-of-the-local-easily.jpg</v>
      </c>
    </row>
    <row r="2183" spans="1:13" x14ac:dyDescent="0.3">
      <c r="A2183" t="s">
        <v>2213</v>
      </c>
      <c r="B2183" s="1">
        <v>45601</v>
      </c>
      <c r="C2183" t="s">
        <v>34</v>
      </c>
      <c r="D2183" t="s">
        <v>32</v>
      </c>
      <c r="E2183">
        <v>27</v>
      </c>
      <c r="F2183" t="s">
        <v>28</v>
      </c>
      <c r="G2183">
        <v>413.76</v>
      </c>
      <c r="H2183">
        <v>37</v>
      </c>
      <c r="I2183" t="s">
        <v>22</v>
      </c>
      <c r="J2183">
        <v>4.0999999999999996</v>
      </c>
      <c r="K2183" t="s">
        <v>26</v>
      </c>
      <c r="L2183" t="s">
        <v>18</v>
      </c>
      <c r="M2183" t="str">
        <f>VLOOKUP(D2187,Restaurant_Master!A:B,2,FALSE)</f>
        <v>https://media-cdn.tripadvisor.com/media/photo-s/1c/c7/97/b6/photo6jpg.jpg</v>
      </c>
    </row>
    <row r="2184" spans="1:13" x14ac:dyDescent="0.3">
      <c r="A2184" t="s">
        <v>2214</v>
      </c>
      <c r="B2184" s="1">
        <v>45601</v>
      </c>
      <c r="C2184" t="s">
        <v>34</v>
      </c>
      <c r="D2184" t="s">
        <v>38</v>
      </c>
      <c r="E2184">
        <v>47</v>
      </c>
      <c r="F2184" t="s">
        <v>28</v>
      </c>
      <c r="G2184">
        <v>182.01</v>
      </c>
      <c r="H2184">
        <v>35</v>
      </c>
      <c r="I2184" t="s">
        <v>22</v>
      </c>
      <c r="J2184">
        <v>3.6</v>
      </c>
      <c r="K2184" t="s">
        <v>17</v>
      </c>
      <c r="L2184" t="s">
        <v>23</v>
      </c>
      <c r="M2184" t="str">
        <f>VLOOKUP(D2188,Restaurant_Master!A:B,2,FALSE)</f>
        <v>https://media-cdn.tripadvisor.com/media/photo-s/1c/c7/97/b6/photo6jpg.jpg</v>
      </c>
    </row>
    <row r="2185" spans="1:13" x14ac:dyDescent="0.3">
      <c r="A2185" t="s">
        <v>2215</v>
      </c>
      <c r="B2185" s="1">
        <v>45413</v>
      </c>
      <c r="C2185" t="s">
        <v>43</v>
      </c>
      <c r="D2185" t="s">
        <v>38</v>
      </c>
      <c r="E2185">
        <v>45</v>
      </c>
      <c r="F2185" t="s">
        <v>28</v>
      </c>
      <c r="G2185">
        <v>393.7</v>
      </c>
      <c r="H2185">
        <v>41</v>
      </c>
      <c r="I2185" t="s">
        <v>16</v>
      </c>
      <c r="J2185">
        <v>5</v>
      </c>
      <c r="K2185" t="s">
        <v>29</v>
      </c>
      <c r="L2185" t="s">
        <v>18</v>
      </c>
      <c r="M2185" t="str">
        <f>VLOOKUP(D2189,Restaurant_Master!A:B,2,FALSE)</f>
        <v>https://content.jdmagicbox.com/comp/deoria/g6/9999p5568.5568.200119143033.m4g6/catalogue/biryani-house-deoria-ho-deoria-mktc2xph0o.jpg</v>
      </c>
    </row>
    <row r="2186" spans="1:13" x14ac:dyDescent="0.3">
      <c r="A2186" t="s">
        <v>2216</v>
      </c>
      <c r="B2186" s="1">
        <v>45480</v>
      </c>
      <c r="C2186" t="s">
        <v>36</v>
      </c>
      <c r="D2186" t="s">
        <v>21</v>
      </c>
      <c r="E2186">
        <v>32</v>
      </c>
      <c r="F2186" t="s">
        <v>15</v>
      </c>
      <c r="G2186">
        <v>183.74</v>
      </c>
      <c r="H2186">
        <v>27</v>
      </c>
      <c r="I2186" t="s">
        <v>22</v>
      </c>
      <c r="J2186">
        <v>3.8</v>
      </c>
      <c r="K2186" t="s">
        <v>41</v>
      </c>
      <c r="L2186" t="s">
        <v>18</v>
      </c>
      <c r="M2186" t="str">
        <f>VLOOKUP(D2190,Restaurant_Master!A:B,2,FALSE)</f>
        <v>https://media-cdn.tripadvisor.com/media/photo-s/1c/c7/97/b6/photo6jpg.jpg</v>
      </c>
    </row>
    <row r="2187" spans="1:13" x14ac:dyDescent="0.3">
      <c r="A2187" t="s">
        <v>2217</v>
      </c>
      <c r="B2187" s="1">
        <v>45490</v>
      </c>
      <c r="C2187" t="s">
        <v>34</v>
      </c>
      <c r="D2187" t="s">
        <v>25</v>
      </c>
      <c r="E2187">
        <v>47</v>
      </c>
      <c r="F2187" t="s">
        <v>28</v>
      </c>
      <c r="G2187">
        <v>561.83000000000004</v>
      </c>
      <c r="H2187">
        <v>39</v>
      </c>
      <c r="I2187" t="s">
        <v>22</v>
      </c>
      <c r="J2187">
        <v>3.7</v>
      </c>
      <c r="K2187" t="s">
        <v>29</v>
      </c>
      <c r="L2187" t="s">
        <v>18</v>
      </c>
      <c r="M2187" t="str">
        <f>VLOOKUP(D2191,Restaurant_Master!A:B,2,FALSE)</f>
        <v>https://content.jdmagicbox.com/comp/deoria/g6/9999p5568.5568.200119143033.m4g6/catalogue/biryani-house-deoria-ho-deoria-mktc2xph0o.jpg</v>
      </c>
    </row>
    <row r="2188" spans="1:13" x14ac:dyDescent="0.3">
      <c r="A2188" t="s">
        <v>2218</v>
      </c>
      <c r="B2188" s="1">
        <v>45532</v>
      </c>
      <c r="C2188" t="s">
        <v>36</v>
      </c>
      <c r="D2188" t="s">
        <v>25</v>
      </c>
      <c r="E2188">
        <v>53</v>
      </c>
      <c r="F2188" t="s">
        <v>28</v>
      </c>
      <c r="G2188">
        <v>1112.3499999999999</v>
      </c>
      <c r="H2188">
        <v>50</v>
      </c>
      <c r="I2188" t="s">
        <v>16</v>
      </c>
      <c r="J2188">
        <v>4.2</v>
      </c>
      <c r="K2188" t="s">
        <v>41</v>
      </c>
      <c r="L2188" t="s">
        <v>23</v>
      </c>
      <c r="M2188" t="str">
        <f>VLOOKUP(D2192,Restaurant_Master!A:B,2,FALSE)</f>
        <v>https://media-cdn.tripadvisor.com/media/photo-s/1c/c7/97/b6/photo6jpg.jpg</v>
      </c>
    </row>
    <row r="2189" spans="1:13" x14ac:dyDescent="0.3">
      <c r="A2189" t="s">
        <v>2219</v>
      </c>
      <c r="B2189" s="1">
        <v>45534</v>
      </c>
      <c r="C2189" t="s">
        <v>13</v>
      </c>
      <c r="D2189" t="s">
        <v>32</v>
      </c>
      <c r="E2189">
        <v>20</v>
      </c>
      <c r="F2189" t="s">
        <v>28</v>
      </c>
      <c r="G2189">
        <v>319.56</v>
      </c>
      <c r="H2189">
        <v>60</v>
      </c>
      <c r="I2189" t="s">
        <v>16</v>
      </c>
      <c r="J2189">
        <v>3.9</v>
      </c>
      <c r="K2189" t="s">
        <v>41</v>
      </c>
      <c r="L2189" t="s">
        <v>23</v>
      </c>
      <c r="M2189" t="str">
        <f>VLOOKUP(D2193,Restaurant_Master!A:B,2,FALSE)</f>
        <v>https://www.chatswoodinterchange.com/storages/2018/08/Sushi-World_666x448.jpg</v>
      </c>
    </row>
    <row r="2190" spans="1:13" x14ac:dyDescent="0.3">
      <c r="A2190" t="s">
        <v>2220</v>
      </c>
      <c r="B2190" s="1">
        <v>45647</v>
      </c>
      <c r="C2190" t="s">
        <v>13</v>
      </c>
      <c r="D2190" t="s">
        <v>25</v>
      </c>
      <c r="E2190">
        <v>39</v>
      </c>
      <c r="F2190" t="s">
        <v>28</v>
      </c>
      <c r="G2190">
        <v>983.95</v>
      </c>
      <c r="H2190">
        <v>37</v>
      </c>
      <c r="I2190" t="s">
        <v>22</v>
      </c>
      <c r="J2190">
        <v>4.4000000000000004</v>
      </c>
      <c r="K2190" t="s">
        <v>29</v>
      </c>
      <c r="L2190" t="s">
        <v>23</v>
      </c>
      <c r="M2190" t="str">
        <f>VLOOKUP(D2194,Restaurant_Master!A:B,2,FALSE)</f>
        <v>https://dynamic-media-cdn.tripadvisor.com/media/photo-o/1c/e7/04/0d/front-of-the-local-easily.jpg</v>
      </c>
    </row>
    <row r="2191" spans="1:13" x14ac:dyDescent="0.3">
      <c r="A2191" t="s">
        <v>2221</v>
      </c>
      <c r="B2191" s="1">
        <v>45550</v>
      </c>
      <c r="C2191" t="s">
        <v>20</v>
      </c>
      <c r="D2191" t="s">
        <v>32</v>
      </c>
      <c r="E2191">
        <v>20</v>
      </c>
      <c r="F2191" t="s">
        <v>28</v>
      </c>
      <c r="G2191">
        <v>886.95</v>
      </c>
      <c r="H2191">
        <v>41</v>
      </c>
      <c r="I2191" t="s">
        <v>16</v>
      </c>
      <c r="J2191">
        <v>3.9</v>
      </c>
      <c r="K2191" t="s">
        <v>41</v>
      </c>
      <c r="L2191" t="s">
        <v>23</v>
      </c>
      <c r="M2191" t="str">
        <f>VLOOKUP(D2195,Restaurant_Master!A:B,2,FALSE)</f>
        <v>https://www.chatswoodinterchange.com/storages/2018/08/Sushi-World_666x448.jpg</v>
      </c>
    </row>
    <row r="2192" spans="1:13" x14ac:dyDescent="0.3">
      <c r="A2192" t="s">
        <v>2222</v>
      </c>
      <c r="B2192" s="1">
        <v>45331</v>
      </c>
      <c r="C2192" t="s">
        <v>20</v>
      </c>
      <c r="D2192" t="s">
        <v>25</v>
      </c>
      <c r="E2192">
        <v>48</v>
      </c>
      <c r="F2192" t="s">
        <v>28</v>
      </c>
      <c r="G2192">
        <v>502.28</v>
      </c>
      <c r="H2192">
        <v>47</v>
      </c>
      <c r="I2192" t="s">
        <v>16</v>
      </c>
      <c r="J2192">
        <v>5</v>
      </c>
      <c r="K2192" t="s">
        <v>29</v>
      </c>
      <c r="L2192" t="s">
        <v>23</v>
      </c>
      <c r="M2192" t="str">
        <f>VLOOKUP(D2196,Restaurant_Master!A:B,2,FALSE)</f>
        <v>https://media-cdn.tripadvisor.com/media/photo-s/1c/c7/97/b6/photo6jpg.jpg</v>
      </c>
    </row>
    <row r="2193" spans="1:13" x14ac:dyDescent="0.3">
      <c r="A2193" t="s">
        <v>2223</v>
      </c>
      <c r="B2193" s="1">
        <v>45392</v>
      </c>
      <c r="C2193" t="s">
        <v>43</v>
      </c>
      <c r="D2193" t="s">
        <v>38</v>
      </c>
      <c r="E2193">
        <v>51</v>
      </c>
      <c r="F2193" t="s">
        <v>15</v>
      </c>
      <c r="G2193">
        <v>791.51</v>
      </c>
      <c r="H2193">
        <v>50</v>
      </c>
      <c r="I2193" t="s">
        <v>16</v>
      </c>
      <c r="J2193">
        <v>5</v>
      </c>
      <c r="K2193" t="s">
        <v>29</v>
      </c>
      <c r="L2193" t="s">
        <v>18</v>
      </c>
      <c r="M2193" t="str">
        <f>VLOOKUP(D2197,Restaurant_Master!A:B,2,FALSE)</f>
        <v>https://content.jdmagicbox.com/comp/deoria/g6/9999p5568.5568.200119143033.m4g6/catalogue/biryani-house-deoria-ho-deoria-mktc2xph0o.jpg</v>
      </c>
    </row>
    <row r="2194" spans="1:13" x14ac:dyDescent="0.3">
      <c r="A2194" t="s">
        <v>2224</v>
      </c>
      <c r="B2194" s="1">
        <v>45552</v>
      </c>
      <c r="C2194" t="s">
        <v>20</v>
      </c>
      <c r="D2194" t="s">
        <v>21</v>
      </c>
      <c r="E2194">
        <v>19</v>
      </c>
      <c r="F2194" t="s">
        <v>28</v>
      </c>
      <c r="G2194">
        <v>654.30999999999995</v>
      </c>
      <c r="H2194">
        <v>53</v>
      </c>
      <c r="I2194" t="s">
        <v>16</v>
      </c>
      <c r="J2194">
        <v>4.4000000000000004</v>
      </c>
      <c r="K2194" t="s">
        <v>41</v>
      </c>
      <c r="L2194" t="s">
        <v>18</v>
      </c>
      <c r="M2194" t="str">
        <f>VLOOKUP(D2198,Restaurant_Master!A:B,2,FALSE)</f>
        <v>https://content.jdmagicbox.com/comp/deoria/g6/9999p5568.5568.200119143033.m4g6/catalogue/biryani-house-deoria-ho-deoria-mktc2xph0o.jpg</v>
      </c>
    </row>
    <row r="2195" spans="1:13" x14ac:dyDescent="0.3">
      <c r="A2195" t="s">
        <v>2225</v>
      </c>
      <c r="B2195" s="1">
        <v>45364</v>
      </c>
      <c r="C2195" t="s">
        <v>36</v>
      </c>
      <c r="D2195" t="s">
        <v>38</v>
      </c>
      <c r="E2195">
        <v>55</v>
      </c>
      <c r="F2195" t="s">
        <v>15</v>
      </c>
      <c r="G2195">
        <v>572.74</v>
      </c>
      <c r="H2195">
        <v>45</v>
      </c>
      <c r="I2195" t="s">
        <v>16</v>
      </c>
      <c r="J2195">
        <v>2.8</v>
      </c>
      <c r="K2195" t="s">
        <v>41</v>
      </c>
      <c r="L2195" t="s">
        <v>18</v>
      </c>
      <c r="M2195" t="str">
        <f>VLOOKUP(D2199,Restaurant_Master!A:B,2,FALSE)</f>
        <v>https://content.jdmagicbox.com/comp/deoria/g6/9999p5568.5568.200119143033.m4g6/catalogue/biryani-house-deoria-ho-deoria-mktc2xph0o.jpg</v>
      </c>
    </row>
    <row r="2196" spans="1:13" x14ac:dyDescent="0.3">
      <c r="A2196" t="s">
        <v>2226</v>
      </c>
      <c r="B2196" s="1">
        <v>45323</v>
      </c>
      <c r="C2196" t="s">
        <v>36</v>
      </c>
      <c r="D2196" t="s">
        <v>25</v>
      </c>
      <c r="E2196">
        <v>27</v>
      </c>
      <c r="F2196" t="s">
        <v>15</v>
      </c>
      <c r="G2196">
        <v>888.32</v>
      </c>
      <c r="H2196">
        <v>48</v>
      </c>
      <c r="I2196" t="s">
        <v>16</v>
      </c>
      <c r="J2196">
        <v>3.1</v>
      </c>
      <c r="K2196" t="s">
        <v>29</v>
      </c>
      <c r="L2196" t="s">
        <v>23</v>
      </c>
      <c r="M2196" t="str">
        <f>VLOOKUP(D2200,Restaurant_Master!A:B,2,FALSE)</f>
        <v>https://content.jdmagicbox.com/comp/deoria/g6/9999p5568.5568.200119143033.m4g6/catalogue/biryani-house-deoria-ho-deoria-mktc2xph0o.jpg</v>
      </c>
    </row>
    <row r="2197" spans="1:13" x14ac:dyDescent="0.3">
      <c r="A2197" t="s">
        <v>2227</v>
      </c>
      <c r="B2197" s="1">
        <v>45648</v>
      </c>
      <c r="C2197" t="s">
        <v>34</v>
      </c>
      <c r="D2197" t="s">
        <v>32</v>
      </c>
      <c r="E2197">
        <v>51</v>
      </c>
      <c r="F2197" t="s">
        <v>28</v>
      </c>
      <c r="G2197">
        <v>824.88</v>
      </c>
      <c r="H2197">
        <v>53</v>
      </c>
      <c r="I2197" t="s">
        <v>16</v>
      </c>
      <c r="J2197">
        <v>2.9</v>
      </c>
      <c r="K2197" t="s">
        <v>41</v>
      </c>
      <c r="L2197" t="s">
        <v>23</v>
      </c>
      <c r="M2197" t="str">
        <f>VLOOKUP(D2201,Restaurant_Master!A:B,2,FALSE)</f>
        <v>https://dynamic-media-cdn.tripadvisor.com/media/photo-o/1c/e7/04/0d/front-of-the-local-easily.jpg</v>
      </c>
    </row>
    <row r="2198" spans="1:13" x14ac:dyDescent="0.3">
      <c r="A2198" t="s">
        <v>2228</v>
      </c>
      <c r="B2198" s="1">
        <v>45633</v>
      </c>
      <c r="C2198" t="s">
        <v>43</v>
      </c>
      <c r="D2198" t="s">
        <v>32</v>
      </c>
      <c r="E2198">
        <v>39</v>
      </c>
      <c r="F2198" t="s">
        <v>28</v>
      </c>
      <c r="G2198">
        <v>963.29</v>
      </c>
      <c r="H2198">
        <v>30</v>
      </c>
      <c r="I2198" t="s">
        <v>22</v>
      </c>
      <c r="J2198">
        <v>3.6</v>
      </c>
      <c r="K2198" t="s">
        <v>29</v>
      </c>
      <c r="L2198" t="s">
        <v>18</v>
      </c>
      <c r="M2198" t="str">
        <f>VLOOKUP(D2202,Restaurant_Master!A:B,2,FALSE)</f>
        <v>https://www.chatswoodinterchange.com/storages/2018/08/Sushi-World_666x448.jpg</v>
      </c>
    </row>
    <row r="2199" spans="1:13" x14ac:dyDescent="0.3">
      <c r="A2199" t="s">
        <v>2229</v>
      </c>
      <c r="B2199" s="1">
        <v>45367</v>
      </c>
      <c r="C2199" t="s">
        <v>43</v>
      </c>
      <c r="D2199" t="s">
        <v>32</v>
      </c>
      <c r="E2199">
        <v>44</v>
      </c>
      <c r="F2199" t="s">
        <v>15</v>
      </c>
      <c r="G2199">
        <v>1068.8900000000001</v>
      </c>
      <c r="H2199">
        <v>30</v>
      </c>
      <c r="I2199" t="s">
        <v>22</v>
      </c>
      <c r="J2199">
        <v>3.1</v>
      </c>
      <c r="K2199" t="s">
        <v>17</v>
      </c>
      <c r="L2199" t="s">
        <v>18</v>
      </c>
      <c r="M2199" t="str">
        <f>VLOOKUP(D2203,Restaurant_Master!A:B,2,FALSE)</f>
        <v>https://media-cdn.tripadvisor.com/media/photo-s/1c/c7/97/b6/photo6jpg.jpg</v>
      </c>
    </row>
    <row r="2200" spans="1:13" x14ac:dyDescent="0.3">
      <c r="A2200" t="s">
        <v>2230</v>
      </c>
      <c r="B2200" s="1">
        <v>45409</v>
      </c>
      <c r="C2200" t="s">
        <v>43</v>
      </c>
      <c r="D2200" t="s">
        <v>32</v>
      </c>
      <c r="E2200">
        <v>37</v>
      </c>
      <c r="F2200" t="s">
        <v>15</v>
      </c>
      <c r="G2200">
        <v>1121.71</v>
      </c>
      <c r="H2200">
        <v>51</v>
      </c>
      <c r="I2200" t="s">
        <v>16</v>
      </c>
      <c r="J2200">
        <v>4.5999999999999996</v>
      </c>
      <c r="K2200" t="s">
        <v>17</v>
      </c>
      <c r="L2200" t="s">
        <v>18</v>
      </c>
      <c r="M2200" t="str">
        <f>VLOOKUP(D2204,Restaurant_Master!A:B,2,FALSE)</f>
        <v>https://media-cdn.tripadvisor.com/media/photo-s/1c/c7/97/b6/photo6jpg.jpg</v>
      </c>
    </row>
    <row r="2201" spans="1:13" x14ac:dyDescent="0.3">
      <c r="A2201" t="s">
        <v>2231</v>
      </c>
      <c r="B2201" s="1">
        <v>45432</v>
      </c>
      <c r="C2201" t="s">
        <v>34</v>
      </c>
      <c r="D2201" t="s">
        <v>21</v>
      </c>
      <c r="E2201">
        <v>27</v>
      </c>
      <c r="F2201" t="s">
        <v>28</v>
      </c>
      <c r="G2201">
        <v>278.27</v>
      </c>
      <c r="H2201">
        <v>27</v>
      </c>
      <c r="I2201" t="s">
        <v>22</v>
      </c>
      <c r="J2201">
        <v>4</v>
      </c>
      <c r="K2201" t="s">
        <v>26</v>
      </c>
      <c r="L2201" t="s">
        <v>18</v>
      </c>
      <c r="M2201" t="str">
        <f>VLOOKUP(D2205,Restaurant_Master!A:B,2,FALSE)</f>
        <v>https://content.jdmagicbox.com/comp/deoria/g6/9999p5568.5568.200119143033.m4g6/catalogue/biryani-house-deoria-ho-deoria-mktc2xph0o.jpg</v>
      </c>
    </row>
    <row r="2202" spans="1:13" x14ac:dyDescent="0.3">
      <c r="A2202" t="s">
        <v>2232</v>
      </c>
      <c r="B2202" s="1">
        <v>45369</v>
      </c>
      <c r="C2202" t="s">
        <v>13</v>
      </c>
      <c r="D2202" t="s">
        <v>38</v>
      </c>
      <c r="E2202">
        <v>23</v>
      </c>
      <c r="F2202" t="s">
        <v>28</v>
      </c>
      <c r="G2202">
        <v>939.59</v>
      </c>
      <c r="H2202">
        <v>25</v>
      </c>
      <c r="I2202" t="s">
        <v>22</v>
      </c>
      <c r="J2202">
        <v>4</v>
      </c>
      <c r="K2202" t="s">
        <v>26</v>
      </c>
      <c r="L2202" t="s">
        <v>23</v>
      </c>
      <c r="M2202" t="str">
        <f>VLOOKUP(D2206,Restaurant_Master!A:B,2,FALSE)</f>
        <v>https://dineout-media-assets.swiggy.com/swiggy/image/upload/fl_lossy,f_auto,q_auto/v1660793737/fdqxvxcxg1wtdwvyv45v.jpg</v>
      </c>
    </row>
    <row r="2203" spans="1:13" x14ac:dyDescent="0.3">
      <c r="A2203" t="s">
        <v>2233</v>
      </c>
      <c r="B2203" s="1">
        <v>45564</v>
      </c>
      <c r="C2203" t="s">
        <v>34</v>
      </c>
      <c r="D2203" t="s">
        <v>25</v>
      </c>
      <c r="E2203">
        <v>52</v>
      </c>
      <c r="F2203" t="s">
        <v>28</v>
      </c>
      <c r="G2203">
        <v>815.49</v>
      </c>
      <c r="H2203">
        <v>42</v>
      </c>
      <c r="I2203" t="s">
        <v>16</v>
      </c>
      <c r="J2203">
        <v>3.4</v>
      </c>
      <c r="K2203" t="s">
        <v>29</v>
      </c>
      <c r="L2203" t="s">
        <v>23</v>
      </c>
      <c r="M2203" t="str">
        <f>VLOOKUP(D2207,Restaurant_Master!A:B,2,FALSE)</f>
        <v>https://dynamic-media-cdn.tripadvisor.com/media/photo-o/1c/e7/04/0d/front-of-the-local-easily.jpg</v>
      </c>
    </row>
    <row r="2204" spans="1:13" x14ac:dyDescent="0.3">
      <c r="A2204" t="s">
        <v>2234</v>
      </c>
      <c r="B2204" s="1">
        <v>45502</v>
      </c>
      <c r="C2204" t="s">
        <v>36</v>
      </c>
      <c r="D2204" t="s">
        <v>25</v>
      </c>
      <c r="E2204">
        <v>45</v>
      </c>
      <c r="F2204" t="s">
        <v>15</v>
      </c>
      <c r="G2204">
        <v>207.52</v>
      </c>
      <c r="H2204">
        <v>52</v>
      </c>
      <c r="I2204" t="s">
        <v>16</v>
      </c>
      <c r="J2204">
        <v>3.2</v>
      </c>
      <c r="K2204" t="s">
        <v>26</v>
      </c>
      <c r="L2204" t="s">
        <v>18</v>
      </c>
      <c r="M2204" t="str">
        <f>VLOOKUP(D2208,Restaurant_Master!A:B,2,FALSE)</f>
        <v>https://www.chatswoodinterchange.com/storages/2018/08/Sushi-World_666x448.jpg</v>
      </c>
    </row>
    <row r="2205" spans="1:13" x14ac:dyDescent="0.3">
      <c r="A2205" t="s">
        <v>2235</v>
      </c>
      <c r="B2205" s="1">
        <v>45407</v>
      </c>
      <c r="C2205" t="s">
        <v>36</v>
      </c>
      <c r="D2205" t="s">
        <v>32</v>
      </c>
      <c r="E2205">
        <v>44</v>
      </c>
      <c r="F2205" t="s">
        <v>15</v>
      </c>
      <c r="G2205">
        <v>554.86</v>
      </c>
      <c r="H2205">
        <v>22</v>
      </c>
      <c r="I2205" t="s">
        <v>22</v>
      </c>
      <c r="J2205">
        <v>4.7</v>
      </c>
      <c r="K2205" t="s">
        <v>29</v>
      </c>
      <c r="L2205" t="s">
        <v>18</v>
      </c>
      <c r="M2205" t="str">
        <f>VLOOKUP(D2209,Restaurant_Master!A:B,2,FALSE)</f>
        <v>https://www.chatswoodinterchange.com/storages/2018/08/Sushi-World_666x448.jpg</v>
      </c>
    </row>
    <row r="2206" spans="1:13" x14ac:dyDescent="0.3">
      <c r="A2206" t="s">
        <v>2236</v>
      </c>
      <c r="B2206" s="1">
        <v>45537</v>
      </c>
      <c r="C2206" t="s">
        <v>34</v>
      </c>
      <c r="D2206" t="s">
        <v>14</v>
      </c>
      <c r="E2206">
        <v>58</v>
      </c>
      <c r="F2206" t="s">
        <v>28</v>
      </c>
      <c r="G2206">
        <v>1123.21</v>
      </c>
      <c r="H2206">
        <v>29</v>
      </c>
      <c r="I2206" t="s">
        <v>22</v>
      </c>
      <c r="J2206">
        <v>4.5999999999999996</v>
      </c>
      <c r="K2206" t="s">
        <v>17</v>
      </c>
      <c r="L2206" t="s">
        <v>23</v>
      </c>
      <c r="M2206" t="str">
        <f>VLOOKUP(D2210,Restaurant_Master!A:B,2,FALSE)</f>
        <v>https://media-cdn.tripadvisor.com/media/photo-s/1c/c7/97/b6/photo6jpg.jpg</v>
      </c>
    </row>
    <row r="2207" spans="1:13" x14ac:dyDescent="0.3">
      <c r="A2207" t="s">
        <v>2237</v>
      </c>
      <c r="B2207" s="1">
        <v>45576</v>
      </c>
      <c r="C2207" t="s">
        <v>36</v>
      </c>
      <c r="D2207" t="s">
        <v>21</v>
      </c>
      <c r="E2207">
        <v>42</v>
      </c>
      <c r="F2207" t="s">
        <v>28</v>
      </c>
      <c r="G2207">
        <v>739.5</v>
      </c>
      <c r="H2207">
        <v>31</v>
      </c>
      <c r="I2207" t="s">
        <v>22</v>
      </c>
      <c r="J2207">
        <v>3.1</v>
      </c>
      <c r="K2207" t="s">
        <v>26</v>
      </c>
      <c r="L2207" t="s">
        <v>23</v>
      </c>
      <c r="M2207" t="str">
        <f>VLOOKUP(D2211,Restaurant_Master!A:B,2,FALSE)</f>
        <v>https://media-cdn.tripadvisor.com/media/photo-s/1c/c7/97/b6/photo6jpg.jpg</v>
      </c>
    </row>
    <row r="2208" spans="1:13" x14ac:dyDescent="0.3">
      <c r="A2208" t="s">
        <v>2238</v>
      </c>
      <c r="B2208" s="1">
        <v>45336</v>
      </c>
      <c r="C2208" t="s">
        <v>20</v>
      </c>
      <c r="D2208" t="s">
        <v>38</v>
      </c>
      <c r="E2208">
        <v>18</v>
      </c>
      <c r="F2208" t="s">
        <v>28</v>
      </c>
      <c r="G2208">
        <v>492.84</v>
      </c>
      <c r="H2208">
        <v>46</v>
      </c>
      <c r="I2208" t="s">
        <v>16</v>
      </c>
      <c r="J2208">
        <v>2.7</v>
      </c>
      <c r="K2208" t="s">
        <v>17</v>
      </c>
      <c r="L2208" t="s">
        <v>18</v>
      </c>
      <c r="M2208" t="str">
        <f>VLOOKUP(D2212,Restaurant_Master!A:B,2,FALSE)</f>
        <v>https://media-cdn.tripadvisor.com/media/photo-s/1c/c7/97/b6/photo6jpg.jpg</v>
      </c>
    </row>
    <row r="2209" spans="1:13" x14ac:dyDescent="0.3">
      <c r="A2209" t="s">
        <v>2239</v>
      </c>
      <c r="B2209" s="1">
        <v>45531</v>
      </c>
      <c r="C2209" t="s">
        <v>20</v>
      </c>
      <c r="D2209" t="s">
        <v>38</v>
      </c>
      <c r="E2209">
        <v>35</v>
      </c>
      <c r="F2209" t="s">
        <v>15</v>
      </c>
      <c r="G2209">
        <v>314.16000000000003</v>
      </c>
      <c r="H2209">
        <v>31</v>
      </c>
      <c r="I2209" t="s">
        <v>22</v>
      </c>
      <c r="J2209">
        <v>4.8</v>
      </c>
      <c r="K2209" t="s">
        <v>29</v>
      </c>
      <c r="L2209" t="s">
        <v>23</v>
      </c>
      <c r="M2209" t="str">
        <f>VLOOKUP(D2213,Restaurant_Master!A:B,2,FALSE)</f>
        <v>https://www.chatswoodinterchange.com/storages/2018/08/Sushi-World_666x448.jpg</v>
      </c>
    </row>
    <row r="2210" spans="1:13" x14ac:dyDescent="0.3">
      <c r="A2210" t="s">
        <v>2240</v>
      </c>
      <c r="B2210" s="1">
        <v>45406</v>
      </c>
      <c r="C2210" t="s">
        <v>13</v>
      </c>
      <c r="D2210" t="s">
        <v>25</v>
      </c>
      <c r="E2210">
        <v>58</v>
      </c>
      <c r="F2210" t="s">
        <v>28</v>
      </c>
      <c r="G2210">
        <v>198.18</v>
      </c>
      <c r="H2210">
        <v>39</v>
      </c>
      <c r="I2210" t="s">
        <v>22</v>
      </c>
      <c r="J2210">
        <v>4.3</v>
      </c>
      <c r="K2210" t="s">
        <v>29</v>
      </c>
      <c r="L2210" t="s">
        <v>23</v>
      </c>
      <c r="M2210" t="str">
        <f>VLOOKUP(D2214,Restaurant_Master!A:B,2,FALSE)</f>
        <v>https://dineout-media-assets.swiggy.com/swiggy/image/upload/fl_lossy,f_auto,q_auto/v1660793737/fdqxvxcxg1wtdwvyv45v.jpg</v>
      </c>
    </row>
    <row r="2211" spans="1:13" x14ac:dyDescent="0.3">
      <c r="A2211" t="s">
        <v>2241</v>
      </c>
      <c r="B2211" s="1">
        <v>45527</v>
      </c>
      <c r="C2211" t="s">
        <v>36</v>
      </c>
      <c r="D2211" t="s">
        <v>25</v>
      </c>
      <c r="E2211">
        <v>20</v>
      </c>
      <c r="F2211" t="s">
        <v>28</v>
      </c>
      <c r="G2211">
        <v>1064.3900000000001</v>
      </c>
      <c r="H2211">
        <v>54</v>
      </c>
      <c r="I2211" t="s">
        <v>16</v>
      </c>
      <c r="J2211">
        <v>4.2</v>
      </c>
      <c r="K2211" t="s">
        <v>26</v>
      </c>
      <c r="L2211" t="s">
        <v>18</v>
      </c>
      <c r="M2211" t="str">
        <f>VLOOKUP(D2215,Restaurant_Master!A:B,2,FALSE)</f>
        <v>https://www.chatswoodinterchange.com/storages/2018/08/Sushi-World_666x448.jpg</v>
      </c>
    </row>
    <row r="2212" spans="1:13" x14ac:dyDescent="0.3">
      <c r="A2212" t="s">
        <v>2242</v>
      </c>
      <c r="B2212" s="1">
        <v>45453</v>
      </c>
      <c r="C2212" t="s">
        <v>36</v>
      </c>
      <c r="D2212" t="s">
        <v>25</v>
      </c>
      <c r="E2212">
        <v>19</v>
      </c>
      <c r="F2212" t="s">
        <v>28</v>
      </c>
      <c r="G2212">
        <v>424.11</v>
      </c>
      <c r="H2212">
        <v>34</v>
      </c>
      <c r="I2212" t="s">
        <v>22</v>
      </c>
      <c r="J2212">
        <v>3</v>
      </c>
      <c r="K2212" t="s">
        <v>29</v>
      </c>
      <c r="L2212" t="s">
        <v>18</v>
      </c>
      <c r="M2212" t="str">
        <f>VLOOKUP(D2216,Restaurant_Master!A:B,2,FALSE)</f>
        <v>https://www.chatswoodinterchange.com/storages/2018/08/Sushi-World_666x448.jpg</v>
      </c>
    </row>
    <row r="2213" spans="1:13" x14ac:dyDescent="0.3">
      <c r="A2213" t="s">
        <v>2243</v>
      </c>
      <c r="B2213" s="1">
        <v>45641</v>
      </c>
      <c r="C2213" t="s">
        <v>13</v>
      </c>
      <c r="D2213" t="s">
        <v>38</v>
      </c>
      <c r="E2213">
        <v>49</v>
      </c>
      <c r="F2213" t="s">
        <v>28</v>
      </c>
      <c r="G2213">
        <v>605.21</v>
      </c>
      <c r="H2213">
        <v>25</v>
      </c>
      <c r="I2213" t="s">
        <v>22</v>
      </c>
      <c r="J2213">
        <v>3.3</v>
      </c>
      <c r="K2213" t="s">
        <v>29</v>
      </c>
      <c r="L2213" t="s">
        <v>18</v>
      </c>
      <c r="M2213" t="str">
        <f>VLOOKUP(D2217,Restaurant_Master!A:B,2,FALSE)</f>
        <v>https://content.jdmagicbox.com/comp/deoria/g6/9999p5568.5568.200119143033.m4g6/catalogue/biryani-house-deoria-ho-deoria-mktc2xph0o.jpg</v>
      </c>
    </row>
    <row r="2214" spans="1:13" x14ac:dyDescent="0.3">
      <c r="A2214" t="s">
        <v>2244</v>
      </c>
      <c r="B2214" s="1">
        <v>45473</v>
      </c>
      <c r="C2214" t="s">
        <v>43</v>
      </c>
      <c r="D2214" t="s">
        <v>14</v>
      </c>
      <c r="E2214">
        <v>54</v>
      </c>
      <c r="F2214" t="s">
        <v>15</v>
      </c>
      <c r="G2214">
        <v>454.04</v>
      </c>
      <c r="H2214">
        <v>29</v>
      </c>
      <c r="I2214" t="s">
        <v>22</v>
      </c>
      <c r="J2214">
        <v>3.3</v>
      </c>
      <c r="K2214" t="s">
        <v>26</v>
      </c>
      <c r="L2214" t="s">
        <v>23</v>
      </c>
      <c r="M2214" t="str">
        <f>VLOOKUP(D2218,Restaurant_Master!A:B,2,FALSE)</f>
        <v>https://www.chatswoodinterchange.com/storages/2018/08/Sushi-World_666x448.jpg</v>
      </c>
    </row>
    <row r="2215" spans="1:13" x14ac:dyDescent="0.3">
      <c r="A2215" t="s">
        <v>2245</v>
      </c>
      <c r="B2215" s="1">
        <v>45605</v>
      </c>
      <c r="C2215" t="s">
        <v>36</v>
      </c>
      <c r="D2215" t="s">
        <v>38</v>
      </c>
      <c r="E2215">
        <v>28</v>
      </c>
      <c r="F2215" t="s">
        <v>28</v>
      </c>
      <c r="G2215">
        <v>735.71</v>
      </c>
      <c r="H2215">
        <v>34</v>
      </c>
      <c r="I2215" t="s">
        <v>22</v>
      </c>
      <c r="J2215">
        <v>4.8</v>
      </c>
      <c r="K2215" t="s">
        <v>29</v>
      </c>
      <c r="L2215" t="s">
        <v>23</v>
      </c>
      <c r="M2215" t="str">
        <f>VLOOKUP(D2219,Restaurant_Master!A:B,2,FALSE)</f>
        <v>https://dynamic-media-cdn.tripadvisor.com/media/photo-o/1c/e7/04/0d/front-of-the-local-easily.jpg</v>
      </c>
    </row>
    <row r="2216" spans="1:13" x14ac:dyDescent="0.3">
      <c r="A2216" t="s">
        <v>2246</v>
      </c>
      <c r="B2216" s="1">
        <v>45630</v>
      </c>
      <c r="C2216" t="s">
        <v>20</v>
      </c>
      <c r="D2216" t="s">
        <v>38</v>
      </c>
      <c r="E2216">
        <v>58</v>
      </c>
      <c r="F2216" t="s">
        <v>15</v>
      </c>
      <c r="G2216">
        <v>170.2</v>
      </c>
      <c r="H2216">
        <v>44</v>
      </c>
      <c r="I2216" t="s">
        <v>16</v>
      </c>
      <c r="J2216">
        <v>4.4000000000000004</v>
      </c>
      <c r="K2216" t="s">
        <v>29</v>
      </c>
      <c r="L2216" t="s">
        <v>18</v>
      </c>
      <c r="M2216" t="str">
        <f>VLOOKUP(D2220,Restaurant_Master!A:B,2,FALSE)</f>
        <v>https://dynamic-media-cdn.tripadvisor.com/media/photo-o/1c/e7/04/0d/front-of-the-local-easily.jpg</v>
      </c>
    </row>
    <row r="2217" spans="1:13" x14ac:dyDescent="0.3">
      <c r="A2217" t="s">
        <v>2247</v>
      </c>
      <c r="B2217" s="1">
        <v>45349</v>
      </c>
      <c r="C2217" t="s">
        <v>34</v>
      </c>
      <c r="D2217" t="s">
        <v>32</v>
      </c>
      <c r="E2217">
        <v>20</v>
      </c>
      <c r="F2217" t="s">
        <v>28</v>
      </c>
      <c r="G2217">
        <v>747.32</v>
      </c>
      <c r="H2217">
        <v>28</v>
      </c>
      <c r="I2217" t="s">
        <v>22</v>
      </c>
      <c r="J2217">
        <v>3.9</v>
      </c>
      <c r="K2217" t="s">
        <v>26</v>
      </c>
      <c r="L2217" t="s">
        <v>23</v>
      </c>
      <c r="M2217" t="str">
        <f>VLOOKUP(D2221,Restaurant_Master!A:B,2,FALSE)</f>
        <v>https://dynamic-media-cdn.tripadvisor.com/media/photo-o/1c/e7/04/0d/front-of-the-local-easily.jpg</v>
      </c>
    </row>
    <row r="2218" spans="1:13" x14ac:dyDescent="0.3">
      <c r="A2218" t="s">
        <v>2248</v>
      </c>
      <c r="B2218" s="1">
        <v>45445</v>
      </c>
      <c r="C2218" t="s">
        <v>13</v>
      </c>
      <c r="D2218" t="s">
        <v>38</v>
      </c>
      <c r="E2218">
        <v>56</v>
      </c>
      <c r="F2218" t="s">
        <v>15</v>
      </c>
      <c r="G2218">
        <v>856.3</v>
      </c>
      <c r="H2218">
        <v>45</v>
      </c>
      <c r="I2218" t="s">
        <v>16</v>
      </c>
      <c r="J2218">
        <v>5</v>
      </c>
      <c r="K2218" t="s">
        <v>29</v>
      </c>
      <c r="L2218" t="s">
        <v>23</v>
      </c>
      <c r="M2218" t="str">
        <f>VLOOKUP(D2222,Restaurant_Master!A:B,2,FALSE)</f>
        <v>https://media-cdn.tripadvisor.com/media/photo-s/1c/c7/97/b6/photo6jpg.jpg</v>
      </c>
    </row>
    <row r="2219" spans="1:13" x14ac:dyDescent="0.3">
      <c r="A2219" t="s">
        <v>2249</v>
      </c>
      <c r="B2219" s="1">
        <v>45334</v>
      </c>
      <c r="C2219" t="s">
        <v>43</v>
      </c>
      <c r="D2219" t="s">
        <v>21</v>
      </c>
      <c r="E2219">
        <v>33</v>
      </c>
      <c r="F2219" t="s">
        <v>28</v>
      </c>
      <c r="G2219">
        <v>445.47</v>
      </c>
      <c r="H2219">
        <v>26</v>
      </c>
      <c r="I2219" t="s">
        <v>22</v>
      </c>
      <c r="J2219">
        <v>3.1</v>
      </c>
      <c r="K2219" t="s">
        <v>17</v>
      </c>
      <c r="L2219" t="s">
        <v>18</v>
      </c>
      <c r="M2219" t="str">
        <f>VLOOKUP(D2223,Restaurant_Master!A:B,2,FALSE)</f>
        <v>https://www.chatswoodinterchange.com/storages/2018/08/Sushi-World_666x448.jpg</v>
      </c>
    </row>
    <row r="2220" spans="1:13" x14ac:dyDescent="0.3">
      <c r="A2220" t="s">
        <v>2250</v>
      </c>
      <c r="B2220" s="1">
        <v>45296</v>
      </c>
      <c r="C2220" t="s">
        <v>34</v>
      </c>
      <c r="D2220" t="s">
        <v>21</v>
      </c>
      <c r="E2220">
        <v>52</v>
      </c>
      <c r="F2220" t="s">
        <v>15</v>
      </c>
      <c r="G2220">
        <v>252.55</v>
      </c>
      <c r="H2220">
        <v>60</v>
      </c>
      <c r="I2220" t="s">
        <v>16</v>
      </c>
      <c r="J2220">
        <v>3.9</v>
      </c>
      <c r="K2220" t="s">
        <v>17</v>
      </c>
      <c r="L2220" t="s">
        <v>18</v>
      </c>
      <c r="M2220" t="str">
        <f>VLOOKUP(D2224,Restaurant_Master!A:B,2,FALSE)</f>
        <v>https://media-cdn.tripadvisor.com/media/photo-s/1c/c7/97/b6/photo6jpg.jpg</v>
      </c>
    </row>
    <row r="2221" spans="1:13" x14ac:dyDescent="0.3">
      <c r="A2221" t="s">
        <v>2251</v>
      </c>
      <c r="B2221" s="1">
        <v>45298</v>
      </c>
      <c r="C2221" t="s">
        <v>20</v>
      </c>
      <c r="D2221" t="s">
        <v>21</v>
      </c>
      <c r="E2221">
        <v>21</v>
      </c>
      <c r="F2221" t="s">
        <v>28</v>
      </c>
      <c r="G2221">
        <v>594.69000000000005</v>
      </c>
      <c r="H2221">
        <v>33</v>
      </c>
      <c r="I2221" t="s">
        <v>22</v>
      </c>
      <c r="J2221">
        <v>4.5999999999999996</v>
      </c>
      <c r="K2221" t="s">
        <v>41</v>
      </c>
      <c r="L2221" t="s">
        <v>23</v>
      </c>
      <c r="M2221" t="str">
        <f>VLOOKUP(D2225,Restaurant_Master!A:B,2,FALSE)</f>
        <v>https://media-cdn.tripadvisor.com/media/photo-s/1c/c7/97/b6/photo6jpg.jpg</v>
      </c>
    </row>
    <row r="2222" spans="1:13" x14ac:dyDescent="0.3">
      <c r="A2222" t="s">
        <v>2252</v>
      </c>
      <c r="B2222" s="1">
        <v>45455</v>
      </c>
      <c r="C2222" t="s">
        <v>13</v>
      </c>
      <c r="D2222" t="s">
        <v>25</v>
      </c>
      <c r="E2222">
        <v>49</v>
      </c>
      <c r="F2222" t="s">
        <v>15</v>
      </c>
      <c r="G2222">
        <v>1171.43</v>
      </c>
      <c r="H2222">
        <v>49</v>
      </c>
      <c r="I2222" t="s">
        <v>16</v>
      </c>
      <c r="J2222">
        <v>4.5</v>
      </c>
      <c r="K2222" t="s">
        <v>29</v>
      </c>
      <c r="L2222" t="s">
        <v>23</v>
      </c>
      <c r="M2222" t="str">
        <f>VLOOKUP(D2226,Restaurant_Master!A:B,2,FALSE)</f>
        <v>https://content.jdmagicbox.com/comp/deoria/g6/9999p5568.5568.200119143033.m4g6/catalogue/biryani-house-deoria-ho-deoria-mktc2xph0o.jpg</v>
      </c>
    </row>
    <row r="2223" spans="1:13" x14ac:dyDescent="0.3">
      <c r="A2223" t="s">
        <v>2253</v>
      </c>
      <c r="B2223" s="1">
        <v>45420</v>
      </c>
      <c r="C2223" t="s">
        <v>34</v>
      </c>
      <c r="D2223" t="s">
        <v>38</v>
      </c>
      <c r="E2223">
        <v>35</v>
      </c>
      <c r="F2223" t="s">
        <v>15</v>
      </c>
      <c r="G2223">
        <v>1042.98</v>
      </c>
      <c r="H2223">
        <v>39</v>
      </c>
      <c r="I2223" t="s">
        <v>22</v>
      </c>
      <c r="J2223">
        <v>4.2</v>
      </c>
      <c r="K2223" t="s">
        <v>41</v>
      </c>
      <c r="L2223" t="s">
        <v>18</v>
      </c>
      <c r="M2223" t="str">
        <f>VLOOKUP(D2227,Restaurant_Master!A:B,2,FALSE)</f>
        <v>https://www.chatswoodinterchange.com/storages/2018/08/Sushi-World_666x448.jpg</v>
      </c>
    </row>
    <row r="2224" spans="1:13" x14ac:dyDescent="0.3">
      <c r="A2224" t="s">
        <v>2254</v>
      </c>
      <c r="B2224" s="1">
        <v>45607</v>
      </c>
      <c r="C2224" t="s">
        <v>13</v>
      </c>
      <c r="D2224" t="s">
        <v>25</v>
      </c>
      <c r="E2224">
        <v>32</v>
      </c>
      <c r="F2224" t="s">
        <v>15</v>
      </c>
      <c r="G2224">
        <v>1172.4100000000001</v>
      </c>
      <c r="H2224">
        <v>24</v>
      </c>
      <c r="I2224" t="s">
        <v>22</v>
      </c>
      <c r="J2224">
        <v>2.6</v>
      </c>
      <c r="K2224" t="s">
        <v>41</v>
      </c>
      <c r="L2224" t="s">
        <v>23</v>
      </c>
      <c r="M2224" t="str">
        <f>VLOOKUP(D2228,Restaurant_Master!A:B,2,FALSE)</f>
        <v>https://dineout-media-assets.swiggy.com/swiggy/image/upload/fl_lossy,f_auto,q_auto/v1660793737/fdqxvxcxg1wtdwvyv45v.jpg</v>
      </c>
    </row>
    <row r="2225" spans="1:13" x14ac:dyDescent="0.3">
      <c r="A2225" t="s">
        <v>2255</v>
      </c>
      <c r="B2225" s="1">
        <v>45654</v>
      </c>
      <c r="C2225" t="s">
        <v>20</v>
      </c>
      <c r="D2225" t="s">
        <v>25</v>
      </c>
      <c r="E2225">
        <v>50</v>
      </c>
      <c r="F2225" t="s">
        <v>15</v>
      </c>
      <c r="G2225">
        <v>254.44</v>
      </c>
      <c r="H2225">
        <v>28</v>
      </c>
      <c r="I2225" t="s">
        <v>22</v>
      </c>
      <c r="J2225">
        <v>3.1</v>
      </c>
      <c r="K2225" t="s">
        <v>29</v>
      </c>
      <c r="L2225" t="s">
        <v>23</v>
      </c>
      <c r="M2225" t="str">
        <f>VLOOKUP(D2229,Restaurant_Master!A:B,2,FALSE)</f>
        <v>https://content.jdmagicbox.com/comp/deoria/g6/9999p5568.5568.200119143033.m4g6/catalogue/biryani-house-deoria-ho-deoria-mktc2xph0o.jpg</v>
      </c>
    </row>
    <row r="2226" spans="1:13" x14ac:dyDescent="0.3">
      <c r="A2226" t="s">
        <v>2256</v>
      </c>
      <c r="B2226" s="1">
        <v>45302</v>
      </c>
      <c r="C2226" t="s">
        <v>36</v>
      </c>
      <c r="D2226" t="s">
        <v>32</v>
      </c>
      <c r="E2226">
        <v>29</v>
      </c>
      <c r="F2226" t="s">
        <v>28</v>
      </c>
      <c r="G2226">
        <v>256.93</v>
      </c>
      <c r="H2226">
        <v>22</v>
      </c>
      <c r="I2226" t="s">
        <v>22</v>
      </c>
      <c r="J2226">
        <v>4.2</v>
      </c>
      <c r="K2226" t="s">
        <v>29</v>
      </c>
      <c r="L2226" t="s">
        <v>18</v>
      </c>
      <c r="M2226" t="str">
        <f>VLOOKUP(D2230,Restaurant_Master!A:B,2,FALSE)</f>
        <v>https://dineout-media-assets.swiggy.com/swiggy/image/upload/fl_lossy,f_auto,q_auto/v1660793737/fdqxvxcxg1wtdwvyv45v.jpg</v>
      </c>
    </row>
    <row r="2227" spans="1:13" x14ac:dyDescent="0.3">
      <c r="A2227" t="s">
        <v>2257</v>
      </c>
      <c r="B2227" s="1">
        <v>45334</v>
      </c>
      <c r="C2227" t="s">
        <v>43</v>
      </c>
      <c r="D2227" t="s">
        <v>38</v>
      </c>
      <c r="E2227">
        <v>50</v>
      </c>
      <c r="F2227" t="s">
        <v>28</v>
      </c>
      <c r="G2227">
        <v>458.88</v>
      </c>
      <c r="H2227">
        <v>41</v>
      </c>
      <c r="I2227" t="s">
        <v>16</v>
      </c>
      <c r="J2227">
        <v>4.8</v>
      </c>
      <c r="K2227" t="s">
        <v>26</v>
      </c>
      <c r="L2227" t="s">
        <v>18</v>
      </c>
      <c r="M2227" t="str">
        <f>VLOOKUP(D2231,Restaurant_Master!A:B,2,FALSE)</f>
        <v>https://content.jdmagicbox.com/comp/deoria/g6/9999p5568.5568.200119143033.m4g6/catalogue/biryani-house-deoria-ho-deoria-mktc2xph0o.jpg</v>
      </c>
    </row>
    <row r="2228" spans="1:13" x14ac:dyDescent="0.3">
      <c r="A2228" t="s">
        <v>2258</v>
      </c>
      <c r="B2228" s="1">
        <v>45297</v>
      </c>
      <c r="C2228" t="s">
        <v>20</v>
      </c>
      <c r="D2228" t="s">
        <v>14</v>
      </c>
      <c r="E2228">
        <v>38</v>
      </c>
      <c r="F2228" t="s">
        <v>28</v>
      </c>
      <c r="G2228">
        <v>558.62</v>
      </c>
      <c r="H2228">
        <v>54</v>
      </c>
      <c r="I2228" t="s">
        <v>16</v>
      </c>
      <c r="J2228">
        <v>4.3</v>
      </c>
      <c r="K2228" t="s">
        <v>26</v>
      </c>
      <c r="L2228" t="s">
        <v>18</v>
      </c>
      <c r="M2228" t="str">
        <f>VLOOKUP(D2232,Restaurant_Master!A:B,2,FALSE)</f>
        <v>https://dineout-media-assets.swiggy.com/swiggy/image/upload/fl_lossy,f_auto,q_auto/v1660793737/fdqxvxcxg1wtdwvyv45v.jpg</v>
      </c>
    </row>
    <row r="2229" spans="1:13" x14ac:dyDescent="0.3">
      <c r="A2229" t="s">
        <v>2259</v>
      </c>
      <c r="B2229" s="1">
        <v>45293</v>
      </c>
      <c r="C2229" t="s">
        <v>34</v>
      </c>
      <c r="D2229" t="s">
        <v>32</v>
      </c>
      <c r="E2229">
        <v>34</v>
      </c>
      <c r="F2229" t="s">
        <v>15</v>
      </c>
      <c r="G2229">
        <v>1126.8900000000001</v>
      </c>
      <c r="H2229">
        <v>20</v>
      </c>
      <c r="I2229" t="s">
        <v>22</v>
      </c>
      <c r="J2229">
        <v>3.4</v>
      </c>
      <c r="K2229" t="s">
        <v>26</v>
      </c>
      <c r="L2229" t="s">
        <v>23</v>
      </c>
      <c r="M2229" t="str">
        <f>VLOOKUP(D2233,Restaurant_Master!A:B,2,FALSE)</f>
        <v>https://dynamic-media-cdn.tripadvisor.com/media/photo-o/1c/e7/04/0d/front-of-the-local-easily.jpg</v>
      </c>
    </row>
    <row r="2230" spans="1:13" x14ac:dyDescent="0.3">
      <c r="A2230" t="s">
        <v>2260</v>
      </c>
      <c r="B2230" s="1">
        <v>45575</v>
      </c>
      <c r="C2230" t="s">
        <v>43</v>
      </c>
      <c r="D2230" t="s">
        <v>14</v>
      </c>
      <c r="E2230">
        <v>59</v>
      </c>
      <c r="F2230" t="s">
        <v>15</v>
      </c>
      <c r="G2230">
        <v>960.93</v>
      </c>
      <c r="H2230">
        <v>23</v>
      </c>
      <c r="I2230" t="s">
        <v>22</v>
      </c>
      <c r="J2230">
        <v>2.8</v>
      </c>
      <c r="K2230" t="s">
        <v>29</v>
      </c>
      <c r="L2230" t="s">
        <v>18</v>
      </c>
      <c r="M2230" t="str">
        <f>VLOOKUP(D2234,Restaurant_Master!A:B,2,FALSE)</f>
        <v>https://dynamic-media-cdn.tripadvisor.com/media/photo-o/1c/e7/04/0d/front-of-the-local-easily.jpg</v>
      </c>
    </row>
    <row r="2231" spans="1:13" x14ac:dyDescent="0.3">
      <c r="A2231" t="s">
        <v>2261</v>
      </c>
      <c r="B2231" s="1">
        <v>45649</v>
      </c>
      <c r="C2231" t="s">
        <v>34</v>
      </c>
      <c r="D2231" t="s">
        <v>32</v>
      </c>
      <c r="E2231">
        <v>53</v>
      </c>
      <c r="F2231" t="s">
        <v>28</v>
      </c>
      <c r="G2231">
        <v>515.63</v>
      </c>
      <c r="H2231">
        <v>26</v>
      </c>
      <c r="I2231" t="s">
        <v>22</v>
      </c>
      <c r="J2231">
        <v>3.5</v>
      </c>
      <c r="K2231" t="s">
        <v>26</v>
      </c>
      <c r="L2231" t="s">
        <v>18</v>
      </c>
      <c r="M2231" t="str">
        <f>VLOOKUP(D2235,Restaurant_Master!A:B,2,FALSE)</f>
        <v>https://dynamic-media-cdn.tripadvisor.com/media/photo-o/1c/e7/04/0d/front-of-the-local-easily.jpg</v>
      </c>
    </row>
    <row r="2232" spans="1:13" x14ac:dyDescent="0.3">
      <c r="A2232" t="s">
        <v>2262</v>
      </c>
      <c r="B2232" s="1">
        <v>45603</v>
      </c>
      <c r="C2232" t="s">
        <v>43</v>
      </c>
      <c r="D2232" t="s">
        <v>14</v>
      </c>
      <c r="E2232">
        <v>60</v>
      </c>
      <c r="F2232" t="s">
        <v>28</v>
      </c>
      <c r="G2232">
        <v>541.23</v>
      </c>
      <c r="H2232">
        <v>60</v>
      </c>
      <c r="I2232" t="s">
        <v>16</v>
      </c>
      <c r="J2232">
        <v>2.6</v>
      </c>
      <c r="K2232" t="s">
        <v>41</v>
      </c>
      <c r="L2232" t="s">
        <v>23</v>
      </c>
      <c r="M2232" t="str">
        <f>VLOOKUP(D2236,Restaurant_Master!A:B,2,FALSE)</f>
        <v>https://content.jdmagicbox.com/comp/deoria/g6/9999p5568.5568.200119143033.m4g6/catalogue/biryani-house-deoria-ho-deoria-mktc2xph0o.jpg</v>
      </c>
    </row>
    <row r="2233" spans="1:13" x14ac:dyDescent="0.3">
      <c r="A2233" t="s">
        <v>2263</v>
      </c>
      <c r="B2233" s="1">
        <v>45393</v>
      </c>
      <c r="C2233" t="s">
        <v>43</v>
      </c>
      <c r="D2233" t="s">
        <v>21</v>
      </c>
      <c r="E2233">
        <v>27</v>
      </c>
      <c r="F2233" t="s">
        <v>28</v>
      </c>
      <c r="G2233">
        <v>303.88</v>
      </c>
      <c r="H2233">
        <v>35</v>
      </c>
      <c r="I2233" t="s">
        <v>22</v>
      </c>
      <c r="J2233">
        <v>4.8</v>
      </c>
      <c r="K2233" t="s">
        <v>17</v>
      </c>
      <c r="L2233" t="s">
        <v>18</v>
      </c>
      <c r="M2233" t="str">
        <f>VLOOKUP(D2237,Restaurant_Master!A:B,2,FALSE)</f>
        <v>https://dineout-media-assets.swiggy.com/swiggy/image/upload/fl_lossy,f_auto,q_auto/v1660793737/fdqxvxcxg1wtdwvyv45v.jpg</v>
      </c>
    </row>
    <row r="2234" spans="1:13" x14ac:dyDescent="0.3">
      <c r="A2234" t="s">
        <v>2264</v>
      </c>
      <c r="B2234" s="1">
        <v>45313</v>
      </c>
      <c r="C2234" t="s">
        <v>34</v>
      </c>
      <c r="D2234" t="s">
        <v>21</v>
      </c>
      <c r="E2234">
        <v>34</v>
      </c>
      <c r="F2234" t="s">
        <v>15</v>
      </c>
      <c r="G2234">
        <v>789.29</v>
      </c>
      <c r="H2234">
        <v>40</v>
      </c>
      <c r="I2234" t="s">
        <v>22</v>
      </c>
      <c r="J2234">
        <v>4.4000000000000004</v>
      </c>
      <c r="K2234" t="s">
        <v>29</v>
      </c>
      <c r="L2234" t="s">
        <v>23</v>
      </c>
      <c r="M2234" t="str">
        <f>VLOOKUP(D2238,Restaurant_Master!A:B,2,FALSE)</f>
        <v>https://content.jdmagicbox.com/comp/deoria/g6/9999p5568.5568.200119143033.m4g6/catalogue/biryani-house-deoria-ho-deoria-mktc2xph0o.jpg</v>
      </c>
    </row>
    <row r="2235" spans="1:13" x14ac:dyDescent="0.3">
      <c r="A2235" t="s">
        <v>2265</v>
      </c>
      <c r="B2235" s="1">
        <v>45591</v>
      </c>
      <c r="C2235" t="s">
        <v>43</v>
      </c>
      <c r="D2235" t="s">
        <v>21</v>
      </c>
      <c r="E2235">
        <v>52</v>
      </c>
      <c r="F2235" t="s">
        <v>28</v>
      </c>
      <c r="G2235">
        <v>862.91</v>
      </c>
      <c r="H2235">
        <v>34</v>
      </c>
      <c r="I2235" t="s">
        <v>22</v>
      </c>
      <c r="J2235">
        <v>4.8</v>
      </c>
      <c r="K2235" t="s">
        <v>17</v>
      </c>
      <c r="L2235" t="s">
        <v>23</v>
      </c>
      <c r="M2235" t="str">
        <f>VLOOKUP(D2239,Restaurant_Master!A:B,2,FALSE)</f>
        <v>https://dynamic-media-cdn.tripadvisor.com/media/photo-o/1c/e7/04/0d/front-of-the-local-easily.jpg</v>
      </c>
    </row>
    <row r="2236" spans="1:13" x14ac:dyDescent="0.3">
      <c r="A2236" t="s">
        <v>2266</v>
      </c>
      <c r="B2236" s="1">
        <v>45462</v>
      </c>
      <c r="C2236" t="s">
        <v>34</v>
      </c>
      <c r="D2236" t="s">
        <v>32</v>
      </c>
      <c r="E2236">
        <v>20</v>
      </c>
      <c r="F2236" t="s">
        <v>28</v>
      </c>
      <c r="G2236">
        <v>784.11</v>
      </c>
      <c r="H2236">
        <v>22</v>
      </c>
      <c r="I2236" t="s">
        <v>22</v>
      </c>
      <c r="J2236">
        <v>3.8</v>
      </c>
      <c r="K2236" t="s">
        <v>29</v>
      </c>
      <c r="L2236" t="s">
        <v>23</v>
      </c>
      <c r="M2236" t="str">
        <f>VLOOKUP(D2240,Restaurant_Master!A:B,2,FALSE)</f>
        <v>https://dineout-media-assets.swiggy.com/swiggy/image/upload/fl_lossy,f_auto,q_auto/v1660793737/fdqxvxcxg1wtdwvyv45v.jpg</v>
      </c>
    </row>
    <row r="2237" spans="1:13" x14ac:dyDescent="0.3">
      <c r="A2237" t="s">
        <v>2267</v>
      </c>
      <c r="B2237" s="1">
        <v>45377</v>
      </c>
      <c r="C2237" t="s">
        <v>13</v>
      </c>
      <c r="D2237" t="s">
        <v>14</v>
      </c>
      <c r="E2237">
        <v>46</v>
      </c>
      <c r="F2237" t="s">
        <v>28</v>
      </c>
      <c r="G2237">
        <v>625.28</v>
      </c>
      <c r="H2237">
        <v>32</v>
      </c>
      <c r="I2237" t="s">
        <v>22</v>
      </c>
      <c r="J2237">
        <v>3.1</v>
      </c>
      <c r="K2237" t="s">
        <v>29</v>
      </c>
      <c r="L2237" t="s">
        <v>18</v>
      </c>
      <c r="M2237" t="str">
        <f>VLOOKUP(D2241,Restaurant_Master!A:B,2,FALSE)</f>
        <v>https://www.chatswoodinterchange.com/storages/2018/08/Sushi-World_666x448.jpg</v>
      </c>
    </row>
    <row r="2238" spans="1:13" x14ac:dyDescent="0.3">
      <c r="A2238" t="s">
        <v>2268</v>
      </c>
      <c r="B2238" s="1">
        <v>45325</v>
      </c>
      <c r="C2238" t="s">
        <v>20</v>
      </c>
      <c r="D2238" t="s">
        <v>32</v>
      </c>
      <c r="E2238">
        <v>34</v>
      </c>
      <c r="F2238" t="s">
        <v>28</v>
      </c>
      <c r="G2238">
        <v>610.41999999999996</v>
      </c>
      <c r="H2238">
        <v>22</v>
      </c>
      <c r="I2238" t="s">
        <v>22</v>
      </c>
      <c r="J2238">
        <v>4.5999999999999996</v>
      </c>
      <c r="K2238" t="s">
        <v>17</v>
      </c>
      <c r="L2238" t="s">
        <v>18</v>
      </c>
      <c r="M2238" t="str">
        <f>VLOOKUP(D2242,Restaurant_Master!A:B,2,FALSE)</f>
        <v>https://content.jdmagicbox.com/comp/deoria/g6/9999p5568.5568.200119143033.m4g6/catalogue/biryani-house-deoria-ho-deoria-mktc2xph0o.jpg</v>
      </c>
    </row>
    <row r="2239" spans="1:13" x14ac:dyDescent="0.3">
      <c r="A2239" t="s">
        <v>2269</v>
      </c>
      <c r="B2239" s="1">
        <v>45604</v>
      </c>
      <c r="C2239" t="s">
        <v>20</v>
      </c>
      <c r="D2239" t="s">
        <v>21</v>
      </c>
      <c r="E2239">
        <v>33</v>
      </c>
      <c r="F2239" t="s">
        <v>28</v>
      </c>
      <c r="G2239">
        <v>482.84</v>
      </c>
      <c r="H2239">
        <v>44</v>
      </c>
      <c r="I2239" t="s">
        <v>16</v>
      </c>
      <c r="J2239">
        <v>3.7</v>
      </c>
      <c r="K2239" t="s">
        <v>17</v>
      </c>
      <c r="L2239" t="s">
        <v>18</v>
      </c>
      <c r="M2239" t="str">
        <f>VLOOKUP(D2243,Restaurant_Master!A:B,2,FALSE)</f>
        <v>https://www.chatswoodinterchange.com/storages/2018/08/Sushi-World_666x448.jpg</v>
      </c>
    </row>
    <row r="2240" spans="1:13" x14ac:dyDescent="0.3">
      <c r="A2240" t="s">
        <v>2270</v>
      </c>
      <c r="B2240" s="1">
        <v>45492</v>
      </c>
      <c r="C2240" t="s">
        <v>13</v>
      </c>
      <c r="D2240" t="s">
        <v>14</v>
      </c>
      <c r="E2240">
        <v>60</v>
      </c>
      <c r="F2240" t="s">
        <v>28</v>
      </c>
      <c r="G2240">
        <v>996.44</v>
      </c>
      <c r="H2240">
        <v>41</v>
      </c>
      <c r="I2240" t="s">
        <v>16</v>
      </c>
      <c r="J2240">
        <v>3.2</v>
      </c>
      <c r="K2240" t="s">
        <v>26</v>
      </c>
      <c r="L2240" t="s">
        <v>23</v>
      </c>
      <c r="M2240" t="str">
        <f>VLOOKUP(D2244,Restaurant_Master!A:B,2,FALSE)</f>
        <v>https://www.chatswoodinterchange.com/storages/2018/08/Sushi-World_666x448.jpg</v>
      </c>
    </row>
    <row r="2241" spans="1:13" x14ac:dyDescent="0.3">
      <c r="A2241" t="s">
        <v>2271</v>
      </c>
      <c r="B2241" s="1">
        <v>45657</v>
      </c>
      <c r="C2241" t="s">
        <v>34</v>
      </c>
      <c r="D2241" t="s">
        <v>38</v>
      </c>
      <c r="E2241">
        <v>24</v>
      </c>
      <c r="F2241" t="s">
        <v>28</v>
      </c>
      <c r="G2241">
        <v>539.32000000000005</v>
      </c>
      <c r="H2241">
        <v>49</v>
      </c>
      <c r="I2241" t="s">
        <v>16</v>
      </c>
      <c r="J2241">
        <v>4.3</v>
      </c>
      <c r="K2241" t="s">
        <v>41</v>
      </c>
      <c r="L2241" t="s">
        <v>18</v>
      </c>
      <c r="M2241" t="str">
        <f>VLOOKUP(D2245,Restaurant_Master!A:B,2,FALSE)</f>
        <v>https://content.jdmagicbox.com/comp/deoria/g6/9999p5568.5568.200119143033.m4g6/catalogue/biryani-house-deoria-ho-deoria-mktc2xph0o.jpg</v>
      </c>
    </row>
    <row r="2242" spans="1:13" x14ac:dyDescent="0.3">
      <c r="A2242" t="s">
        <v>2272</v>
      </c>
      <c r="B2242" s="1">
        <v>45623</v>
      </c>
      <c r="C2242" t="s">
        <v>34</v>
      </c>
      <c r="D2242" t="s">
        <v>32</v>
      </c>
      <c r="E2242">
        <v>34</v>
      </c>
      <c r="F2242" t="s">
        <v>28</v>
      </c>
      <c r="G2242">
        <v>813.78</v>
      </c>
      <c r="H2242">
        <v>30</v>
      </c>
      <c r="I2242" t="s">
        <v>22</v>
      </c>
      <c r="J2242">
        <v>4.5</v>
      </c>
      <c r="K2242" t="s">
        <v>26</v>
      </c>
      <c r="L2242" t="s">
        <v>18</v>
      </c>
      <c r="M2242" t="str">
        <f>VLOOKUP(D2246,Restaurant_Master!A:B,2,FALSE)</f>
        <v>https://dynamic-media-cdn.tripadvisor.com/media/photo-o/1c/e7/04/0d/front-of-the-local-easily.jpg</v>
      </c>
    </row>
    <row r="2243" spans="1:13" x14ac:dyDescent="0.3">
      <c r="A2243" t="s">
        <v>2273</v>
      </c>
      <c r="B2243" s="1">
        <v>45595</v>
      </c>
      <c r="C2243" t="s">
        <v>43</v>
      </c>
      <c r="D2243" t="s">
        <v>38</v>
      </c>
      <c r="E2243">
        <v>47</v>
      </c>
      <c r="F2243" t="s">
        <v>28</v>
      </c>
      <c r="G2243">
        <v>281.18</v>
      </c>
      <c r="H2243">
        <v>27</v>
      </c>
      <c r="I2243" t="s">
        <v>22</v>
      </c>
      <c r="J2243">
        <v>4.4000000000000004</v>
      </c>
      <c r="K2243" t="s">
        <v>17</v>
      </c>
      <c r="L2243" t="s">
        <v>18</v>
      </c>
      <c r="M2243" t="str">
        <f>VLOOKUP(D2247,Restaurant_Master!A:B,2,FALSE)</f>
        <v>https://dynamic-media-cdn.tripadvisor.com/media/photo-o/1c/e7/04/0d/front-of-the-local-easily.jpg</v>
      </c>
    </row>
    <row r="2244" spans="1:13" x14ac:dyDescent="0.3">
      <c r="A2244" t="s">
        <v>2274</v>
      </c>
      <c r="B2244" s="1">
        <v>45427</v>
      </c>
      <c r="C2244" t="s">
        <v>34</v>
      </c>
      <c r="D2244" t="s">
        <v>38</v>
      </c>
      <c r="E2244">
        <v>21</v>
      </c>
      <c r="F2244" t="s">
        <v>15</v>
      </c>
      <c r="G2244">
        <v>597.37</v>
      </c>
      <c r="H2244">
        <v>53</v>
      </c>
      <c r="I2244" t="s">
        <v>16</v>
      </c>
      <c r="J2244">
        <v>2.7</v>
      </c>
      <c r="K2244" t="s">
        <v>26</v>
      </c>
      <c r="L2244" t="s">
        <v>23</v>
      </c>
      <c r="M2244" t="str">
        <f>VLOOKUP(D2248,Restaurant_Master!A:B,2,FALSE)</f>
        <v>https://dineout-media-assets.swiggy.com/swiggy/image/upload/fl_lossy,f_auto,q_auto/v1660793737/fdqxvxcxg1wtdwvyv45v.jpg</v>
      </c>
    </row>
    <row r="2245" spans="1:13" x14ac:dyDescent="0.3">
      <c r="A2245" t="s">
        <v>2275</v>
      </c>
      <c r="B2245" s="1">
        <v>45518</v>
      </c>
      <c r="C2245" t="s">
        <v>43</v>
      </c>
      <c r="D2245" t="s">
        <v>32</v>
      </c>
      <c r="E2245">
        <v>52</v>
      </c>
      <c r="F2245" t="s">
        <v>28</v>
      </c>
      <c r="G2245">
        <v>678.72</v>
      </c>
      <c r="H2245">
        <v>21</v>
      </c>
      <c r="I2245" t="s">
        <v>22</v>
      </c>
      <c r="J2245">
        <v>3.2</v>
      </c>
      <c r="K2245" t="s">
        <v>17</v>
      </c>
      <c r="L2245" t="s">
        <v>18</v>
      </c>
      <c r="M2245" t="str">
        <f>VLOOKUP(D2249,Restaurant_Master!A:B,2,FALSE)</f>
        <v>https://content.jdmagicbox.com/comp/deoria/g6/9999p5568.5568.200119143033.m4g6/catalogue/biryani-house-deoria-ho-deoria-mktc2xph0o.jpg</v>
      </c>
    </row>
    <row r="2246" spans="1:13" x14ac:dyDescent="0.3">
      <c r="A2246" t="s">
        <v>2276</v>
      </c>
      <c r="B2246" s="1">
        <v>45599</v>
      </c>
      <c r="C2246" t="s">
        <v>34</v>
      </c>
      <c r="D2246" t="s">
        <v>21</v>
      </c>
      <c r="E2246">
        <v>41</v>
      </c>
      <c r="F2246" t="s">
        <v>15</v>
      </c>
      <c r="G2246">
        <v>875.51</v>
      </c>
      <c r="H2246">
        <v>33</v>
      </c>
      <c r="I2246" t="s">
        <v>22</v>
      </c>
      <c r="J2246">
        <v>4.9000000000000004</v>
      </c>
      <c r="K2246" t="s">
        <v>29</v>
      </c>
      <c r="L2246" t="s">
        <v>18</v>
      </c>
      <c r="M2246" t="str">
        <f>VLOOKUP(D2250,Restaurant_Master!A:B,2,FALSE)</f>
        <v>https://dynamic-media-cdn.tripadvisor.com/media/photo-o/1c/e7/04/0d/front-of-the-local-easily.jpg</v>
      </c>
    </row>
    <row r="2247" spans="1:13" x14ac:dyDescent="0.3">
      <c r="A2247" t="s">
        <v>2277</v>
      </c>
      <c r="B2247" s="1">
        <v>45603</v>
      </c>
      <c r="C2247" t="s">
        <v>13</v>
      </c>
      <c r="D2247" t="s">
        <v>21</v>
      </c>
      <c r="E2247">
        <v>27</v>
      </c>
      <c r="F2247" t="s">
        <v>15</v>
      </c>
      <c r="G2247">
        <v>618.5</v>
      </c>
      <c r="H2247">
        <v>57</v>
      </c>
      <c r="I2247" t="s">
        <v>16</v>
      </c>
      <c r="J2247">
        <v>2.9</v>
      </c>
      <c r="K2247" t="s">
        <v>29</v>
      </c>
      <c r="L2247" t="s">
        <v>18</v>
      </c>
      <c r="M2247" t="str">
        <f>VLOOKUP(D2251,Restaurant_Master!A:B,2,FALSE)</f>
        <v>https://media-cdn.tripadvisor.com/media/photo-s/1c/c7/97/b6/photo6jpg.jpg</v>
      </c>
    </row>
    <row r="2248" spans="1:13" x14ac:dyDescent="0.3">
      <c r="A2248" t="s">
        <v>2278</v>
      </c>
      <c r="B2248" s="1">
        <v>45478</v>
      </c>
      <c r="C2248" t="s">
        <v>13</v>
      </c>
      <c r="D2248" t="s">
        <v>14</v>
      </c>
      <c r="E2248">
        <v>42</v>
      </c>
      <c r="F2248" t="s">
        <v>28</v>
      </c>
      <c r="G2248">
        <v>541.12</v>
      </c>
      <c r="H2248">
        <v>52</v>
      </c>
      <c r="I2248" t="s">
        <v>16</v>
      </c>
      <c r="J2248">
        <v>4.0999999999999996</v>
      </c>
      <c r="K2248" t="s">
        <v>41</v>
      </c>
      <c r="L2248" t="s">
        <v>23</v>
      </c>
      <c r="M2248" t="str">
        <f>VLOOKUP(D2252,Restaurant_Master!A:B,2,FALSE)</f>
        <v>https://www.chatswoodinterchange.com/storages/2018/08/Sushi-World_666x448.jpg</v>
      </c>
    </row>
    <row r="2249" spans="1:13" x14ac:dyDescent="0.3">
      <c r="A2249" t="s">
        <v>2279</v>
      </c>
      <c r="B2249" s="1">
        <v>45481</v>
      </c>
      <c r="C2249" t="s">
        <v>36</v>
      </c>
      <c r="D2249" t="s">
        <v>32</v>
      </c>
      <c r="E2249">
        <v>36</v>
      </c>
      <c r="F2249" t="s">
        <v>15</v>
      </c>
      <c r="G2249">
        <v>570.38</v>
      </c>
      <c r="H2249">
        <v>38</v>
      </c>
      <c r="I2249" t="s">
        <v>22</v>
      </c>
      <c r="J2249">
        <v>3.6</v>
      </c>
      <c r="K2249" t="s">
        <v>26</v>
      </c>
      <c r="L2249" t="s">
        <v>23</v>
      </c>
      <c r="M2249" t="str">
        <f>VLOOKUP(D2253,Restaurant_Master!A:B,2,FALSE)</f>
        <v>https://media-cdn.tripadvisor.com/media/photo-s/1c/c7/97/b6/photo6jpg.jpg</v>
      </c>
    </row>
    <row r="2250" spans="1:13" x14ac:dyDescent="0.3">
      <c r="A2250" t="s">
        <v>2280</v>
      </c>
      <c r="B2250" s="1">
        <v>45509</v>
      </c>
      <c r="C2250" t="s">
        <v>34</v>
      </c>
      <c r="D2250" t="s">
        <v>21</v>
      </c>
      <c r="E2250">
        <v>23</v>
      </c>
      <c r="F2250" t="s">
        <v>15</v>
      </c>
      <c r="G2250">
        <v>992.81</v>
      </c>
      <c r="H2250">
        <v>53</v>
      </c>
      <c r="I2250" t="s">
        <v>16</v>
      </c>
      <c r="J2250">
        <v>4.8</v>
      </c>
      <c r="K2250" t="s">
        <v>29</v>
      </c>
      <c r="L2250" t="s">
        <v>23</v>
      </c>
      <c r="M2250" t="str">
        <f>VLOOKUP(D2254,Restaurant_Master!A:B,2,FALSE)</f>
        <v>https://dynamic-media-cdn.tripadvisor.com/media/photo-o/1c/e7/04/0d/front-of-the-local-easily.jpg</v>
      </c>
    </row>
    <row r="2251" spans="1:13" x14ac:dyDescent="0.3">
      <c r="A2251" t="s">
        <v>2281</v>
      </c>
      <c r="B2251" s="1">
        <v>45603</v>
      </c>
      <c r="C2251" t="s">
        <v>20</v>
      </c>
      <c r="D2251" t="s">
        <v>25</v>
      </c>
      <c r="E2251">
        <v>51</v>
      </c>
      <c r="F2251" t="s">
        <v>28</v>
      </c>
      <c r="G2251">
        <v>943.57</v>
      </c>
      <c r="H2251">
        <v>29</v>
      </c>
      <c r="I2251" t="s">
        <v>22</v>
      </c>
      <c r="J2251">
        <v>2.9</v>
      </c>
      <c r="K2251" t="s">
        <v>26</v>
      </c>
      <c r="L2251" t="s">
        <v>18</v>
      </c>
      <c r="M2251" t="str">
        <f>VLOOKUP(D2255,Restaurant_Master!A:B,2,FALSE)</f>
        <v>https://media-cdn.tripadvisor.com/media/photo-s/1c/c7/97/b6/photo6jpg.jpg</v>
      </c>
    </row>
    <row r="2252" spans="1:13" x14ac:dyDescent="0.3">
      <c r="A2252" t="s">
        <v>2282</v>
      </c>
      <c r="B2252" s="1">
        <v>45615</v>
      </c>
      <c r="C2252" t="s">
        <v>20</v>
      </c>
      <c r="D2252" t="s">
        <v>38</v>
      </c>
      <c r="E2252">
        <v>34</v>
      </c>
      <c r="F2252" t="s">
        <v>28</v>
      </c>
      <c r="G2252">
        <v>468.4</v>
      </c>
      <c r="H2252">
        <v>24</v>
      </c>
      <c r="I2252" t="s">
        <v>22</v>
      </c>
      <c r="J2252">
        <v>3.1</v>
      </c>
      <c r="K2252" t="s">
        <v>26</v>
      </c>
      <c r="L2252" t="s">
        <v>23</v>
      </c>
      <c r="M2252" t="str">
        <f>VLOOKUP(D2256,Restaurant_Master!A:B,2,FALSE)</f>
        <v>https://dynamic-media-cdn.tripadvisor.com/media/photo-o/1c/e7/04/0d/front-of-the-local-easily.jpg</v>
      </c>
    </row>
    <row r="2253" spans="1:13" x14ac:dyDescent="0.3">
      <c r="A2253" t="s">
        <v>2283</v>
      </c>
      <c r="B2253" s="1">
        <v>45626</v>
      </c>
      <c r="C2253" t="s">
        <v>20</v>
      </c>
      <c r="D2253" t="s">
        <v>25</v>
      </c>
      <c r="E2253">
        <v>25</v>
      </c>
      <c r="F2253" t="s">
        <v>15</v>
      </c>
      <c r="G2253">
        <v>866.38</v>
      </c>
      <c r="H2253">
        <v>37</v>
      </c>
      <c r="I2253" t="s">
        <v>22</v>
      </c>
      <c r="J2253">
        <v>4.9000000000000004</v>
      </c>
      <c r="K2253" t="s">
        <v>26</v>
      </c>
      <c r="L2253" t="s">
        <v>23</v>
      </c>
      <c r="M2253" t="str">
        <f>VLOOKUP(D2257,Restaurant_Master!A:B,2,FALSE)</f>
        <v>https://www.chatswoodinterchange.com/storages/2018/08/Sushi-World_666x448.jpg</v>
      </c>
    </row>
    <row r="2254" spans="1:13" x14ac:dyDescent="0.3">
      <c r="A2254" t="s">
        <v>2284</v>
      </c>
      <c r="B2254" s="1">
        <v>45587</v>
      </c>
      <c r="C2254" t="s">
        <v>43</v>
      </c>
      <c r="D2254" t="s">
        <v>21</v>
      </c>
      <c r="E2254">
        <v>56</v>
      </c>
      <c r="F2254" t="s">
        <v>15</v>
      </c>
      <c r="G2254">
        <v>648.25</v>
      </c>
      <c r="H2254">
        <v>35</v>
      </c>
      <c r="I2254" t="s">
        <v>22</v>
      </c>
      <c r="J2254">
        <v>4.3</v>
      </c>
      <c r="K2254" t="s">
        <v>41</v>
      </c>
      <c r="L2254" t="s">
        <v>23</v>
      </c>
      <c r="M2254" t="str">
        <f>VLOOKUP(D2258,Restaurant_Master!A:B,2,FALSE)</f>
        <v>https://dineout-media-assets.swiggy.com/swiggy/image/upload/fl_lossy,f_auto,q_auto/v1660793737/fdqxvxcxg1wtdwvyv45v.jpg</v>
      </c>
    </row>
    <row r="2255" spans="1:13" x14ac:dyDescent="0.3">
      <c r="A2255" t="s">
        <v>2285</v>
      </c>
      <c r="B2255" s="1">
        <v>45522</v>
      </c>
      <c r="C2255" t="s">
        <v>34</v>
      </c>
      <c r="D2255" t="s">
        <v>25</v>
      </c>
      <c r="E2255">
        <v>23</v>
      </c>
      <c r="F2255" t="s">
        <v>28</v>
      </c>
      <c r="G2255">
        <v>600.78</v>
      </c>
      <c r="H2255">
        <v>47</v>
      </c>
      <c r="I2255" t="s">
        <v>16</v>
      </c>
      <c r="J2255">
        <v>3.9</v>
      </c>
      <c r="K2255" t="s">
        <v>29</v>
      </c>
      <c r="L2255" t="s">
        <v>18</v>
      </c>
      <c r="M2255" t="str">
        <f>VLOOKUP(D2259,Restaurant_Master!A:B,2,FALSE)</f>
        <v>https://dineout-media-assets.swiggy.com/swiggy/image/upload/fl_lossy,f_auto,q_auto/v1660793737/fdqxvxcxg1wtdwvyv45v.jpg</v>
      </c>
    </row>
    <row r="2256" spans="1:13" x14ac:dyDescent="0.3">
      <c r="A2256" t="s">
        <v>2286</v>
      </c>
      <c r="B2256" s="1">
        <v>45318</v>
      </c>
      <c r="C2256" t="s">
        <v>20</v>
      </c>
      <c r="D2256" t="s">
        <v>21</v>
      </c>
      <c r="E2256">
        <v>55</v>
      </c>
      <c r="F2256" t="s">
        <v>15</v>
      </c>
      <c r="G2256">
        <v>892.26</v>
      </c>
      <c r="H2256">
        <v>52</v>
      </c>
      <c r="I2256" t="s">
        <v>16</v>
      </c>
      <c r="J2256">
        <v>4.3</v>
      </c>
      <c r="K2256" t="s">
        <v>17</v>
      </c>
      <c r="L2256" t="s">
        <v>23</v>
      </c>
      <c r="M2256" t="str">
        <f>VLOOKUP(D2260,Restaurant_Master!A:B,2,FALSE)</f>
        <v>https://dineout-media-assets.swiggy.com/swiggy/image/upload/fl_lossy,f_auto,q_auto/v1660793737/fdqxvxcxg1wtdwvyv45v.jpg</v>
      </c>
    </row>
    <row r="2257" spans="1:13" x14ac:dyDescent="0.3">
      <c r="A2257" t="s">
        <v>2287</v>
      </c>
      <c r="B2257" s="1">
        <v>45363</v>
      </c>
      <c r="C2257" t="s">
        <v>43</v>
      </c>
      <c r="D2257" t="s">
        <v>38</v>
      </c>
      <c r="E2257">
        <v>25</v>
      </c>
      <c r="F2257" t="s">
        <v>15</v>
      </c>
      <c r="G2257">
        <v>445.05</v>
      </c>
      <c r="H2257">
        <v>49</v>
      </c>
      <c r="I2257" t="s">
        <v>16</v>
      </c>
      <c r="J2257">
        <v>3.3</v>
      </c>
      <c r="K2257" t="s">
        <v>17</v>
      </c>
      <c r="L2257" t="s">
        <v>23</v>
      </c>
      <c r="M2257" t="str">
        <f>VLOOKUP(D2261,Restaurant_Master!A:B,2,FALSE)</f>
        <v>https://content.jdmagicbox.com/comp/deoria/g6/9999p5568.5568.200119143033.m4g6/catalogue/biryani-house-deoria-ho-deoria-mktc2xph0o.jpg</v>
      </c>
    </row>
    <row r="2258" spans="1:13" x14ac:dyDescent="0.3">
      <c r="A2258" t="s">
        <v>2288</v>
      </c>
      <c r="B2258" s="1">
        <v>45447</v>
      </c>
      <c r="C2258" t="s">
        <v>20</v>
      </c>
      <c r="D2258" t="s">
        <v>14</v>
      </c>
      <c r="E2258">
        <v>48</v>
      </c>
      <c r="F2258" t="s">
        <v>28</v>
      </c>
      <c r="G2258">
        <v>751.53</v>
      </c>
      <c r="H2258">
        <v>59</v>
      </c>
      <c r="I2258" t="s">
        <v>16</v>
      </c>
      <c r="J2258">
        <v>3.3</v>
      </c>
      <c r="K2258" t="s">
        <v>17</v>
      </c>
      <c r="L2258" t="s">
        <v>23</v>
      </c>
      <c r="M2258" t="str">
        <f>VLOOKUP(D2262,Restaurant_Master!A:B,2,FALSE)</f>
        <v>https://content.jdmagicbox.com/comp/deoria/g6/9999p5568.5568.200119143033.m4g6/catalogue/biryani-house-deoria-ho-deoria-mktc2xph0o.jpg</v>
      </c>
    </row>
    <row r="2259" spans="1:13" x14ac:dyDescent="0.3">
      <c r="A2259" t="s">
        <v>2289</v>
      </c>
      <c r="B2259" s="1">
        <v>45415</v>
      </c>
      <c r="C2259" t="s">
        <v>20</v>
      </c>
      <c r="D2259" t="s">
        <v>14</v>
      </c>
      <c r="E2259">
        <v>55</v>
      </c>
      <c r="F2259" t="s">
        <v>15</v>
      </c>
      <c r="G2259">
        <v>819.34</v>
      </c>
      <c r="H2259">
        <v>23</v>
      </c>
      <c r="I2259" t="s">
        <v>22</v>
      </c>
      <c r="J2259">
        <v>4.5</v>
      </c>
      <c r="K2259" t="s">
        <v>17</v>
      </c>
      <c r="L2259" t="s">
        <v>23</v>
      </c>
      <c r="M2259" t="str">
        <f>VLOOKUP(D2263,Restaurant_Master!A:B,2,FALSE)</f>
        <v>https://content.jdmagicbox.com/comp/deoria/g6/9999p5568.5568.200119143033.m4g6/catalogue/biryani-house-deoria-ho-deoria-mktc2xph0o.jpg</v>
      </c>
    </row>
    <row r="2260" spans="1:13" x14ac:dyDescent="0.3">
      <c r="A2260" t="s">
        <v>2290</v>
      </c>
      <c r="B2260" s="1">
        <v>45599</v>
      </c>
      <c r="C2260" t="s">
        <v>20</v>
      </c>
      <c r="D2260" t="s">
        <v>14</v>
      </c>
      <c r="E2260">
        <v>33</v>
      </c>
      <c r="F2260" t="s">
        <v>15</v>
      </c>
      <c r="G2260">
        <v>1154.3800000000001</v>
      </c>
      <c r="H2260">
        <v>60</v>
      </c>
      <c r="I2260" t="s">
        <v>16</v>
      </c>
      <c r="J2260">
        <v>4.8</v>
      </c>
      <c r="K2260" t="s">
        <v>26</v>
      </c>
      <c r="L2260" t="s">
        <v>23</v>
      </c>
      <c r="M2260" t="str">
        <f>VLOOKUP(D2264,Restaurant_Master!A:B,2,FALSE)</f>
        <v>https://media-cdn.tripadvisor.com/media/photo-s/1c/c7/97/b6/photo6jpg.jpg</v>
      </c>
    </row>
    <row r="2261" spans="1:13" x14ac:dyDescent="0.3">
      <c r="A2261" t="s">
        <v>2291</v>
      </c>
      <c r="B2261" s="1">
        <v>45496</v>
      </c>
      <c r="C2261" t="s">
        <v>43</v>
      </c>
      <c r="D2261" t="s">
        <v>32</v>
      </c>
      <c r="E2261">
        <v>42</v>
      </c>
      <c r="F2261" t="s">
        <v>15</v>
      </c>
      <c r="G2261">
        <v>1088.81</v>
      </c>
      <c r="H2261">
        <v>25</v>
      </c>
      <c r="I2261" t="s">
        <v>22</v>
      </c>
      <c r="J2261">
        <v>3.8</v>
      </c>
      <c r="K2261" t="s">
        <v>29</v>
      </c>
      <c r="L2261" t="s">
        <v>23</v>
      </c>
      <c r="M2261" t="str">
        <f>VLOOKUP(D2265,Restaurant_Master!A:B,2,FALSE)</f>
        <v>https://media-cdn.tripadvisor.com/media/photo-s/1c/c7/97/b6/photo6jpg.jpg</v>
      </c>
    </row>
    <row r="2262" spans="1:13" x14ac:dyDescent="0.3">
      <c r="A2262" t="s">
        <v>2292</v>
      </c>
      <c r="B2262" s="1">
        <v>45490</v>
      </c>
      <c r="C2262" t="s">
        <v>13</v>
      </c>
      <c r="D2262" t="s">
        <v>32</v>
      </c>
      <c r="E2262">
        <v>31</v>
      </c>
      <c r="F2262" t="s">
        <v>15</v>
      </c>
      <c r="G2262">
        <v>441.47</v>
      </c>
      <c r="H2262">
        <v>36</v>
      </c>
      <c r="I2262" t="s">
        <v>22</v>
      </c>
      <c r="J2262">
        <v>3.2</v>
      </c>
      <c r="K2262" t="s">
        <v>41</v>
      </c>
      <c r="L2262" t="s">
        <v>23</v>
      </c>
      <c r="M2262" t="str">
        <f>VLOOKUP(D2266,Restaurant_Master!A:B,2,FALSE)</f>
        <v>https://content.jdmagicbox.com/comp/deoria/g6/9999p5568.5568.200119143033.m4g6/catalogue/biryani-house-deoria-ho-deoria-mktc2xph0o.jpg</v>
      </c>
    </row>
    <row r="2263" spans="1:13" x14ac:dyDescent="0.3">
      <c r="A2263" t="s">
        <v>2293</v>
      </c>
      <c r="B2263" s="1">
        <v>45451</v>
      </c>
      <c r="C2263" t="s">
        <v>20</v>
      </c>
      <c r="D2263" t="s">
        <v>32</v>
      </c>
      <c r="E2263">
        <v>59</v>
      </c>
      <c r="F2263" t="s">
        <v>15</v>
      </c>
      <c r="G2263">
        <v>1168.0999999999999</v>
      </c>
      <c r="H2263">
        <v>27</v>
      </c>
      <c r="I2263" t="s">
        <v>22</v>
      </c>
      <c r="J2263">
        <v>2.9</v>
      </c>
      <c r="K2263" t="s">
        <v>29</v>
      </c>
      <c r="L2263" t="s">
        <v>18</v>
      </c>
      <c r="M2263" t="str">
        <f>VLOOKUP(D2267,Restaurant_Master!A:B,2,FALSE)</f>
        <v>https://dineout-media-assets.swiggy.com/swiggy/image/upload/fl_lossy,f_auto,q_auto/v1660793737/fdqxvxcxg1wtdwvyv45v.jpg</v>
      </c>
    </row>
    <row r="2264" spans="1:13" x14ac:dyDescent="0.3">
      <c r="A2264" t="s">
        <v>2294</v>
      </c>
      <c r="B2264" s="1">
        <v>45638</v>
      </c>
      <c r="C2264" t="s">
        <v>43</v>
      </c>
      <c r="D2264" t="s">
        <v>25</v>
      </c>
      <c r="E2264">
        <v>18</v>
      </c>
      <c r="F2264" t="s">
        <v>15</v>
      </c>
      <c r="G2264">
        <v>423.64</v>
      </c>
      <c r="H2264">
        <v>25</v>
      </c>
      <c r="I2264" t="s">
        <v>22</v>
      </c>
      <c r="J2264">
        <v>3</v>
      </c>
      <c r="K2264" t="s">
        <v>29</v>
      </c>
      <c r="L2264" t="s">
        <v>18</v>
      </c>
      <c r="M2264" t="str">
        <f>VLOOKUP(D2268,Restaurant_Master!A:B,2,FALSE)</f>
        <v>https://media-cdn.tripadvisor.com/media/photo-s/1c/c7/97/b6/photo6jpg.jpg</v>
      </c>
    </row>
    <row r="2265" spans="1:13" x14ac:dyDescent="0.3">
      <c r="A2265" t="s">
        <v>2295</v>
      </c>
      <c r="B2265" s="1">
        <v>45502</v>
      </c>
      <c r="C2265" t="s">
        <v>13</v>
      </c>
      <c r="D2265" t="s">
        <v>25</v>
      </c>
      <c r="E2265">
        <v>52</v>
      </c>
      <c r="F2265" t="s">
        <v>28</v>
      </c>
      <c r="G2265">
        <v>889.73</v>
      </c>
      <c r="H2265">
        <v>52</v>
      </c>
      <c r="I2265" t="s">
        <v>16</v>
      </c>
      <c r="J2265">
        <v>3</v>
      </c>
      <c r="K2265" t="s">
        <v>29</v>
      </c>
      <c r="L2265" t="s">
        <v>23</v>
      </c>
      <c r="M2265" t="str">
        <f>VLOOKUP(D2269,Restaurant_Master!A:B,2,FALSE)</f>
        <v>https://dineout-media-assets.swiggy.com/swiggy/image/upload/fl_lossy,f_auto,q_auto/v1660793737/fdqxvxcxg1wtdwvyv45v.jpg</v>
      </c>
    </row>
    <row r="2266" spans="1:13" x14ac:dyDescent="0.3">
      <c r="A2266" t="s">
        <v>2296</v>
      </c>
      <c r="B2266" s="1">
        <v>45470</v>
      </c>
      <c r="C2266" t="s">
        <v>34</v>
      </c>
      <c r="D2266" t="s">
        <v>32</v>
      </c>
      <c r="E2266">
        <v>29</v>
      </c>
      <c r="F2266" t="s">
        <v>15</v>
      </c>
      <c r="G2266">
        <v>852.45</v>
      </c>
      <c r="H2266">
        <v>34</v>
      </c>
      <c r="I2266" t="s">
        <v>22</v>
      </c>
      <c r="J2266">
        <v>2.9</v>
      </c>
      <c r="K2266" t="s">
        <v>17</v>
      </c>
      <c r="L2266" t="s">
        <v>18</v>
      </c>
      <c r="M2266" t="str">
        <f>VLOOKUP(D2270,Restaurant_Master!A:B,2,FALSE)</f>
        <v>https://media-cdn.tripadvisor.com/media/photo-s/1c/c7/97/b6/photo6jpg.jpg</v>
      </c>
    </row>
    <row r="2267" spans="1:13" x14ac:dyDescent="0.3">
      <c r="A2267" t="s">
        <v>2297</v>
      </c>
      <c r="B2267" s="1">
        <v>45411</v>
      </c>
      <c r="C2267" t="s">
        <v>20</v>
      </c>
      <c r="D2267" t="s">
        <v>14</v>
      </c>
      <c r="E2267">
        <v>35</v>
      </c>
      <c r="F2267" t="s">
        <v>28</v>
      </c>
      <c r="G2267">
        <v>734.24</v>
      </c>
      <c r="H2267">
        <v>54</v>
      </c>
      <c r="I2267" t="s">
        <v>16</v>
      </c>
      <c r="J2267">
        <v>3.2</v>
      </c>
      <c r="K2267" t="s">
        <v>41</v>
      </c>
      <c r="L2267" t="s">
        <v>18</v>
      </c>
      <c r="M2267" t="str">
        <f>VLOOKUP(D2271,Restaurant_Master!A:B,2,FALSE)</f>
        <v>https://dynamic-media-cdn.tripadvisor.com/media/photo-o/1c/e7/04/0d/front-of-the-local-easily.jpg</v>
      </c>
    </row>
    <row r="2268" spans="1:13" x14ac:dyDescent="0.3">
      <c r="A2268" t="s">
        <v>2298</v>
      </c>
      <c r="B2268" s="1">
        <v>45336</v>
      </c>
      <c r="C2268" t="s">
        <v>36</v>
      </c>
      <c r="D2268" t="s">
        <v>25</v>
      </c>
      <c r="E2268">
        <v>41</v>
      </c>
      <c r="F2268" t="s">
        <v>28</v>
      </c>
      <c r="G2268">
        <v>994.08</v>
      </c>
      <c r="H2268">
        <v>51</v>
      </c>
      <c r="I2268" t="s">
        <v>16</v>
      </c>
      <c r="J2268">
        <v>4.2</v>
      </c>
      <c r="K2268" t="s">
        <v>29</v>
      </c>
      <c r="L2268" t="s">
        <v>23</v>
      </c>
      <c r="M2268" t="str">
        <f>VLOOKUP(D2272,Restaurant_Master!A:B,2,FALSE)</f>
        <v>https://media-cdn.tripadvisor.com/media/photo-s/1c/c7/97/b6/photo6jpg.jpg</v>
      </c>
    </row>
    <row r="2269" spans="1:13" x14ac:dyDescent="0.3">
      <c r="A2269" t="s">
        <v>2299</v>
      </c>
      <c r="B2269" s="1">
        <v>45418</v>
      </c>
      <c r="C2269" t="s">
        <v>13</v>
      </c>
      <c r="D2269" t="s">
        <v>14</v>
      </c>
      <c r="E2269">
        <v>40</v>
      </c>
      <c r="F2269" t="s">
        <v>15</v>
      </c>
      <c r="G2269">
        <v>249.67</v>
      </c>
      <c r="H2269">
        <v>49</v>
      </c>
      <c r="I2269" t="s">
        <v>16</v>
      </c>
      <c r="J2269">
        <v>5</v>
      </c>
      <c r="K2269" t="s">
        <v>17</v>
      </c>
      <c r="L2269" t="s">
        <v>18</v>
      </c>
      <c r="M2269" t="str">
        <f>VLOOKUP(D2273,Restaurant_Master!A:B,2,FALSE)</f>
        <v>https://www.chatswoodinterchange.com/storages/2018/08/Sushi-World_666x448.jpg</v>
      </c>
    </row>
    <row r="2270" spans="1:13" x14ac:dyDescent="0.3">
      <c r="A2270" t="s">
        <v>2300</v>
      </c>
      <c r="B2270" s="1">
        <v>45631</v>
      </c>
      <c r="C2270" t="s">
        <v>13</v>
      </c>
      <c r="D2270" t="s">
        <v>25</v>
      </c>
      <c r="E2270">
        <v>38</v>
      </c>
      <c r="F2270" t="s">
        <v>28</v>
      </c>
      <c r="G2270">
        <v>1003.77</v>
      </c>
      <c r="H2270">
        <v>20</v>
      </c>
      <c r="I2270" t="s">
        <v>22</v>
      </c>
      <c r="J2270">
        <v>4.8</v>
      </c>
      <c r="K2270" t="s">
        <v>41</v>
      </c>
      <c r="L2270" t="s">
        <v>23</v>
      </c>
      <c r="M2270" t="str">
        <f>VLOOKUP(D2274,Restaurant_Master!A:B,2,FALSE)</f>
        <v>https://dynamic-media-cdn.tripadvisor.com/media/photo-o/1c/e7/04/0d/front-of-the-local-easily.jpg</v>
      </c>
    </row>
    <row r="2271" spans="1:13" x14ac:dyDescent="0.3">
      <c r="A2271" t="s">
        <v>2301</v>
      </c>
      <c r="B2271" s="1">
        <v>45497</v>
      </c>
      <c r="C2271" t="s">
        <v>36</v>
      </c>
      <c r="D2271" t="s">
        <v>21</v>
      </c>
      <c r="E2271">
        <v>34</v>
      </c>
      <c r="F2271" t="s">
        <v>28</v>
      </c>
      <c r="G2271">
        <v>557.85</v>
      </c>
      <c r="H2271">
        <v>59</v>
      </c>
      <c r="I2271" t="s">
        <v>16</v>
      </c>
      <c r="J2271">
        <v>4.4000000000000004</v>
      </c>
      <c r="K2271" t="s">
        <v>17</v>
      </c>
      <c r="L2271" t="s">
        <v>18</v>
      </c>
      <c r="M2271" t="str">
        <f>VLOOKUP(D2275,Restaurant_Master!A:B,2,FALSE)</f>
        <v>https://media-cdn.tripadvisor.com/media/photo-s/1c/c7/97/b6/photo6jpg.jpg</v>
      </c>
    </row>
    <row r="2272" spans="1:13" x14ac:dyDescent="0.3">
      <c r="A2272" t="s">
        <v>2302</v>
      </c>
      <c r="B2272" s="1">
        <v>45494</v>
      </c>
      <c r="C2272" t="s">
        <v>43</v>
      </c>
      <c r="D2272" t="s">
        <v>25</v>
      </c>
      <c r="E2272">
        <v>30</v>
      </c>
      <c r="F2272" t="s">
        <v>15</v>
      </c>
      <c r="G2272">
        <v>750.64</v>
      </c>
      <c r="H2272">
        <v>40</v>
      </c>
      <c r="I2272" t="s">
        <v>22</v>
      </c>
      <c r="J2272">
        <v>3.5</v>
      </c>
      <c r="K2272" t="s">
        <v>17</v>
      </c>
      <c r="L2272" t="s">
        <v>23</v>
      </c>
      <c r="M2272" t="str">
        <f>VLOOKUP(D2276,Restaurant_Master!A:B,2,FALSE)</f>
        <v>https://content.jdmagicbox.com/comp/deoria/g6/9999p5568.5568.200119143033.m4g6/catalogue/biryani-house-deoria-ho-deoria-mktc2xph0o.jpg</v>
      </c>
    </row>
    <row r="2273" spans="1:13" x14ac:dyDescent="0.3">
      <c r="A2273" t="s">
        <v>2303</v>
      </c>
      <c r="B2273" s="1">
        <v>45508</v>
      </c>
      <c r="C2273" t="s">
        <v>13</v>
      </c>
      <c r="D2273" t="s">
        <v>38</v>
      </c>
      <c r="E2273">
        <v>45</v>
      </c>
      <c r="F2273" t="s">
        <v>15</v>
      </c>
      <c r="G2273">
        <v>880.16</v>
      </c>
      <c r="H2273">
        <v>39</v>
      </c>
      <c r="I2273" t="s">
        <v>22</v>
      </c>
      <c r="J2273">
        <v>4.5</v>
      </c>
      <c r="K2273" t="s">
        <v>26</v>
      </c>
      <c r="L2273" t="s">
        <v>18</v>
      </c>
      <c r="M2273" t="str">
        <f>VLOOKUP(D2277,Restaurant_Master!A:B,2,FALSE)</f>
        <v>https://dineout-media-assets.swiggy.com/swiggy/image/upload/fl_lossy,f_auto,q_auto/v1660793737/fdqxvxcxg1wtdwvyv45v.jpg</v>
      </c>
    </row>
    <row r="2274" spans="1:13" x14ac:dyDescent="0.3">
      <c r="A2274" t="s">
        <v>2304</v>
      </c>
      <c r="B2274" s="1">
        <v>45461</v>
      </c>
      <c r="C2274" t="s">
        <v>34</v>
      </c>
      <c r="D2274" t="s">
        <v>21</v>
      </c>
      <c r="E2274">
        <v>30</v>
      </c>
      <c r="F2274" t="s">
        <v>28</v>
      </c>
      <c r="G2274">
        <v>662.74</v>
      </c>
      <c r="H2274">
        <v>35</v>
      </c>
      <c r="I2274" t="s">
        <v>22</v>
      </c>
      <c r="J2274">
        <v>4.9000000000000004</v>
      </c>
      <c r="K2274" t="s">
        <v>41</v>
      </c>
      <c r="L2274" t="s">
        <v>23</v>
      </c>
      <c r="M2274" t="str">
        <f>VLOOKUP(D2278,Restaurant_Master!A:B,2,FALSE)</f>
        <v>https://www.chatswoodinterchange.com/storages/2018/08/Sushi-World_666x448.jpg</v>
      </c>
    </row>
    <row r="2275" spans="1:13" x14ac:dyDescent="0.3">
      <c r="A2275" t="s">
        <v>2305</v>
      </c>
      <c r="B2275" s="1">
        <v>45304</v>
      </c>
      <c r="C2275" t="s">
        <v>36</v>
      </c>
      <c r="D2275" t="s">
        <v>25</v>
      </c>
      <c r="E2275">
        <v>60</v>
      </c>
      <c r="F2275" t="s">
        <v>28</v>
      </c>
      <c r="G2275">
        <v>760.39</v>
      </c>
      <c r="H2275">
        <v>34</v>
      </c>
      <c r="I2275" t="s">
        <v>22</v>
      </c>
      <c r="J2275">
        <v>4.5999999999999996</v>
      </c>
      <c r="K2275" t="s">
        <v>17</v>
      </c>
      <c r="L2275" t="s">
        <v>23</v>
      </c>
      <c r="M2275" t="str">
        <f>VLOOKUP(D2279,Restaurant_Master!A:B,2,FALSE)</f>
        <v>https://www.chatswoodinterchange.com/storages/2018/08/Sushi-World_666x448.jpg</v>
      </c>
    </row>
    <row r="2276" spans="1:13" x14ac:dyDescent="0.3">
      <c r="A2276" t="s">
        <v>2306</v>
      </c>
      <c r="B2276" s="1">
        <v>45297</v>
      </c>
      <c r="C2276" t="s">
        <v>34</v>
      </c>
      <c r="D2276" t="s">
        <v>32</v>
      </c>
      <c r="E2276">
        <v>18</v>
      </c>
      <c r="F2276" t="s">
        <v>28</v>
      </c>
      <c r="G2276">
        <v>534.95000000000005</v>
      </c>
      <c r="H2276">
        <v>24</v>
      </c>
      <c r="I2276" t="s">
        <v>22</v>
      </c>
      <c r="J2276">
        <v>3.2</v>
      </c>
      <c r="K2276" t="s">
        <v>29</v>
      </c>
      <c r="L2276" t="s">
        <v>23</v>
      </c>
      <c r="M2276" t="str">
        <f>VLOOKUP(D2280,Restaurant_Master!A:B,2,FALSE)</f>
        <v>https://www.chatswoodinterchange.com/storages/2018/08/Sushi-World_666x448.jpg</v>
      </c>
    </row>
    <row r="2277" spans="1:13" x14ac:dyDescent="0.3">
      <c r="A2277" t="s">
        <v>2307</v>
      </c>
      <c r="B2277" s="1">
        <v>45509</v>
      </c>
      <c r="C2277" t="s">
        <v>34</v>
      </c>
      <c r="D2277" t="s">
        <v>14</v>
      </c>
      <c r="E2277">
        <v>40</v>
      </c>
      <c r="F2277" t="s">
        <v>28</v>
      </c>
      <c r="G2277">
        <v>1120.57</v>
      </c>
      <c r="H2277">
        <v>23</v>
      </c>
      <c r="I2277" t="s">
        <v>22</v>
      </c>
      <c r="J2277">
        <v>4.4000000000000004</v>
      </c>
      <c r="K2277" t="s">
        <v>29</v>
      </c>
      <c r="L2277" t="s">
        <v>23</v>
      </c>
      <c r="M2277" t="str">
        <f>VLOOKUP(D2281,Restaurant_Master!A:B,2,FALSE)</f>
        <v>https://dineout-media-assets.swiggy.com/swiggy/image/upload/fl_lossy,f_auto,q_auto/v1660793737/fdqxvxcxg1wtdwvyv45v.jpg</v>
      </c>
    </row>
    <row r="2278" spans="1:13" x14ac:dyDescent="0.3">
      <c r="A2278" t="s">
        <v>2308</v>
      </c>
      <c r="B2278" s="1">
        <v>45357</v>
      </c>
      <c r="C2278" t="s">
        <v>34</v>
      </c>
      <c r="D2278" t="s">
        <v>38</v>
      </c>
      <c r="E2278">
        <v>56</v>
      </c>
      <c r="F2278" t="s">
        <v>15</v>
      </c>
      <c r="G2278">
        <v>578.96</v>
      </c>
      <c r="H2278">
        <v>55</v>
      </c>
      <c r="I2278" t="s">
        <v>16</v>
      </c>
      <c r="J2278">
        <v>4.9000000000000004</v>
      </c>
      <c r="K2278" t="s">
        <v>17</v>
      </c>
      <c r="L2278" t="s">
        <v>23</v>
      </c>
      <c r="M2278" t="str">
        <f>VLOOKUP(D2282,Restaurant_Master!A:B,2,FALSE)</f>
        <v>https://media-cdn.tripadvisor.com/media/photo-s/1c/c7/97/b6/photo6jpg.jpg</v>
      </c>
    </row>
    <row r="2279" spans="1:13" x14ac:dyDescent="0.3">
      <c r="A2279" t="s">
        <v>2309</v>
      </c>
      <c r="B2279" s="1">
        <v>45410</v>
      </c>
      <c r="C2279" t="s">
        <v>13</v>
      </c>
      <c r="D2279" t="s">
        <v>38</v>
      </c>
      <c r="E2279">
        <v>49</v>
      </c>
      <c r="F2279" t="s">
        <v>15</v>
      </c>
      <c r="G2279">
        <v>893.48</v>
      </c>
      <c r="H2279">
        <v>55</v>
      </c>
      <c r="I2279" t="s">
        <v>16</v>
      </c>
      <c r="J2279">
        <v>4.7</v>
      </c>
      <c r="K2279" t="s">
        <v>41</v>
      </c>
      <c r="L2279" t="s">
        <v>23</v>
      </c>
      <c r="M2279" t="str">
        <f>VLOOKUP(D2283,Restaurant_Master!A:B,2,FALSE)</f>
        <v>https://www.chatswoodinterchange.com/storages/2018/08/Sushi-World_666x448.jpg</v>
      </c>
    </row>
    <row r="2280" spans="1:13" x14ac:dyDescent="0.3">
      <c r="A2280" t="s">
        <v>2310</v>
      </c>
      <c r="B2280" s="1">
        <v>45642</v>
      </c>
      <c r="C2280" t="s">
        <v>34</v>
      </c>
      <c r="D2280" t="s">
        <v>38</v>
      </c>
      <c r="E2280">
        <v>46</v>
      </c>
      <c r="F2280" t="s">
        <v>15</v>
      </c>
      <c r="G2280">
        <v>838.1</v>
      </c>
      <c r="H2280">
        <v>45</v>
      </c>
      <c r="I2280" t="s">
        <v>16</v>
      </c>
      <c r="J2280">
        <v>3.7</v>
      </c>
      <c r="K2280" t="s">
        <v>26</v>
      </c>
      <c r="L2280" t="s">
        <v>18</v>
      </c>
      <c r="M2280" t="str">
        <f>VLOOKUP(D2284,Restaurant_Master!A:B,2,FALSE)</f>
        <v>https://www.chatswoodinterchange.com/storages/2018/08/Sushi-World_666x448.jpg</v>
      </c>
    </row>
    <row r="2281" spans="1:13" x14ac:dyDescent="0.3">
      <c r="A2281" t="s">
        <v>2311</v>
      </c>
      <c r="B2281" s="1">
        <v>45372</v>
      </c>
      <c r="C2281" t="s">
        <v>20</v>
      </c>
      <c r="D2281" t="s">
        <v>14</v>
      </c>
      <c r="E2281">
        <v>47</v>
      </c>
      <c r="F2281" t="s">
        <v>15</v>
      </c>
      <c r="G2281">
        <v>606.29999999999995</v>
      </c>
      <c r="H2281">
        <v>29</v>
      </c>
      <c r="I2281" t="s">
        <v>22</v>
      </c>
      <c r="J2281">
        <v>2.9</v>
      </c>
      <c r="K2281" t="s">
        <v>41</v>
      </c>
      <c r="L2281" t="s">
        <v>23</v>
      </c>
      <c r="M2281" t="str">
        <f>VLOOKUP(D2285,Restaurant_Master!A:B,2,FALSE)</f>
        <v>https://dineout-media-assets.swiggy.com/swiggy/image/upload/fl_lossy,f_auto,q_auto/v1660793737/fdqxvxcxg1wtdwvyv45v.jpg</v>
      </c>
    </row>
    <row r="2282" spans="1:13" x14ac:dyDescent="0.3">
      <c r="A2282" t="s">
        <v>2312</v>
      </c>
      <c r="B2282" s="1">
        <v>45434</v>
      </c>
      <c r="C2282" t="s">
        <v>36</v>
      </c>
      <c r="D2282" t="s">
        <v>25</v>
      </c>
      <c r="E2282">
        <v>58</v>
      </c>
      <c r="F2282" t="s">
        <v>28</v>
      </c>
      <c r="G2282">
        <v>203.2</v>
      </c>
      <c r="H2282">
        <v>28</v>
      </c>
      <c r="I2282" t="s">
        <v>22</v>
      </c>
      <c r="J2282">
        <v>2.8</v>
      </c>
      <c r="K2282" t="s">
        <v>17</v>
      </c>
      <c r="L2282" t="s">
        <v>18</v>
      </c>
      <c r="M2282" t="str">
        <f>VLOOKUP(D2286,Restaurant_Master!A:B,2,FALSE)</f>
        <v>https://dineout-media-assets.swiggy.com/swiggy/image/upload/fl_lossy,f_auto,q_auto/v1660793737/fdqxvxcxg1wtdwvyv45v.jpg</v>
      </c>
    </row>
    <row r="2283" spans="1:13" x14ac:dyDescent="0.3">
      <c r="A2283" t="s">
        <v>2313</v>
      </c>
      <c r="B2283" s="1">
        <v>45570</v>
      </c>
      <c r="C2283" t="s">
        <v>36</v>
      </c>
      <c r="D2283" t="s">
        <v>38</v>
      </c>
      <c r="E2283">
        <v>42</v>
      </c>
      <c r="F2283" t="s">
        <v>15</v>
      </c>
      <c r="G2283">
        <v>1097.6199999999999</v>
      </c>
      <c r="H2283">
        <v>54</v>
      </c>
      <c r="I2283" t="s">
        <v>16</v>
      </c>
      <c r="J2283">
        <v>4</v>
      </c>
      <c r="K2283" t="s">
        <v>41</v>
      </c>
      <c r="L2283" t="s">
        <v>23</v>
      </c>
      <c r="M2283" t="str">
        <f>VLOOKUP(D2287,Restaurant_Master!A:B,2,FALSE)</f>
        <v>https://dineout-media-assets.swiggy.com/swiggy/image/upload/fl_lossy,f_auto,q_auto/v1660793737/fdqxvxcxg1wtdwvyv45v.jpg</v>
      </c>
    </row>
    <row r="2284" spans="1:13" x14ac:dyDescent="0.3">
      <c r="A2284" t="s">
        <v>2314</v>
      </c>
      <c r="B2284" s="1">
        <v>45393</v>
      </c>
      <c r="C2284" t="s">
        <v>20</v>
      </c>
      <c r="D2284" t="s">
        <v>38</v>
      </c>
      <c r="E2284">
        <v>59</v>
      </c>
      <c r="F2284" t="s">
        <v>28</v>
      </c>
      <c r="G2284">
        <v>499.04</v>
      </c>
      <c r="H2284">
        <v>49</v>
      </c>
      <c r="I2284" t="s">
        <v>16</v>
      </c>
      <c r="J2284">
        <v>3.6</v>
      </c>
      <c r="K2284" t="s">
        <v>17</v>
      </c>
      <c r="L2284" t="s">
        <v>18</v>
      </c>
      <c r="M2284" t="str">
        <f>VLOOKUP(D2288,Restaurant_Master!A:B,2,FALSE)</f>
        <v>https://www.chatswoodinterchange.com/storages/2018/08/Sushi-World_666x448.jpg</v>
      </c>
    </row>
    <row r="2285" spans="1:13" x14ac:dyDescent="0.3">
      <c r="A2285" t="s">
        <v>2315</v>
      </c>
      <c r="B2285" s="1">
        <v>45443</v>
      </c>
      <c r="C2285" t="s">
        <v>36</v>
      </c>
      <c r="D2285" t="s">
        <v>14</v>
      </c>
      <c r="E2285">
        <v>18</v>
      </c>
      <c r="F2285" t="s">
        <v>28</v>
      </c>
      <c r="G2285">
        <v>439.98</v>
      </c>
      <c r="H2285">
        <v>29</v>
      </c>
      <c r="I2285" t="s">
        <v>22</v>
      </c>
      <c r="J2285">
        <v>3</v>
      </c>
      <c r="K2285" t="s">
        <v>29</v>
      </c>
      <c r="L2285" t="s">
        <v>23</v>
      </c>
      <c r="M2285" t="str">
        <f>VLOOKUP(D2289,Restaurant_Master!A:B,2,FALSE)</f>
        <v>https://dynamic-media-cdn.tripadvisor.com/media/photo-o/1c/e7/04/0d/front-of-the-local-easily.jpg</v>
      </c>
    </row>
    <row r="2286" spans="1:13" x14ac:dyDescent="0.3">
      <c r="A2286" t="s">
        <v>2316</v>
      </c>
      <c r="B2286" s="1">
        <v>45509</v>
      </c>
      <c r="C2286" t="s">
        <v>34</v>
      </c>
      <c r="D2286" t="s">
        <v>14</v>
      </c>
      <c r="E2286">
        <v>22</v>
      </c>
      <c r="F2286" t="s">
        <v>28</v>
      </c>
      <c r="G2286">
        <v>479.31</v>
      </c>
      <c r="H2286">
        <v>36</v>
      </c>
      <c r="I2286" t="s">
        <v>22</v>
      </c>
      <c r="J2286">
        <v>3.5</v>
      </c>
      <c r="K2286" t="s">
        <v>26</v>
      </c>
      <c r="L2286" t="s">
        <v>23</v>
      </c>
      <c r="M2286" t="str">
        <f>VLOOKUP(D2290,Restaurant_Master!A:B,2,FALSE)</f>
        <v>https://dineout-media-assets.swiggy.com/swiggy/image/upload/fl_lossy,f_auto,q_auto/v1660793737/fdqxvxcxg1wtdwvyv45v.jpg</v>
      </c>
    </row>
    <row r="2287" spans="1:13" x14ac:dyDescent="0.3">
      <c r="A2287" t="s">
        <v>2317</v>
      </c>
      <c r="B2287" s="1">
        <v>45615</v>
      </c>
      <c r="C2287" t="s">
        <v>36</v>
      </c>
      <c r="D2287" t="s">
        <v>14</v>
      </c>
      <c r="E2287">
        <v>41</v>
      </c>
      <c r="F2287" t="s">
        <v>28</v>
      </c>
      <c r="G2287">
        <v>444.38</v>
      </c>
      <c r="H2287">
        <v>59</v>
      </c>
      <c r="I2287" t="s">
        <v>16</v>
      </c>
      <c r="J2287">
        <v>4.4000000000000004</v>
      </c>
      <c r="K2287" t="s">
        <v>17</v>
      </c>
      <c r="L2287" t="s">
        <v>18</v>
      </c>
      <c r="M2287" t="str">
        <f>VLOOKUP(D2291,Restaurant_Master!A:B,2,FALSE)</f>
        <v>https://content.jdmagicbox.com/comp/deoria/g6/9999p5568.5568.200119143033.m4g6/catalogue/biryani-house-deoria-ho-deoria-mktc2xph0o.jpg</v>
      </c>
    </row>
    <row r="2288" spans="1:13" x14ac:dyDescent="0.3">
      <c r="A2288" t="s">
        <v>2318</v>
      </c>
      <c r="B2288" s="1">
        <v>45549</v>
      </c>
      <c r="C2288" t="s">
        <v>20</v>
      </c>
      <c r="D2288" t="s">
        <v>38</v>
      </c>
      <c r="E2288">
        <v>44</v>
      </c>
      <c r="F2288" t="s">
        <v>28</v>
      </c>
      <c r="G2288">
        <v>692.46</v>
      </c>
      <c r="H2288">
        <v>58</v>
      </c>
      <c r="I2288" t="s">
        <v>16</v>
      </c>
      <c r="J2288">
        <v>3.5</v>
      </c>
      <c r="K2288" t="s">
        <v>29</v>
      </c>
      <c r="L2288" t="s">
        <v>23</v>
      </c>
      <c r="M2288" t="str">
        <f>VLOOKUP(D2292,Restaurant_Master!A:B,2,FALSE)</f>
        <v>https://content.jdmagicbox.com/comp/deoria/g6/9999p5568.5568.200119143033.m4g6/catalogue/biryani-house-deoria-ho-deoria-mktc2xph0o.jpg</v>
      </c>
    </row>
    <row r="2289" spans="1:13" x14ac:dyDescent="0.3">
      <c r="A2289" t="s">
        <v>2319</v>
      </c>
      <c r="B2289" s="1">
        <v>45338</v>
      </c>
      <c r="C2289" t="s">
        <v>43</v>
      </c>
      <c r="D2289" t="s">
        <v>21</v>
      </c>
      <c r="E2289">
        <v>37</v>
      </c>
      <c r="F2289" t="s">
        <v>15</v>
      </c>
      <c r="G2289">
        <v>1052.54</v>
      </c>
      <c r="H2289">
        <v>52</v>
      </c>
      <c r="I2289" t="s">
        <v>16</v>
      </c>
      <c r="J2289">
        <v>3.6</v>
      </c>
      <c r="K2289" t="s">
        <v>41</v>
      </c>
      <c r="L2289" t="s">
        <v>23</v>
      </c>
      <c r="M2289" t="str">
        <f>VLOOKUP(D2293,Restaurant_Master!A:B,2,FALSE)</f>
        <v>https://www.chatswoodinterchange.com/storages/2018/08/Sushi-World_666x448.jpg</v>
      </c>
    </row>
    <row r="2290" spans="1:13" x14ac:dyDescent="0.3">
      <c r="A2290" t="s">
        <v>2320</v>
      </c>
      <c r="B2290" s="1">
        <v>45466</v>
      </c>
      <c r="C2290" t="s">
        <v>43</v>
      </c>
      <c r="D2290" t="s">
        <v>14</v>
      </c>
      <c r="E2290">
        <v>54</v>
      </c>
      <c r="F2290" t="s">
        <v>15</v>
      </c>
      <c r="G2290">
        <v>366.27</v>
      </c>
      <c r="H2290">
        <v>35</v>
      </c>
      <c r="I2290" t="s">
        <v>22</v>
      </c>
      <c r="J2290">
        <v>3.3</v>
      </c>
      <c r="K2290" t="s">
        <v>41</v>
      </c>
      <c r="L2290" t="s">
        <v>18</v>
      </c>
      <c r="M2290" t="str">
        <f>VLOOKUP(D2294,Restaurant_Master!A:B,2,FALSE)</f>
        <v>https://dynamic-media-cdn.tripadvisor.com/media/photo-o/1c/e7/04/0d/front-of-the-local-easily.jpg</v>
      </c>
    </row>
    <row r="2291" spans="1:13" x14ac:dyDescent="0.3">
      <c r="A2291" t="s">
        <v>2321</v>
      </c>
      <c r="B2291" s="1">
        <v>45598</v>
      </c>
      <c r="C2291" t="s">
        <v>20</v>
      </c>
      <c r="D2291" t="s">
        <v>32</v>
      </c>
      <c r="E2291">
        <v>39</v>
      </c>
      <c r="F2291" t="s">
        <v>28</v>
      </c>
      <c r="G2291">
        <v>873.43</v>
      </c>
      <c r="H2291">
        <v>38</v>
      </c>
      <c r="I2291" t="s">
        <v>22</v>
      </c>
      <c r="J2291">
        <v>4.5999999999999996</v>
      </c>
      <c r="K2291" t="s">
        <v>29</v>
      </c>
      <c r="L2291" t="s">
        <v>18</v>
      </c>
      <c r="M2291" t="str">
        <f>VLOOKUP(D2295,Restaurant_Master!A:B,2,FALSE)</f>
        <v>https://www.chatswoodinterchange.com/storages/2018/08/Sushi-World_666x448.jpg</v>
      </c>
    </row>
    <row r="2292" spans="1:13" x14ac:dyDescent="0.3">
      <c r="A2292" t="s">
        <v>2322</v>
      </c>
      <c r="B2292" s="1">
        <v>45487</v>
      </c>
      <c r="C2292" t="s">
        <v>13</v>
      </c>
      <c r="D2292" t="s">
        <v>32</v>
      </c>
      <c r="E2292">
        <v>33</v>
      </c>
      <c r="F2292" t="s">
        <v>15</v>
      </c>
      <c r="G2292">
        <v>678.13</v>
      </c>
      <c r="H2292">
        <v>51</v>
      </c>
      <c r="I2292" t="s">
        <v>16</v>
      </c>
      <c r="J2292">
        <v>4.9000000000000004</v>
      </c>
      <c r="K2292" t="s">
        <v>41</v>
      </c>
      <c r="L2292" t="s">
        <v>18</v>
      </c>
      <c r="M2292" t="str">
        <f>VLOOKUP(D2296,Restaurant_Master!A:B,2,FALSE)</f>
        <v>https://dynamic-media-cdn.tripadvisor.com/media/photo-o/1c/e7/04/0d/front-of-the-local-easily.jpg</v>
      </c>
    </row>
    <row r="2293" spans="1:13" x14ac:dyDescent="0.3">
      <c r="A2293" t="s">
        <v>2323</v>
      </c>
      <c r="B2293" s="1">
        <v>45455</v>
      </c>
      <c r="C2293" t="s">
        <v>13</v>
      </c>
      <c r="D2293" t="s">
        <v>38</v>
      </c>
      <c r="E2293">
        <v>24</v>
      </c>
      <c r="F2293" t="s">
        <v>15</v>
      </c>
      <c r="G2293">
        <v>353.19</v>
      </c>
      <c r="H2293">
        <v>46</v>
      </c>
      <c r="I2293" t="s">
        <v>16</v>
      </c>
      <c r="J2293">
        <v>3</v>
      </c>
      <c r="K2293" t="s">
        <v>29</v>
      </c>
      <c r="L2293" t="s">
        <v>23</v>
      </c>
      <c r="M2293" t="str">
        <f>VLOOKUP(D2297,Restaurant_Master!A:B,2,FALSE)</f>
        <v>https://media-cdn.tripadvisor.com/media/photo-s/1c/c7/97/b6/photo6jpg.jpg</v>
      </c>
    </row>
    <row r="2294" spans="1:13" x14ac:dyDescent="0.3">
      <c r="A2294" t="s">
        <v>2324</v>
      </c>
      <c r="B2294" s="1">
        <v>45418</v>
      </c>
      <c r="C2294" t="s">
        <v>34</v>
      </c>
      <c r="D2294" t="s">
        <v>21</v>
      </c>
      <c r="E2294">
        <v>39</v>
      </c>
      <c r="F2294" t="s">
        <v>15</v>
      </c>
      <c r="G2294">
        <v>1069.78</v>
      </c>
      <c r="H2294">
        <v>24</v>
      </c>
      <c r="I2294" t="s">
        <v>22</v>
      </c>
      <c r="J2294">
        <v>2.6</v>
      </c>
      <c r="K2294" t="s">
        <v>41</v>
      </c>
      <c r="L2294" t="s">
        <v>23</v>
      </c>
      <c r="M2294" t="str">
        <f>VLOOKUP(D2298,Restaurant_Master!A:B,2,FALSE)</f>
        <v>https://content.jdmagicbox.com/comp/deoria/g6/9999p5568.5568.200119143033.m4g6/catalogue/biryani-house-deoria-ho-deoria-mktc2xph0o.jpg</v>
      </c>
    </row>
    <row r="2295" spans="1:13" x14ac:dyDescent="0.3">
      <c r="A2295" t="s">
        <v>2325</v>
      </c>
      <c r="B2295" s="1">
        <v>45551</v>
      </c>
      <c r="C2295" t="s">
        <v>13</v>
      </c>
      <c r="D2295" t="s">
        <v>38</v>
      </c>
      <c r="E2295">
        <v>55</v>
      </c>
      <c r="F2295" t="s">
        <v>28</v>
      </c>
      <c r="G2295">
        <v>203.89</v>
      </c>
      <c r="H2295">
        <v>33</v>
      </c>
      <c r="I2295" t="s">
        <v>22</v>
      </c>
      <c r="J2295">
        <v>3.2</v>
      </c>
      <c r="K2295" t="s">
        <v>17</v>
      </c>
      <c r="L2295" t="s">
        <v>18</v>
      </c>
      <c r="M2295" t="str">
        <f>VLOOKUP(D2299,Restaurant_Master!A:B,2,FALSE)</f>
        <v>https://dineout-media-assets.swiggy.com/swiggy/image/upload/fl_lossy,f_auto,q_auto/v1660793737/fdqxvxcxg1wtdwvyv45v.jpg</v>
      </c>
    </row>
    <row r="2296" spans="1:13" x14ac:dyDescent="0.3">
      <c r="A2296" t="s">
        <v>2326</v>
      </c>
      <c r="B2296" s="1">
        <v>45464</v>
      </c>
      <c r="C2296" t="s">
        <v>13</v>
      </c>
      <c r="D2296" t="s">
        <v>21</v>
      </c>
      <c r="E2296">
        <v>49</v>
      </c>
      <c r="F2296" t="s">
        <v>28</v>
      </c>
      <c r="G2296">
        <v>746.49</v>
      </c>
      <c r="H2296">
        <v>26</v>
      </c>
      <c r="I2296" t="s">
        <v>22</v>
      </c>
      <c r="J2296">
        <v>4.5</v>
      </c>
      <c r="K2296" t="s">
        <v>17</v>
      </c>
      <c r="L2296" t="s">
        <v>23</v>
      </c>
      <c r="M2296" t="str">
        <f>VLOOKUP(D2300,Restaurant_Master!A:B,2,FALSE)</f>
        <v>https://dineout-media-assets.swiggy.com/swiggy/image/upload/fl_lossy,f_auto,q_auto/v1660793737/fdqxvxcxg1wtdwvyv45v.jpg</v>
      </c>
    </row>
    <row r="2297" spans="1:13" x14ac:dyDescent="0.3">
      <c r="A2297" t="s">
        <v>2327</v>
      </c>
      <c r="B2297" s="1">
        <v>45315</v>
      </c>
      <c r="C2297" t="s">
        <v>43</v>
      </c>
      <c r="D2297" t="s">
        <v>25</v>
      </c>
      <c r="E2297">
        <v>42</v>
      </c>
      <c r="F2297" t="s">
        <v>15</v>
      </c>
      <c r="G2297">
        <v>462.52</v>
      </c>
      <c r="H2297">
        <v>29</v>
      </c>
      <c r="I2297" t="s">
        <v>22</v>
      </c>
      <c r="J2297">
        <v>4</v>
      </c>
      <c r="K2297" t="s">
        <v>26</v>
      </c>
      <c r="L2297" t="s">
        <v>18</v>
      </c>
      <c r="M2297" t="str">
        <f>VLOOKUP(D2301,Restaurant_Master!A:B,2,FALSE)</f>
        <v>https://content.jdmagicbox.com/comp/deoria/g6/9999p5568.5568.200119143033.m4g6/catalogue/biryani-house-deoria-ho-deoria-mktc2xph0o.jpg</v>
      </c>
    </row>
    <row r="2298" spans="1:13" x14ac:dyDescent="0.3">
      <c r="A2298" t="s">
        <v>2328</v>
      </c>
      <c r="B2298" s="1">
        <v>45581</v>
      </c>
      <c r="C2298" t="s">
        <v>20</v>
      </c>
      <c r="D2298" t="s">
        <v>32</v>
      </c>
      <c r="E2298">
        <v>50</v>
      </c>
      <c r="F2298" t="s">
        <v>15</v>
      </c>
      <c r="G2298">
        <v>603.02</v>
      </c>
      <c r="H2298">
        <v>30</v>
      </c>
      <c r="I2298" t="s">
        <v>22</v>
      </c>
      <c r="J2298">
        <v>2.9</v>
      </c>
      <c r="K2298" t="s">
        <v>26</v>
      </c>
      <c r="L2298" t="s">
        <v>23</v>
      </c>
      <c r="M2298" t="str">
        <f>VLOOKUP(D2302,Restaurant_Master!A:B,2,FALSE)</f>
        <v>https://media-cdn.tripadvisor.com/media/photo-s/1c/c7/97/b6/photo6jpg.jpg</v>
      </c>
    </row>
    <row r="2299" spans="1:13" x14ac:dyDescent="0.3">
      <c r="A2299" t="s">
        <v>2329</v>
      </c>
      <c r="B2299" s="1">
        <v>45614</v>
      </c>
      <c r="C2299" t="s">
        <v>36</v>
      </c>
      <c r="D2299" t="s">
        <v>14</v>
      </c>
      <c r="E2299">
        <v>30</v>
      </c>
      <c r="F2299" t="s">
        <v>15</v>
      </c>
      <c r="G2299">
        <v>307.58</v>
      </c>
      <c r="H2299">
        <v>55</v>
      </c>
      <c r="I2299" t="s">
        <v>16</v>
      </c>
      <c r="J2299">
        <v>4.8</v>
      </c>
      <c r="K2299" t="s">
        <v>41</v>
      </c>
      <c r="L2299" t="s">
        <v>23</v>
      </c>
      <c r="M2299" t="str">
        <f>VLOOKUP(D2303,Restaurant_Master!A:B,2,FALSE)</f>
        <v>https://dineout-media-assets.swiggy.com/swiggy/image/upload/fl_lossy,f_auto,q_auto/v1660793737/fdqxvxcxg1wtdwvyv45v.jpg</v>
      </c>
    </row>
    <row r="2300" spans="1:13" x14ac:dyDescent="0.3">
      <c r="A2300" t="s">
        <v>2330</v>
      </c>
      <c r="B2300" s="1">
        <v>45448</v>
      </c>
      <c r="C2300" t="s">
        <v>13</v>
      </c>
      <c r="D2300" t="s">
        <v>14</v>
      </c>
      <c r="E2300">
        <v>38</v>
      </c>
      <c r="F2300" t="s">
        <v>15</v>
      </c>
      <c r="G2300">
        <v>998.02</v>
      </c>
      <c r="H2300">
        <v>57</v>
      </c>
      <c r="I2300" t="s">
        <v>16</v>
      </c>
      <c r="J2300">
        <v>2.9</v>
      </c>
      <c r="K2300" t="s">
        <v>26</v>
      </c>
      <c r="L2300" t="s">
        <v>23</v>
      </c>
      <c r="M2300" t="str">
        <f>VLOOKUP(D2304,Restaurant_Master!A:B,2,FALSE)</f>
        <v>https://content.jdmagicbox.com/comp/deoria/g6/9999p5568.5568.200119143033.m4g6/catalogue/biryani-house-deoria-ho-deoria-mktc2xph0o.jpg</v>
      </c>
    </row>
    <row r="2301" spans="1:13" x14ac:dyDescent="0.3">
      <c r="A2301" t="s">
        <v>2331</v>
      </c>
      <c r="B2301" s="1">
        <v>45578</v>
      </c>
      <c r="C2301" t="s">
        <v>34</v>
      </c>
      <c r="D2301" t="s">
        <v>32</v>
      </c>
      <c r="E2301">
        <v>60</v>
      </c>
      <c r="F2301" t="s">
        <v>15</v>
      </c>
      <c r="G2301">
        <v>507.77</v>
      </c>
      <c r="H2301">
        <v>56</v>
      </c>
      <c r="I2301" t="s">
        <v>16</v>
      </c>
      <c r="J2301">
        <v>3.6</v>
      </c>
      <c r="K2301" t="s">
        <v>17</v>
      </c>
      <c r="L2301" t="s">
        <v>23</v>
      </c>
      <c r="M2301" t="str">
        <f>VLOOKUP(D2305,Restaurant_Master!A:B,2,FALSE)</f>
        <v>https://content.jdmagicbox.com/comp/deoria/g6/9999p5568.5568.200119143033.m4g6/catalogue/biryani-house-deoria-ho-deoria-mktc2xph0o.jpg</v>
      </c>
    </row>
    <row r="2302" spans="1:13" x14ac:dyDescent="0.3">
      <c r="A2302" t="s">
        <v>2332</v>
      </c>
      <c r="B2302" s="1">
        <v>45387</v>
      </c>
      <c r="C2302" t="s">
        <v>34</v>
      </c>
      <c r="D2302" t="s">
        <v>25</v>
      </c>
      <c r="E2302">
        <v>49</v>
      </c>
      <c r="F2302" t="s">
        <v>15</v>
      </c>
      <c r="G2302">
        <v>177.7</v>
      </c>
      <c r="H2302">
        <v>38</v>
      </c>
      <c r="I2302" t="s">
        <v>22</v>
      </c>
      <c r="J2302">
        <v>2.6</v>
      </c>
      <c r="K2302" t="s">
        <v>29</v>
      </c>
      <c r="L2302" t="s">
        <v>18</v>
      </c>
      <c r="M2302" t="str">
        <f>VLOOKUP(D2306,Restaurant_Master!A:B,2,FALSE)</f>
        <v>https://dineout-media-assets.swiggy.com/swiggy/image/upload/fl_lossy,f_auto,q_auto/v1660793737/fdqxvxcxg1wtdwvyv45v.jpg</v>
      </c>
    </row>
    <row r="2303" spans="1:13" x14ac:dyDescent="0.3">
      <c r="A2303" t="s">
        <v>2333</v>
      </c>
      <c r="B2303" s="1">
        <v>45568</v>
      </c>
      <c r="C2303" t="s">
        <v>43</v>
      </c>
      <c r="D2303" t="s">
        <v>14</v>
      </c>
      <c r="E2303">
        <v>48</v>
      </c>
      <c r="F2303" t="s">
        <v>15</v>
      </c>
      <c r="G2303">
        <v>745.08</v>
      </c>
      <c r="H2303">
        <v>29</v>
      </c>
      <c r="I2303" t="s">
        <v>22</v>
      </c>
      <c r="J2303">
        <v>2.9</v>
      </c>
      <c r="K2303" t="s">
        <v>29</v>
      </c>
      <c r="L2303" t="s">
        <v>23</v>
      </c>
      <c r="M2303" t="str">
        <f>VLOOKUP(D2307,Restaurant_Master!A:B,2,FALSE)</f>
        <v>https://www.chatswoodinterchange.com/storages/2018/08/Sushi-World_666x448.jpg</v>
      </c>
    </row>
    <row r="2304" spans="1:13" x14ac:dyDescent="0.3">
      <c r="A2304" t="s">
        <v>2334</v>
      </c>
      <c r="B2304" s="1">
        <v>45435</v>
      </c>
      <c r="C2304" t="s">
        <v>34</v>
      </c>
      <c r="D2304" t="s">
        <v>32</v>
      </c>
      <c r="E2304">
        <v>31</v>
      </c>
      <c r="F2304" t="s">
        <v>28</v>
      </c>
      <c r="G2304">
        <v>914.41</v>
      </c>
      <c r="H2304">
        <v>34</v>
      </c>
      <c r="I2304" t="s">
        <v>22</v>
      </c>
      <c r="J2304">
        <v>3.7</v>
      </c>
      <c r="K2304" t="s">
        <v>29</v>
      </c>
      <c r="L2304" t="s">
        <v>18</v>
      </c>
      <c r="M2304" t="str">
        <f>VLOOKUP(D2308,Restaurant_Master!A:B,2,FALSE)</f>
        <v>https://dineout-media-assets.swiggy.com/swiggy/image/upload/fl_lossy,f_auto,q_auto/v1660793737/fdqxvxcxg1wtdwvyv45v.jpg</v>
      </c>
    </row>
    <row r="2305" spans="1:13" x14ac:dyDescent="0.3">
      <c r="A2305" t="s">
        <v>2335</v>
      </c>
      <c r="B2305" s="1">
        <v>45444</v>
      </c>
      <c r="C2305" t="s">
        <v>36</v>
      </c>
      <c r="D2305" t="s">
        <v>32</v>
      </c>
      <c r="E2305">
        <v>56</v>
      </c>
      <c r="F2305" t="s">
        <v>15</v>
      </c>
      <c r="G2305">
        <v>757.36</v>
      </c>
      <c r="H2305">
        <v>29</v>
      </c>
      <c r="I2305" t="s">
        <v>22</v>
      </c>
      <c r="J2305">
        <v>2.6</v>
      </c>
      <c r="K2305" t="s">
        <v>29</v>
      </c>
      <c r="L2305" t="s">
        <v>18</v>
      </c>
      <c r="M2305" t="str">
        <f>VLOOKUP(D2309,Restaurant_Master!A:B,2,FALSE)</f>
        <v>https://media-cdn.tripadvisor.com/media/photo-s/1c/c7/97/b6/photo6jpg.jpg</v>
      </c>
    </row>
    <row r="2306" spans="1:13" x14ac:dyDescent="0.3">
      <c r="A2306" t="s">
        <v>2336</v>
      </c>
      <c r="B2306" s="1">
        <v>45386</v>
      </c>
      <c r="C2306" t="s">
        <v>36</v>
      </c>
      <c r="D2306" t="s">
        <v>14</v>
      </c>
      <c r="E2306">
        <v>24</v>
      </c>
      <c r="F2306" t="s">
        <v>28</v>
      </c>
      <c r="G2306">
        <v>603.12</v>
      </c>
      <c r="H2306">
        <v>55</v>
      </c>
      <c r="I2306" t="s">
        <v>16</v>
      </c>
      <c r="J2306">
        <v>4.9000000000000004</v>
      </c>
      <c r="K2306" t="s">
        <v>17</v>
      </c>
      <c r="L2306" t="s">
        <v>23</v>
      </c>
      <c r="M2306" t="str">
        <f>VLOOKUP(D2310,Restaurant_Master!A:B,2,FALSE)</f>
        <v>https://dineout-media-assets.swiggy.com/swiggy/image/upload/fl_lossy,f_auto,q_auto/v1660793737/fdqxvxcxg1wtdwvyv45v.jpg</v>
      </c>
    </row>
    <row r="2307" spans="1:13" x14ac:dyDescent="0.3">
      <c r="A2307" t="s">
        <v>2337</v>
      </c>
      <c r="B2307" s="1">
        <v>45581</v>
      </c>
      <c r="C2307" t="s">
        <v>34</v>
      </c>
      <c r="D2307" t="s">
        <v>38</v>
      </c>
      <c r="E2307">
        <v>35</v>
      </c>
      <c r="F2307" t="s">
        <v>15</v>
      </c>
      <c r="G2307">
        <v>912.2</v>
      </c>
      <c r="H2307">
        <v>42</v>
      </c>
      <c r="I2307" t="s">
        <v>16</v>
      </c>
      <c r="J2307">
        <v>2.7</v>
      </c>
      <c r="K2307" t="s">
        <v>41</v>
      </c>
      <c r="L2307" t="s">
        <v>23</v>
      </c>
      <c r="M2307" t="str">
        <f>VLOOKUP(D2311,Restaurant_Master!A:B,2,FALSE)</f>
        <v>https://dynamic-media-cdn.tripadvisor.com/media/photo-o/1c/e7/04/0d/front-of-the-local-easily.jpg</v>
      </c>
    </row>
    <row r="2308" spans="1:13" x14ac:dyDescent="0.3">
      <c r="A2308" t="s">
        <v>2338</v>
      </c>
      <c r="B2308" s="1">
        <v>45357</v>
      </c>
      <c r="C2308" t="s">
        <v>43</v>
      </c>
      <c r="D2308" t="s">
        <v>14</v>
      </c>
      <c r="E2308">
        <v>35</v>
      </c>
      <c r="F2308" t="s">
        <v>15</v>
      </c>
      <c r="G2308">
        <v>353.18</v>
      </c>
      <c r="H2308">
        <v>27</v>
      </c>
      <c r="I2308" t="s">
        <v>22</v>
      </c>
      <c r="J2308">
        <v>4.8</v>
      </c>
      <c r="K2308" t="s">
        <v>29</v>
      </c>
      <c r="L2308" t="s">
        <v>18</v>
      </c>
      <c r="M2308" t="str">
        <f>VLOOKUP(D2312,Restaurant_Master!A:B,2,FALSE)</f>
        <v>https://dynamic-media-cdn.tripadvisor.com/media/photo-o/1c/e7/04/0d/front-of-the-local-easily.jpg</v>
      </c>
    </row>
    <row r="2309" spans="1:13" x14ac:dyDescent="0.3">
      <c r="A2309" t="s">
        <v>2339</v>
      </c>
      <c r="B2309" s="1">
        <v>45616</v>
      </c>
      <c r="C2309" t="s">
        <v>36</v>
      </c>
      <c r="D2309" t="s">
        <v>25</v>
      </c>
      <c r="E2309">
        <v>23</v>
      </c>
      <c r="F2309" t="s">
        <v>28</v>
      </c>
      <c r="G2309">
        <v>1175.3699999999999</v>
      </c>
      <c r="H2309">
        <v>41</v>
      </c>
      <c r="I2309" t="s">
        <v>16</v>
      </c>
      <c r="J2309">
        <v>5</v>
      </c>
      <c r="K2309" t="s">
        <v>17</v>
      </c>
      <c r="L2309" t="s">
        <v>23</v>
      </c>
      <c r="M2309" t="str">
        <f>VLOOKUP(D2313,Restaurant_Master!A:B,2,FALSE)</f>
        <v>https://content.jdmagicbox.com/comp/deoria/g6/9999p5568.5568.200119143033.m4g6/catalogue/biryani-house-deoria-ho-deoria-mktc2xph0o.jpg</v>
      </c>
    </row>
    <row r="2310" spans="1:13" x14ac:dyDescent="0.3">
      <c r="A2310" t="s">
        <v>2340</v>
      </c>
      <c r="B2310" s="1">
        <v>45636</v>
      </c>
      <c r="C2310" t="s">
        <v>36</v>
      </c>
      <c r="D2310" t="s">
        <v>14</v>
      </c>
      <c r="E2310">
        <v>20</v>
      </c>
      <c r="F2310" t="s">
        <v>15</v>
      </c>
      <c r="G2310">
        <v>1027.77</v>
      </c>
      <c r="H2310">
        <v>28</v>
      </c>
      <c r="I2310" t="s">
        <v>22</v>
      </c>
      <c r="J2310">
        <v>2.8</v>
      </c>
      <c r="K2310" t="s">
        <v>41</v>
      </c>
      <c r="L2310" t="s">
        <v>23</v>
      </c>
      <c r="M2310" t="str">
        <f>VLOOKUP(D2314,Restaurant_Master!A:B,2,FALSE)</f>
        <v>https://media-cdn.tripadvisor.com/media/photo-s/1c/c7/97/b6/photo6jpg.jpg</v>
      </c>
    </row>
    <row r="2311" spans="1:13" x14ac:dyDescent="0.3">
      <c r="A2311" t="s">
        <v>2341</v>
      </c>
      <c r="B2311" s="1">
        <v>45331</v>
      </c>
      <c r="C2311" t="s">
        <v>34</v>
      </c>
      <c r="D2311" t="s">
        <v>21</v>
      </c>
      <c r="E2311">
        <v>33</v>
      </c>
      <c r="F2311" t="s">
        <v>15</v>
      </c>
      <c r="G2311">
        <v>812.52</v>
      </c>
      <c r="H2311">
        <v>55</v>
      </c>
      <c r="I2311" t="s">
        <v>16</v>
      </c>
      <c r="J2311">
        <v>4.9000000000000004</v>
      </c>
      <c r="K2311" t="s">
        <v>17</v>
      </c>
      <c r="L2311" t="s">
        <v>18</v>
      </c>
      <c r="M2311" t="str">
        <f>VLOOKUP(D2315,Restaurant_Master!A:B,2,FALSE)</f>
        <v>https://dynamic-media-cdn.tripadvisor.com/media/photo-o/1c/e7/04/0d/front-of-the-local-easily.jpg</v>
      </c>
    </row>
    <row r="2312" spans="1:13" x14ac:dyDescent="0.3">
      <c r="A2312" t="s">
        <v>2342</v>
      </c>
      <c r="B2312" s="1">
        <v>45452</v>
      </c>
      <c r="C2312" t="s">
        <v>34</v>
      </c>
      <c r="D2312" t="s">
        <v>21</v>
      </c>
      <c r="E2312">
        <v>32</v>
      </c>
      <c r="F2312" t="s">
        <v>15</v>
      </c>
      <c r="G2312">
        <v>504.51</v>
      </c>
      <c r="H2312">
        <v>43</v>
      </c>
      <c r="I2312" t="s">
        <v>16</v>
      </c>
      <c r="J2312">
        <v>4.3</v>
      </c>
      <c r="K2312" t="s">
        <v>26</v>
      </c>
      <c r="L2312" t="s">
        <v>18</v>
      </c>
      <c r="M2312" t="str">
        <f>VLOOKUP(D2316,Restaurant_Master!A:B,2,FALSE)</f>
        <v>https://media-cdn.tripadvisor.com/media/photo-s/1c/c7/97/b6/photo6jpg.jpg</v>
      </c>
    </row>
    <row r="2313" spans="1:13" x14ac:dyDescent="0.3">
      <c r="A2313" t="s">
        <v>2343</v>
      </c>
      <c r="B2313" s="1">
        <v>45391</v>
      </c>
      <c r="C2313" t="s">
        <v>13</v>
      </c>
      <c r="D2313" t="s">
        <v>32</v>
      </c>
      <c r="E2313">
        <v>27</v>
      </c>
      <c r="F2313" t="s">
        <v>28</v>
      </c>
      <c r="G2313">
        <v>653.76</v>
      </c>
      <c r="H2313">
        <v>40</v>
      </c>
      <c r="I2313" t="s">
        <v>22</v>
      </c>
      <c r="J2313">
        <v>2.8</v>
      </c>
      <c r="K2313" t="s">
        <v>17</v>
      </c>
      <c r="L2313" t="s">
        <v>23</v>
      </c>
      <c r="M2313" t="str">
        <f>VLOOKUP(D2317,Restaurant_Master!A:B,2,FALSE)</f>
        <v>https://media-cdn.tripadvisor.com/media/photo-s/1c/c7/97/b6/photo6jpg.jpg</v>
      </c>
    </row>
    <row r="2314" spans="1:13" x14ac:dyDescent="0.3">
      <c r="A2314" t="s">
        <v>2344</v>
      </c>
      <c r="B2314" s="1">
        <v>45621</v>
      </c>
      <c r="C2314" t="s">
        <v>43</v>
      </c>
      <c r="D2314" t="s">
        <v>25</v>
      </c>
      <c r="E2314">
        <v>58</v>
      </c>
      <c r="F2314" t="s">
        <v>28</v>
      </c>
      <c r="G2314">
        <v>909.44</v>
      </c>
      <c r="H2314">
        <v>37</v>
      </c>
      <c r="I2314" t="s">
        <v>22</v>
      </c>
      <c r="J2314">
        <v>3.2</v>
      </c>
      <c r="K2314" t="s">
        <v>17</v>
      </c>
      <c r="L2314" t="s">
        <v>23</v>
      </c>
      <c r="M2314" t="str">
        <f>VLOOKUP(D2318,Restaurant_Master!A:B,2,FALSE)</f>
        <v>https://dynamic-media-cdn.tripadvisor.com/media/photo-o/1c/e7/04/0d/front-of-the-local-easily.jpg</v>
      </c>
    </row>
    <row r="2315" spans="1:13" x14ac:dyDescent="0.3">
      <c r="A2315" t="s">
        <v>2345</v>
      </c>
      <c r="B2315" s="1">
        <v>45375</v>
      </c>
      <c r="C2315" t="s">
        <v>34</v>
      </c>
      <c r="D2315" t="s">
        <v>21</v>
      </c>
      <c r="E2315">
        <v>33</v>
      </c>
      <c r="F2315" t="s">
        <v>28</v>
      </c>
      <c r="G2315">
        <v>535.89</v>
      </c>
      <c r="H2315">
        <v>33</v>
      </c>
      <c r="I2315" t="s">
        <v>22</v>
      </c>
      <c r="J2315">
        <v>4.9000000000000004</v>
      </c>
      <c r="K2315" t="s">
        <v>26</v>
      </c>
      <c r="L2315" t="s">
        <v>23</v>
      </c>
      <c r="M2315" t="str">
        <f>VLOOKUP(D2319,Restaurant_Master!A:B,2,FALSE)</f>
        <v>https://content.jdmagicbox.com/comp/deoria/g6/9999p5568.5568.200119143033.m4g6/catalogue/biryani-house-deoria-ho-deoria-mktc2xph0o.jpg</v>
      </c>
    </row>
    <row r="2316" spans="1:13" x14ac:dyDescent="0.3">
      <c r="A2316" t="s">
        <v>2346</v>
      </c>
      <c r="B2316" s="1">
        <v>45399</v>
      </c>
      <c r="C2316" t="s">
        <v>34</v>
      </c>
      <c r="D2316" t="s">
        <v>25</v>
      </c>
      <c r="E2316">
        <v>41</v>
      </c>
      <c r="F2316" t="s">
        <v>28</v>
      </c>
      <c r="G2316">
        <v>1061.46</v>
      </c>
      <c r="H2316">
        <v>31</v>
      </c>
      <c r="I2316" t="s">
        <v>22</v>
      </c>
      <c r="J2316">
        <v>4.8</v>
      </c>
      <c r="K2316" t="s">
        <v>41</v>
      </c>
      <c r="L2316" t="s">
        <v>23</v>
      </c>
      <c r="M2316" t="str">
        <f>VLOOKUP(D2320,Restaurant_Master!A:B,2,FALSE)</f>
        <v>https://dynamic-media-cdn.tripadvisor.com/media/photo-o/1c/e7/04/0d/front-of-the-local-easily.jpg</v>
      </c>
    </row>
    <row r="2317" spans="1:13" x14ac:dyDescent="0.3">
      <c r="A2317" t="s">
        <v>2347</v>
      </c>
      <c r="B2317" s="1">
        <v>45319</v>
      </c>
      <c r="C2317" t="s">
        <v>43</v>
      </c>
      <c r="D2317" t="s">
        <v>25</v>
      </c>
      <c r="E2317">
        <v>59</v>
      </c>
      <c r="F2317" t="s">
        <v>28</v>
      </c>
      <c r="G2317">
        <v>328.48</v>
      </c>
      <c r="H2317">
        <v>60</v>
      </c>
      <c r="I2317" t="s">
        <v>16</v>
      </c>
      <c r="J2317">
        <v>4.9000000000000004</v>
      </c>
      <c r="K2317" t="s">
        <v>29</v>
      </c>
      <c r="L2317" t="s">
        <v>23</v>
      </c>
      <c r="M2317" t="str">
        <f>VLOOKUP(D2321,Restaurant_Master!A:B,2,FALSE)</f>
        <v>https://www.chatswoodinterchange.com/storages/2018/08/Sushi-World_666x448.jpg</v>
      </c>
    </row>
    <row r="2318" spans="1:13" x14ac:dyDescent="0.3">
      <c r="A2318" t="s">
        <v>2348</v>
      </c>
      <c r="B2318" s="1">
        <v>45316</v>
      </c>
      <c r="C2318" t="s">
        <v>34</v>
      </c>
      <c r="D2318" t="s">
        <v>21</v>
      </c>
      <c r="E2318">
        <v>24</v>
      </c>
      <c r="F2318" t="s">
        <v>28</v>
      </c>
      <c r="G2318">
        <v>556.72</v>
      </c>
      <c r="H2318">
        <v>25</v>
      </c>
      <c r="I2318" t="s">
        <v>22</v>
      </c>
      <c r="J2318">
        <v>3.6</v>
      </c>
      <c r="K2318" t="s">
        <v>26</v>
      </c>
      <c r="L2318" t="s">
        <v>23</v>
      </c>
      <c r="M2318" t="str">
        <f>VLOOKUP(D2322,Restaurant_Master!A:B,2,FALSE)</f>
        <v>https://www.chatswoodinterchange.com/storages/2018/08/Sushi-World_666x448.jpg</v>
      </c>
    </row>
    <row r="2319" spans="1:13" x14ac:dyDescent="0.3">
      <c r="A2319" t="s">
        <v>2349</v>
      </c>
      <c r="B2319" s="1">
        <v>45618</v>
      </c>
      <c r="C2319" t="s">
        <v>43</v>
      </c>
      <c r="D2319" t="s">
        <v>32</v>
      </c>
      <c r="E2319">
        <v>58</v>
      </c>
      <c r="F2319" t="s">
        <v>28</v>
      </c>
      <c r="G2319">
        <v>816.99</v>
      </c>
      <c r="H2319">
        <v>28</v>
      </c>
      <c r="I2319" t="s">
        <v>22</v>
      </c>
      <c r="J2319">
        <v>3.1</v>
      </c>
      <c r="K2319" t="s">
        <v>26</v>
      </c>
      <c r="L2319" t="s">
        <v>23</v>
      </c>
      <c r="M2319" t="str">
        <f>VLOOKUP(D2323,Restaurant_Master!A:B,2,FALSE)</f>
        <v>https://dynamic-media-cdn.tripadvisor.com/media/photo-o/1c/e7/04/0d/front-of-the-local-easily.jpg</v>
      </c>
    </row>
    <row r="2320" spans="1:13" x14ac:dyDescent="0.3">
      <c r="A2320" t="s">
        <v>2350</v>
      </c>
      <c r="B2320" s="1">
        <v>45482</v>
      </c>
      <c r="C2320" t="s">
        <v>36</v>
      </c>
      <c r="D2320" t="s">
        <v>21</v>
      </c>
      <c r="E2320">
        <v>51</v>
      </c>
      <c r="F2320" t="s">
        <v>15</v>
      </c>
      <c r="G2320">
        <v>622.26</v>
      </c>
      <c r="H2320">
        <v>24</v>
      </c>
      <c r="I2320" t="s">
        <v>22</v>
      </c>
      <c r="J2320">
        <v>4</v>
      </c>
      <c r="K2320" t="s">
        <v>26</v>
      </c>
      <c r="L2320" t="s">
        <v>23</v>
      </c>
      <c r="M2320" t="str">
        <f>VLOOKUP(D2324,Restaurant_Master!A:B,2,FALSE)</f>
        <v>https://content.jdmagicbox.com/comp/deoria/g6/9999p5568.5568.200119143033.m4g6/catalogue/biryani-house-deoria-ho-deoria-mktc2xph0o.jpg</v>
      </c>
    </row>
    <row r="2321" spans="1:13" x14ac:dyDescent="0.3">
      <c r="A2321" t="s">
        <v>2351</v>
      </c>
      <c r="B2321" s="1">
        <v>45476</v>
      </c>
      <c r="C2321" t="s">
        <v>13</v>
      </c>
      <c r="D2321" t="s">
        <v>38</v>
      </c>
      <c r="E2321">
        <v>27</v>
      </c>
      <c r="F2321" t="s">
        <v>15</v>
      </c>
      <c r="G2321">
        <v>443.22</v>
      </c>
      <c r="H2321">
        <v>59</v>
      </c>
      <c r="I2321" t="s">
        <v>16</v>
      </c>
      <c r="J2321">
        <v>4.9000000000000004</v>
      </c>
      <c r="K2321" t="s">
        <v>29</v>
      </c>
      <c r="L2321" t="s">
        <v>23</v>
      </c>
      <c r="M2321" t="str">
        <f>VLOOKUP(D2325,Restaurant_Master!A:B,2,FALSE)</f>
        <v>https://media-cdn.tripadvisor.com/media/photo-s/1c/c7/97/b6/photo6jpg.jpg</v>
      </c>
    </row>
    <row r="2322" spans="1:13" x14ac:dyDescent="0.3">
      <c r="A2322" t="s">
        <v>2352</v>
      </c>
      <c r="B2322" s="1">
        <v>45645</v>
      </c>
      <c r="C2322" t="s">
        <v>20</v>
      </c>
      <c r="D2322" t="s">
        <v>38</v>
      </c>
      <c r="E2322">
        <v>48</v>
      </c>
      <c r="F2322" t="s">
        <v>15</v>
      </c>
      <c r="G2322">
        <v>200.71</v>
      </c>
      <c r="H2322">
        <v>50</v>
      </c>
      <c r="I2322" t="s">
        <v>16</v>
      </c>
      <c r="J2322">
        <v>3.3</v>
      </c>
      <c r="K2322" t="s">
        <v>41</v>
      </c>
      <c r="L2322" t="s">
        <v>23</v>
      </c>
      <c r="M2322" t="str">
        <f>VLOOKUP(D2326,Restaurant_Master!A:B,2,FALSE)</f>
        <v>https://dynamic-media-cdn.tripadvisor.com/media/photo-o/1c/e7/04/0d/front-of-the-local-easily.jpg</v>
      </c>
    </row>
    <row r="2323" spans="1:13" x14ac:dyDescent="0.3">
      <c r="A2323" t="s">
        <v>2353</v>
      </c>
      <c r="B2323" s="1">
        <v>45607</v>
      </c>
      <c r="C2323" t="s">
        <v>43</v>
      </c>
      <c r="D2323" t="s">
        <v>21</v>
      </c>
      <c r="E2323">
        <v>43</v>
      </c>
      <c r="F2323" t="s">
        <v>15</v>
      </c>
      <c r="G2323">
        <v>713.11</v>
      </c>
      <c r="H2323">
        <v>54</v>
      </c>
      <c r="I2323" t="s">
        <v>16</v>
      </c>
      <c r="J2323">
        <v>3.5</v>
      </c>
      <c r="K2323" t="s">
        <v>17</v>
      </c>
      <c r="L2323" t="s">
        <v>23</v>
      </c>
      <c r="M2323" t="str">
        <f>VLOOKUP(D2327,Restaurant_Master!A:B,2,FALSE)</f>
        <v>https://content.jdmagicbox.com/comp/deoria/g6/9999p5568.5568.200119143033.m4g6/catalogue/biryani-house-deoria-ho-deoria-mktc2xph0o.jpg</v>
      </c>
    </row>
    <row r="2324" spans="1:13" x14ac:dyDescent="0.3">
      <c r="A2324" t="s">
        <v>2354</v>
      </c>
      <c r="B2324" s="1">
        <v>45378</v>
      </c>
      <c r="C2324" t="s">
        <v>20</v>
      </c>
      <c r="D2324" t="s">
        <v>32</v>
      </c>
      <c r="E2324">
        <v>53</v>
      </c>
      <c r="F2324" t="s">
        <v>28</v>
      </c>
      <c r="G2324">
        <v>633.76</v>
      </c>
      <c r="H2324">
        <v>20</v>
      </c>
      <c r="I2324" t="s">
        <v>22</v>
      </c>
      <c r="J2324">
        <v>4.2</v>
      </c>
      <c r="K2324" t="s">
        <v>29</v>
      </c>
      <c r="L2324" t="s">
        <v>23</v>
      </c>
      <c r="M2324" t="str">
        <f>VLOOKUP(D2328,Restaurant_Master!A:B,2,FALSE)</f>
        <v>https://content.jdmagicbox.com/comp/deoria/g6/9999p5568.5568.200119143033.m4g6/catalogue/biryani-house-deoria-ho-deoria-mktc2xph0o.jpg</v>
      </c>
    </row>
    <row r="2325" spans="1:13" x14ac:dyDescent="0.3">
      <c r="A2325" t="s">
        <v>2355</v>
      </c>
      <c r="B2325" s="1">
        <v>45430</v>
      </c>
      <c r="C2325" t="s">
        <v>13</v>
      </c>
      <c r="D2325" t="s">
        <v>25</v>
      </c>
      <c r="E2325">
        <v>42</v>
      </c>
      <c r="F2325" t="s">
        <v>28</v>
      </c>
      <c r="G2325">
        <v>611.87</v>
      </c>
      <c r="H2325">
        <v>41</v>
      </c>
      <c r="I2325" t="s">
        <v>16</v>
      </c>
      <c r="J2325">
        <v>5</v>
      </c>
      <c r="K2325" t="s">
        <v>29</v>
      </c>
      <c r="L2325" t="s">
        <v>18</v>
      </c>
      <c r="M2325" t="str">
        <f>VLOOKUP(D2329,Restaurant_Master!A:B,2,FALSE)</f>
        <v>https://dineout-media-assets.swiggy.com/swiggy/image/upload/fl_lossy,f_auto,q_auto/v1660793737/fdqxvxcxg1wtdwvyv45v.jpg</v>
      </c>
    </row>
    <row r="2326" spans="1:13" x14ac:dyDescent="0.3">
      <c r="A2326" t="s">
        <v>2356</v>
      </c>
      <c r="B2326" s="1">
        <v>45406</v>
      </c>
      <c r="C2326" t="s">
        <v>20</v>
      </c>
      <c r="D2326" t="s">
        <v>21</v>
      </c>
      <c r="E2326">
        <v>23</v>
      </c>
      <c r="F2326" t="s">
        <v>28</v>
      </c>
      <c r="G2326">
        <v>940.32</v>
      </c>
      <c r="H2326">
        <v>38</v>
      </c>
      <c r="I2326" t="s">
        <v>22</v>
      </c>
      <c r="J2326">
        <v>4.5999999999999996</v>
      </c>
      <c r="K2326" t="s">
        <v>29</v>
      </c>
      <c r="L2326" t="s">
        <v>23</v>
      </c>
      <c r="M2326" t="str">
        <f>VLOOKUP(D2330,Restaurant_Master!A:B,2,FALSE)</f>
        <v>https://dynamic-media-cdn.tripadvisor.com/media/photo-o/1c/e7/04/0d/front-of-the-local-easily.jpg</v>
      </c>
    </row>
    <row r="2327" spans="1:13" x14ac:dyDescent="0.3">
      <c r="A2327" t="s">
        <v>2357</v>
      </c>
      <c r="B2327" s="1">
        <v>45373</v>
      </c>
      <c r="C2327" t="s">
        <v>34</v>
      </c>
      <c r="D2327" t="s">
        <v>32</v>
      </c>
      <c r="E2327">
        <v>57</v>
      </c>
      <c r="F2327" t="s">
        <v>28</v>
      </c>
      <c r="G2327">
        <v>811.12</v>
      </c>
      <c r="H2327">
        <v>42</v>
      </c>
      <c r="I2327" t="s">
        <v>16</v>
      </c>
      <c r="J2327">
        <v>2.6</v>
      </c>
      <c r="K2327" t="s">
        <v>29</v>
      </c>
      <c r="L2327" t="s">
        <v>23</v>
      </c>
      <c r="M2327" t="str">
        <f>VLOOKUP(D2331,Restaurant_Master!A:B,2,FALSE)</f>
        <v>https://dynamic-media-cdn.tripadvisor.com/media/photo-o/1c/e7/04/0d/front-of-the-local-easily.jpg</v>
      </c>
    </row>
    <row r="2328" spans="1:13" x14ac:dyDescent="0.3">
      <c r="A2328" t="s">
        <v>2358</v>
      </c>
      <c r="B2328" s="1">
        <v>45329</v>
      </c>
      <c r="C2328" t="s">
        <v>20</v>
      </c>
      <c r="D2328" t="s">
        <v>32</v>
      </c>
      <c r="E2328">
        <v>43</v>
      </c>
      <c r="F2328" t="s">
        <v>15</v>
      </c>
      <c r="G2328">
        <v>476.46</v>
      </c>
      <c r="H2328">
        <v>42</v>
      </c>
      <c r="I2328" t="s">
        <v>16</v>
      </c>
      <c r="J2328">
        <v>3.5</v>
      </c>
      <c r="K2328" t="s">
        <v>41</v>
      </c>
      <c r="L2328" t="s">
        <v>23</v>
      </c>
      <c r="M2328" t="str">
        <f>VLOOKUP(D2332,Restaurant_Master!A:B,2,FALSE)</f>
        <v>https://www.chatswoodinterchange.com/storages/2018/08/Sushi-World_666x448.jpg</v>
      </c>
    </row>
    <row r="2329" spans="1:13" x14ac:dyDescent="0.3">
      <c r="A2329" t="s">
        <v>2359</v>
      </c>
      <c r="B2329" s="1">
        <v>45623</v>
      </c>
      <c r="C2329" t="s">
        <v>43</v>
      </c>
      <c r="D2329" t="s">
        <v>14</v>
      </c>
      <c r="E2329">
        <v>24</v>
      </c>
      <c r="F2329" t="s">
        <v>15</v>
      </c>
      <c r="G2329">
        <v>685.58</v>
      </c>
      <c r="H2329">
        <v>27</v>
      </c>
      <c r="I2329" t="s">
        <v>22</v>
      </c>
      <c r="J2329">
        <v>4</v>
      </c>
      <c r="K2329" t="s">
        <v>29</v>
      </c>
      <c r="L2329" t="s">
        <v>23</v>
      </c>
      <c r="M2329" t="str">
        <f>VLOOKUP(D2333,Restaurant_Master!A:B,2,FALSE)</f>
        <v>https://dineout-media-assets.swiggy.com/swiggy/image/upload/fl_lossy,f_auto,q_auto/v1660793737/fdqxvxcxg1wtdwvyv45v.jpg</v>
      </c>
    </row>
    <row r="2330" spans="1:13" x14ac:dyDescent="0.3">
      <c r="A2330" t="s">
        <v>2360</v>
      </c>
      <c r="B2330" s="1">
        <v>45496</v>
      </c>
      <c r="C2330" t="s">
        <v>13</v>
      </c>
      <c r="D2330" t="s">
        <v>21</v>
      </c>
      <c r="E2330">
        <v>48</v>
      </c>
      <c r="F2330" t="s">
        <v>28</v>
      </c>
      <c r="G2330">
        <v>802.08</v>
      </c>
      <c r="H2330">
        <v>34</v>
      </c>
      <c r="I2330" t="s">
        <v>22</v>
      </c>
      <c r="J2330">
        <v>4.5</v>
      </c>
      <c r="K2330" t="s">
        <v>29</v>
      </c>
      <c r="L2330" t="s">
        <v>18</v>
      </c>
      <c r="M2330" t="str">
        <f>VLOOKUP(D2334,Restaurant_Master!A:B,2,FALSE)</f>
        <v>https://dynamic-media-cdn.tripadvisor.com/media/photo-o/1c/e7/04/0d/front-of-the-local-easily.jpg</v>
      </c>
    </row>
    <row r="2331" spans="1:13" x14ac:dyDescent="0.3">
      <c r="A2331" t="s">
        <v>2361</v>
      </c>
      <c r="B2331" s="1">
        <v>45538</v>
      </c>
      <c r="C2331" t="s">
        <v>36</v>
      </c>
      <c r="D2331" t="s">
        <v>21</v>
      </c>
      <c r="E2331">
        <v>24</v>
      </c>
      <c r="F2331" t="s">
        <v>15</v>
      </c>
      <c r="G2331">
        <v>1106.8599999999999</v>
      </c>
      <c r="H2331">
        <v>21</v>
      </c>
      <c r="I2331" t="s">
        <v>22</v>
      </c>
      <c r="J2331">
        <v>3.2</v>
      </c>
      <c r="K2331" t="s">
        <v>41</v>
      </c>
      <c r="L2331" t="s">
        <v>23</v>
      </c>
      <c r="M2331" t="str">
        <f>VLOOKUP(D2335,Restaurant_Master!A:B,2,FALSE)</f>
        <v>https://www.chatswoodinterchange.com/storages/2018/08/Sushi-World_666x448.jpg</v>
      </c>
    </row>
    <row r="2332" spans="1:13" x14ac:dyDescent="0.3">
      <c r="A2332" t="s">
        <v>2362</v>
      </c>
      <c r="B2332" s="1">
        <v>45406</v>
      </c>
      <c r="C2332" t="s">
        <v>36</v>
      </c>
      <c r="D2332" t="s">
        <v>38</v>
      </c>
      <c r="E2332">
        <v>59</v>
      </c>
      <c r="F2332" t="s">
        <v>15</v>
      </c>
      <c r="G2332">
        <v>243.51</v>
      </c>
      <c r="H2332">
        <v>44</v>
      </c>
      <c r="I2332" t="s">
        <v>16</v>
      </c>
      <c r="J2332">
        <v>3.6</v>
      </c>
      <c r="K2332" t="s">
        <v>26</v>
      </c>
      <c r="L2332" t="s">
        <v>23</v>
      </c>
      <c r="M2332" t="str">
        <f>VLOOKUP(D2336,Restaurant_Master!A:B,2,FALSE)</f>
        <v>https://dineout-media-assets.swiggy.com/swiggy/image/upload/fl_lossy,f_auto,q_auto/v1660793737/fdqxvxcxg1wtdwvyv45v.jpg</v>
      </c>
    </row>
    <row r="2333" spans="1:13" x14ac:dyDescent="0.3">
      <c r="A2333" t="s">
        <v>2363</v>
      </c>
      <c r="B2333" s="1">
        <v>45470</v>
      </c>
      <c r="C2333" t="s">
        <v>34</v>
      </c>
      <c r="D2333" t="s">
        <v>14</v>
      </c>
      <c r="E2333">
        <v>34</v>
      </c>
      <c r="F2333" t="s">
        <v>15</v>
      </c>
      <c r="G2333">
        <v>151.31</v>
      </c>
      <c r="H2333">
        <v>34</v>
      </c>
      <c r="I2333" t="s">
        <v>22</v>
      </c>
      <c r="J2333">
        <v>2.9</v>
      </c>
      <c r="K2333" t="s">
        <v>17</v>
      </c>
      <c r="L2333" t="s">
        <v>23</v>
      </c>
      <c r="M2333" t="str">
        <f>VLOOKUP(D2337,Restaurant_Master!A:B,2,FALSE)</f>
        <v>https://dynamic-media-cdn.tripadvisor.com/media/photo-o/1c/e7/04/0d/front-of-the-local-easily.jpg</v>
      </c>
    </row>
    <row r="2334" spans="1:13" x14ac:dyDescent="0.3">
      <c r="A2334" t="s">
        <v>2364</v>
      </c>
      <c r="B2334" s="1">
        <v>45630</v>
      </c>
      <c r="C2334" t="s">
        <v>20</v>
      </c>
      <c r="D2334" t="s">
        <v>21</v>
      </c>
      <c r="E2334">
        <v>59</v>
      </c>
      <c r="F2334" t="s">
        <v>28</v>
      </c>
      <c r="G2334">
        <v>222.83</v>
      </c>
      <c r="H2334">
        <v>47</v>
      </c>
      <c r="I2334" t="s">
        <v>16</v>
      </c>
      <c r="J2334">
        <v>2.5</v>
      </c>
      <c r="K2334" t="s">
        <v>29</v>
      </c>
      <c r="L2334" t="s">
        <v>18</v>
      </c>
      <c r="M2334" t="str">
        <f>VLOOKUP(D2338,Restaurant_Master!A:B,2,FALSE)</f>
        <v>https://www.chatswoodinterchange.com/storages/2018/08/Sushi-World_666x448.jpg</v>
      </c>
    </row>
    <row r="2335" spans="1:13" x14ac:dyDescent="0.3">
      <c r="A2335" t="s">
        <v>2365</v>
      </c>
      <c r="B2335" s="1">
        <v>45610</v>
      </c>
      <c r="C2335" t="s">
        <v>20</v>
      </c>
      <c r="D2335" t="s">
        <v>38</v>
      </c>
      <c r="E2335">
        <v>51</v>
      </c>
      <c r="F2335" t="s">
        <v>28</v>
      </c>
      <c r="G2335">
        <v>327.04000000000002</v>
      </c>
      <c r="H2335">
        <v>43</v>
      </c>
      <c r="I2335" t="s">
        <v>16</v>
      </c>
      <c r="J2335">
        <v>3.7</v>
      </c>
      <c r="K2335" t="s">
        <v>26</v>
      </c>
      <c r="L2335" t="s">
        <v>18</v>
      </c>
      <c r="M2335" t="str">
        <f>VLOOKUP(D2339,Restaurant_Master!A:B,2,FALSE)</f>
        <v>https://www.chatswoodinterchange.com/storages/2018/08/Sushi-World_666x448.jpg</v>
      </c>
    </row>
    <row r="2336" spans="1:13" x14ac:dyDescent="0.3">
      <c r="A2336" t="s">
        <v>2366</v>
      </c>
      <c r="B2336" s="1">
        <v>45408</v>
      </c>
      <c r="C2336" t="s">
        <v>36</v>
      </c>
      <c r="D2336" t="s">
        <v>14</v>
      </c>
      <c r="E2336">
        <v>27</v>
      </c>
      <c r="F2336" t="s">
        <v>15</v>
      </c>
      <c r="G2336">
        <v>280.22000000000003</v>
      </c>
      <c r="H2336">
        <v>29</v>
      </c>
      <c r="I2336" t="s">
        <v>22</v>
      </c>
      <c r="J2336">
        <v>4.5</v>
      </c>
      <c r="K2336" t="s">
        <v>17</v>
      </c>
      <c r="L2336" t="s">
        <v>23</v>
      </c>
      <c r="M2336" t="str">
        <f>VLOOKUP(D2340,Restaurant_Master!A:B,2,FALSE)</f>
        <v>https://www.chatswoodinterchange.com/storages/2018/08/Sushi-World_666x448.jpg</v>
      </c>
    </row>
    <row r="2337" spans="1:13" x14ac:dyDescent="0.3">
      <c r="A2337" t="s">
        <v>2367</v>
      </c>
      <c r="B2337" s="1">
        <v>45486</v>
      </c>
      <c r="C2337" t="s">
        <v>43</v>
      </c>
      <c r="D2337" t="s">
        <v>21</v>
      </c>
      <c r="E2337">
        <v>36</v>
      </c>
      <c r="F2337" t="s">
        <v>15</v>
      </c>
      <c r="G2337">
        <v>259.86</v>
      </c>
      <c r="H2337">
        <v>41</v>
      </c>
      <c r="I2337" t="s">
        <v>16</v>
      </c>
      <c r="J2337">
        <v>3.1</v>
      </c>
      <c r="K2337" t="s">
        <v>26</v>
      </c>
      <c r="L2337" t="s">
        <v>18</v>
      </c>
      <c r="M2337" t="str">
        <f>VLOOKUP(D2341,Restaurant_Master!A:B,2,FALSE)</f>
        <v>https://media-cdn.tripadvisor.com/media/photo-s/1c/c7/97/b6/photo6jpg.jpg</v>
      </c>
    </row>
    <row r="2338" spans="1:13" x14ac:dyDescent="0.3">
      <c r="A2338" t="s">
        <v>2368</v>
      </c>
      <c r="B2338" s="1">
        <v>45495</v>
      </c>
      <c r="C2338" t="s">
        <v>43</v>
      </c>
      <c r="D2338" t="s">
        <v>38</v>
      </c>
      <c r="E2338">
        <v>21</v>
      </c>
      <c r="F2338" t="s">
        <v>28</v>
      </c>
      <c r="G2338">
        <v>424.03</v>
      </c>
      <c r="H2338">
        <v>38</v>
      </c>
      <c r="I2338" t="s">
        <v>22</v>
      </c>
      <c r="J2338">
        <v>3.7</v>
      </c>
      <c r="K2338" t="s">
        <v>26</v>
      </c>
      <c r="L2338" t="s">
        <v>23</v>
      </c>
      <c r="M2338" t="str">
        <f>VLOOKUP(D2342,Restaurant_Master!A:B,2,FALSE)</f>
        <v>https://dineout-media-assets.swiggy.com/swiggy/image/upload/fl_lossy,f_auto,q_auto/v1660793737/fdqxvxcxg1wtdwvyv45v.jpg</v>
      </c>
    </row>
    <row r="2339" spans="1:13" x14ac:dyDescent="0.3">
      <c r="A2339" t="s">
        <v>2369</v>
      </c>
      <c r="B2339" s="1">
        <v>45554</v>
      </c>
      <c r="C2339" t="s">
        <v>43</v>
      </c>
      <c r="D2339" t="s">
        <v>38</v>
      </c>
      <c r="E2339">
        <v>38</v>
      </c>
      <c r="F2339" t="s">
        <v>15</v>
      </c>
      <c r="G2339">
        <v>811.11</v>
      </c>
      <c r="H2339">
        <v>33</v>
      </c>
      <c r="I2339" t="s">
        <v>22</v>
      </c>
      <c r="J2339">
        <v>4.2</v>
      </c>
      <c r="K2339" t="s">
        <v>26</v>
      </c>
      <c r="L2339" t="s">
        <v>18</v>
      </c>
      <c r="M2339" t="str">
        <f>VLOOKUP(D2343,Restaurant_Master!A:B,2,FALSE)</f>
        <v>https://dynamic-media-cdn.tripadvisor.com/media/photo-o/1c/e7/04/0d/front-of-the-local-easily.jpg</v>
      </c>
    </row>
    <row r="2340" spans="1:13" x14ac:dyDescent="0.3">
      <c r="A2340" t="s">
        <v>2370</v>
      </c>
      <c r="B2340" s="1">
        <v>45428</v>
      </c>
      <c r="C2340" t="s">
        <v>20</v>
      </c>
      <c r="D2340" t="s">
        <v>38</v>
      </c>
      <c r="E2340">
        <v>60</v>
      </c>
      <c r="F2340" t="s">
        <v>28</v>
      </c>
      <c r="G2340">
        <v>1052.4000000000001</v>
      </c>
      <c r="H2340">
        <v>52</v>
      </c>
      <c r="I2340" t="s">
        <v>16</v>
      </c>
      <c r="J2340">
        <v>4</v>
      </c>
      <c r="K2340" t="s">
        <v>17</v>
      </c>
      <c r="L2340" t="s">
        <v>18</v>
      </c>
      <c r="M2340" t="str">
        <f>VLOOKUP(D2344,Restaurant_Master!A:B,2,FALSE)</f>
        <v>https://www.chatswoodinterchange.com/storages/2018/08/Sushi-World_666x448.jpg</v>
      </c>
    </row>
    <row r="2341" spans="1:13" x14ac:dyDescent="0.3">
      <c r="A2341" t="s">
        <v>2371</v>
      </c>
      <c r="B2341" s="1">
        <v>45299</v>
      </c>
      <c r="C2341" t="s">
        <v>13</v>
      </c>
      <c r="D2341" t="s">
        <v>25</v>
      </c>
      <c r="E2341">
        <v>52</v>
      </c>
      <c r="F2341" t="s">
        <v>15</v>
      </c>
      <c r="G2341">
        <v>1065.19</v>
      </c>
      <c r="H2341">
        <v>54</v>
      </c>
      <c r="I2341" t="s">
        <v>16</v>
      </c>
      <c r="J2341">
        <v>4.5</v>
      </c>
      <c r="K2341" t="s">
        <v>26</v>
      </c>
      <c r="L2341" t="s">
        <v>18</v>
      </c>
      <c r="M2341" t="str">
        <f>VLOOKUP(D2345,Restaurant_Master!A:B,2,FALSE)</f>
        <v>https://dineout-media-assets.swiggy.com/swiggy/image/upload/fl_lossy,f_auto,q_auto/v1660793737/fdqxvxcxg1wtdwvyv45v.jpg</v>
      </c>
    </row>
    <row r="2342" spans="1:13" x14ac:dyDescent="0.3">
      <c r="A2342" t="s">
        <v>2372</v>
      </c>
      <c r="B2342" s="1">
        <v>45391</v>
      </c>
      <c r="C2342" t="s">
        <v>13</v>
      </c>
      <c r="D2342" t="s">
        <v>14</v>
      </c>
      <c r="E2342">
        <v>47</v>
      </c>
      <c r="F2342" t="s">
        <v>15</v>
      </c>
      <c r="G2342">
        <v>913.83</v>
      </c>
      <c r="H2342">
        <v>26</v>
      </c>
      <c r="I2342" t="s">
        <v>22</v>
      </c>
      <c r="J2342">
        <v>3.5</v>
      </c>
      <c r="K2342" t="s">
        <v>17</v>
      </c>
      <c r="L2342" t="s">
        <v>23</v>
      </c>
      <c r="M2342" t="str">
        <f>VLOOKUP(D2346,Restaurant_Master!A:B,2,FALSE)</f>
        <v>https://dynamic-media-cdn.tripadvisor.com/media/photo-o/1c/e7/04/0d/front-of-the-local-easily.jpg</v>
      </c>
    </row>
    <row r="2343" spans="1:13" x14ac:dyDescent="0.3">
      <c r="A2343" t="s">
        <v>2373</v>
      </c>
      <c r="B2343" s="1">
        <v>45506</v>
      </c>
      <c r="C2343" t="s">
        <v>36</v>
      </c>
      <c r="D2343" t="s">
        <v>21</v>
      </c>
      <c r="E2343">
        <v>59</v>
      </c>
      <c r="F2343" t="s">
        <v>15</v>
      </c>
      <c r="G2343">
        <v>1073.83</v>
      </c>
      <c r="H2343">
        <v>37</v>
      </c>
      <c r="I2343" t="s">
        <v>22</v>
      </c>
      <c r="J2343">
        <v>4.2</v>
      </c>
      <c r="K2343" t="s">
        <v>29</v>
      </c>
      <c r="L2343" t="s">
        <v>18</v>
      </c>
      <c r="M2343" t="str">
        <f>VLOOKUP(D2347,Restaurant_Master!A:B,2,FALSE)</f>
        <v>https://media-cdn.tripadvisor.com/media/photo-s/1c/c7/97/b6/photo6jpg.jpg</v>
      </c>
    </row>
    <row r="2344" spans="1:13" x14ac:dyDescent="0.3">
      <c r="A2344" t="s">
        <v>2374</v>
      </c>
      <c r="B2344" s="1">
        <v>45616</v>
      </c>
      <c r="C2344" t="s">
        <v>43</v>
      </c>
      <c r="D2344" t="s">
        <v>38</v>
      </c>
      <c r="E2344">
        <v>52</v>
      </c>
      <c r="F2344" t="s">
        <v>15</v>
      </c>
      <c r="G2344">
        <v>845.62</v>
      </c>
      <c r="H2344">
        <v>44</v>
      </c>
      <c r="I2344" t="s">
        <v>16</v>
      </c>
      <c r="J2344">
        <v>4.2</v>
      </c>
      <c r="K2344" t="s">
        <v>41</v>
      </c>
      <c r="L2344" t="s">
        <v>23</v>
      </c>
      <c r="M2344" t="str">
        <f>VLOOKUP(D2348,Restaurant_Master!A:B,2,FALSE)</f>
        <v>https://media-cdn.tripadvisor.com/media/photo-s/1c/c7/97/b6/photo6jpg.jpg</v>
      </c>
    </row>
    <row r="2345" spans="1:13" x14ac:dyDescent="0.3">
      <c r="A2345" t="s">
        <v>2375</v>
      </c>
      <c r="B2345" s="1">
        <v>45641</v>
      </c>
      <c r="C2345" t="s">
        <v>20</v>
      </c>
      <c r="D2345" t="s">
        <v>14</v>
      </c>
      <c r="E2345">
        <v>56</v>
      </c>
      <c r="F2345" t="s">
        <v>28</v>
      </c>
      <c r="G2345">
        <v>707.59</v>
      </c>
      <c r="H2345">
        <v>49</v>
      </c>
      <c r="I2345" t="s">
        <v>16</v>
      </c>
      <c r="J2345">
        <v>4.8</v>
      </c>
      <c r="K2345" t="s">
        <v>17</v>
      </c>
      <c r="L2345" t="s">
        <v>23</v>
      </c>
      <c r="M2345" t="str">
        <f>VLOOKUP(D2349,Restaurant_Master!A:B,2,FALSE)</f>
        <v>https://media-cdn.tripadvisor.com/media/photo-s/1c/c7/97/b6/photo6jpg.jpg</v>
      </c>
    </row>
    <row r="2346" spans="1:13" x14ac:dyDescent="0.3">
      <c r="A2346" t="s">
        <v>2376</v>
      </c>
      <c r="B2346" s="1">
        <v>45510</v>
      </c>
      <c r="C2346" t="s">
        <v>36</v>
      </c>
      <c r="D2346" t="s">
        <v>21</v>
      </c>
      <c r="E2346">
        <v>55</v>
      </c>
      <c r="F2346" t="s">
        <v>15</v>
      </c>
      <c r="G2346">
        <v>272.2</v>
      </c>
      <c r="H2346">
        <v>35</v>
      </c>
      <c r="I2346" t="s">
        <v>22</v>
      </c>
      <c r="J2346">
        <v>3.8</v>
      </c>
      <c r="K2346" t="s">
        <v>29</v>
      </c>
      <c r="L2346" t="s">
        <v>23</v>
      </c>
      <c r="M2346" t="str">
        <f>VLOOKUP(D2350,Restaurant_Master!A:B,2,FALSE)</f>
        <v>https://dineout-media-assets.swiggy.com/swiggy/image/upload/fl_lossy,f_auto,q_auto/v1660793737/fdqxvxcxg1wtdwvyv45v.jpg</v>
      </c>
    </row>
    <row r="2347" spans="1:13" x14ac:dyDescent="0.3">
      <c r="A2347" t="s">
        <v>2377</v>
      </c>
      <c r="B2347" s="1">
        <v>45554</v>
      </c>
      <c r="C2347" t="s">
        <v>34</v>
      </c>
      <c r="D2347" t="s">
        <v>25</v>
      </c>
      <c r="E2347">
        <v>55</v>
      </c>
      <c r="F2347" t="s">
        <v>15</v>
      </c>
      <c r="G2347">
        <v>998.76</v>
      </c>
      <c r="H2347">
        <v>25</v>
      </c>
      <c r="I2347" t="s">
        <v>22</v>
      </c>
      <c r="J2347">
        <v>3.3</v>
      </c>
      <c r="K2347" t="s">
        <v>41</v>
      </c>
      <c r="L2347" t="s">
        <v>18</v>
      </c>
      <c r="M2347" t="str">
        <f>VLOOKUP(D2351,Restaurant_Master!A:B,2,FALSE)</f>
        <v>https://dineout-media-assets.swiggy.com/swiggy/image/upload/fl_lossy,f_auto,q_auto/v1660793737/fdqxvxcxg1wtdwvyv45v.jpg</v>
      </c>
    </row>
    <row r="2348" spans="1:13" x14ac:dyDescent="0.3">
      <c r="A2348" t="s">
        <v>2378</v>
      </c>
      <c r="B2348" s="1">
        <v>45489</v>
      </c>
      <c r="C2348" t="s">
        <v>20</v>
      </c>
      <c r="D2348" t="s">
        <v>25</v>
      </c>
      <c r="E2348">
        <v>42</v>
      </c>
      <c r="F2348" t="s">
        <v>28</v>
      </c>
      <c r="G2348">
        <v>410.18</v>
      </c>
      <c r="H2348">
        <v>43</v>
      </c>
      <c r="I2348" t="s">
        <v>16</v>
      </c>
      <c r="J2348">
        <v>4.5999999999999996</v>
      </c>
      <c r="K2348" t="s">
        <v>26</v>
      </c>
      <c r="L2348" t="s">
        <v>23</v>
      </c>
      <c r="M2348" t="str">
        <f>VLOOKUP(D2352,Restaurant_Master!A:B,2,FALSE)</f>
        <v>https://content.jdmagicbox.com/comp/deoria/g6/9999p5568.5568.200119143033.m4g6/catalogue/biryani-house-deoria-ho-deoria-mktc2xph0o.jpg</v>
      </c>
    </row>
    <row r="2349" spans="1:13" x14ac:dyDescent="0.3">
      <c r="A2349" t="s">
        <v>2379</v>
      </c>
      <c r="B2349" s="1">
        <v>45452</v>
      </c>
      <c r="C2349" t="s">
        <v>43</v>
      </c>
      <c r="D2349" t="s">
        <v>25</v>
      </c>
      <c r="E2349">
        <v>59</v>
      </c>
      <c r="F2349" t="s">
        <v>28</v>
      </c>
      <c r="G2349">
        <v>331.5</v>
      </c>
      <c r="H2349">
        <v>45</v>
      </c>
      <c r="I2349" t="s">
        <v>16</v>
      </c>
      <c r="J2349">
        <v>4.8</v>
      </c>
      <c r="K2349" t="s">
        <v>29</v>
      </c>
      <c r="L2349" t="s">
        <v>18</v>
      </c>
      <c r="M2349" t="str">
        <f>VLOOKUP(D2353,Restaurant_Master!A:B,2,FALSE)</f>
        <v>https://dynamic-media-cdn.tripadvisor.com/media/photo-o/1c/e7/04/0d/front-of-the-local-easily.jpg</v>
      </c>
    </row>
    <row r="2350" spans="1:13" x14ac:dyDescent="0.3">
      <c r="A2350" t="s">
        <v>2380</v>
      </c>
      <c r="B2350" s="1">
        <v>45416</v>
      </c>
      <c r="C2350" t="s">
        <v>34</v>
      </c>
      <c r="D2350" t="s">
        <v>14</v>
      </c>
      <c r="E2350">
        <v>46</v>
      </c>
      <c r="F2350" t="s">
        <v>28</v>
      </c>
      <c r="G2350">
        <v>324.47000000000003</v>
      </c>
      <c r="H2350">
        <v>57</v>
      </c>
      <c r="I2350" t="s">
        <v>16</v>
      </c>
      <c r="J2350">
        <v>4.4000000000000004</v>
      </c>
      <c r="K2350" t="s">
        <v>26</v>
      </c>
      <c r="L2350" t="s">
        <v>23</v>
      </c>
      <c r="M2350" t="str">
        <f>VLOOKUP(D2354,Restaurant_Master!A:B,2,FALSE)</f>
        <v>https://media-cdn.tripadvisor.com/media/photo-s/1c/c7/97/b6/photo6jpg.jpg</v>
      </c>
    </row>
    <row r="2351" spans="1:13" x14ac:dyDescent="0.3">
      <c r="A2351" t="s">
        <v>2381</v>
      </c>
      <c r="B2351" s="1">
        <v>45545</v>
      </c>
      <c r="C2351" t="s">
        <v>13</v>
      </c>
      <c r="D2351" t="s">
        <v>14</v>
      </c>
      <c r="E2351">
        <v>55</v>
      </c>
      <c r="F2351" t="s">
        <v>28</v>
      </c>
      <c r="G2351">
        <v>420.79</v>
      </c>
      <c r="H2351">
        <v>55</v>
      </c>
      <c r="I2351" t="s">
        <v>16</v>
      </c>
      <c r="J2351">
        <v>2.8</v>
      </c>
      <c r="K2351" t="s">
        <v>41</v>
      </c>
      <c r="L2351" t="s">
        <v>18</v>
      </c>
      <c r="M2351" t="str">
        <f>VLOOKUP(D2355,Restaurant_Master!A:B,2,FALSE)</f>
        <v>https://media-cdn.tripadvisor.com/media/photo-s/1c/c7/97/b6/photo6jpg.jpg</v>
      </c>
    </row>
    <row r="2352" spans="1:13" x14ac:dyDescent="0.3">
      <c r="A2352" t="s">
        <v>2382</v>
      </c>
      <c r="B2352" s="1">
        <v>45640</v>
      </c>
      <c r="C2352" t="s">
        <v>34</v>
      </c>
      <c r="D2352" t="s">
        <v>32</v>
      </c>
      <c r="E2352">
        <v>40</v>
      </c>
      <c r="F2352" t="s">
        <v>15</v>
      </c>
      <c r="G2352">
        <v>429.24</v>
      </c>
      <c r="H2352">
        <v>22</v>
      </c>
      <c r="I2352" t="s">
        <v>22</v>
      </c>
      <c r="J2352">
        <v>4.0999999999999996</v>
      </c>
      <c r="K2352" t="s">
        <v>17</v>
      </c>
      <c r="L2352" t="s">
        <v>23</v>
      </c>
      <c r="M2352" t="str">
        <f>VLOOKUP(D2356,Restaurant_Master!A:B,2,FALSE)</f>
        <v>https://content.jdmagicbox.com/comp/deoria/g6/9999p5568.5568.200119143033.m4g6/catalogue/biryani-house-deoria-ho-deoria-mktc2xph0o.jpg</v>
      </c>
    </row>
    <row r="2353" spans="1:13" x14ac:dyDescent="0.3">
      <c r="A2353" t="s">
        <v>2383</v>
      </c>
      <c r="B2353" s="1">
        <v>45656</v>
      </c>
      <c r="C2353" t="s">
        <v>20</v>
      </c>
      <c r="D2353" t="s">
        <v>21</v>
      </c>
      <c r="E2353">
        <v>31</v>
      </c>
      <c r="F2353" t="s">
        <v>28</v>
      </c>
      <c r="G2353">
        <v>544.70000000000005</v>
      </c>
      <c r="H2353">
        <v>20</v>
      </c>
      <c r="I2353" t="s">
        <v>22</v>
      </c>
      <c r="J2353">
        <v>4.5</v>
      </c>
      <c r="K2353" t="s">
        <v>17</v>
      </c>
      <c r="L2353" t="s">
        <v>23</v>
      </c>
      <c r="M2353" t="str">
        <f>VLOOKUP(D2357,Restaurant_Master!A:B,2,FALSE)</f>
        <v>https://www.chatswoodinterchange.com/storages/2018/08/Sushi-World_666x448.jpg</v>
      </c>
    </row>
    <row r="2354" spans="1:13" x14ac:dyDescent="0.3">
      <c r="A2354" t="s">
        <v>2384</v>
      </c>
      <c r="B2354" s="1">
        <v>45383</v>
      </c>
      <c r="C2354" t="s">
        <v>36</v>
      </c>
      <c r="D2354" t="s">
        <v>25</v>
      </c>
      <c r="E2354">
        <v>18</v>
      </c>
      <c r="F2354" t="s">
        <v>15</v>
      </c>
      <c r="G2354">
        <v>524.59</v>
      </c>
      <c r="H2354">
        <v>54</v>
      </c>
      <c r="I2354" t="s">
        <v>16</v>
      </c>
      <c r="J2354">
        <v>3</v>
      </c>
      <c r="K2354" t="s">
        <v>41</v>
      </c>
      <c r="L2354" t="s">
        <v>18</v>
      </c>
      <c r="M2354" t="str">
        <f>VLOOKUP(D2358,Restaurant_Master!A:B,2,FALSE)</f>
        <v>https://media-cdn.tripadvisor.com/media/photo-s/1c/c7/97/b6/photo6jpg.jpg</v>
      </c>
    </row>
    <row r="2355" spans="1:13" x14ac:dyDescent="0.3">
      <c r="A2355" t="s">
        <v>2385</v>
      </c>
      <c r="B2355" s="1">
        <v>45474</v>
      </c>
      <c r="C2355" t="s">
        <v>43</v>
      </c>
      <c r="D2355" t="s">
        <v>25</v>
      </c>
      <c r="E2355">
        <v>21</v>
      </c>
      <c r="F2355" t="s">
        <v>15</v>
      </c>
      <c r="G2355">
        <v>902.22</v>
      </c>
      <c r="H2355">
        <v>22</v>
      </c>
      <c r="I2355" t="s">
        <v>22</v>
      </c>
      <c r="J2355">
        <v>3.1</v>
      </c>
      <c r="K2355" t="s">
        <v>17</v>
      </c>
      <c r="L2355" t="s">
        <v>23</v>
      </c>
      <c r="M2355" t="str">
        <f>VLOOKUP(D2359,Restaurant_Master!A:B,2,FALSE)</f>
        <v>https://content.jdmagicbox.com/comp/deoria/g6/9999p5568.5568.200119143033.m4g6/catalogue/biryani-house-deoria-ho-deoria-mktc2xph0o.jpg</v>
      </c>
    </row>
    <row r="2356" spans="1:13" x14ac:dyDescent="0.3">
      <c r="A2356" t="s">
        <v>2386</v>
      </c>
      <c r="B2356" s="1">
        <v>45449</v>
      </c>
      <c r="C2356" t="s">
        <v>43</v>
      </c>
      <c r="D2356" t="s">
        <v>32</v>
      </c>
      <c r="E2356">
        <v>18</v>
      </c>
      <c r="F2356" t="s">
        <v>15</v>
      </c>
      <c r="G2356">
        <v>185.29</v>
      </c>
      <c r="H2356">
        <v>47</v>
      </c>
      <c r="I2356" t="s">
        <v>16</v>
      </c>
      <c r="J2356">
        <v>3.2</v>
      </c>
      <c r="K2356" t="s">
        <v>41</v>
      </c>
      <c r="L2356" t="s">
        <v>23</v>
      </c>
      <c r="M2356" t="str">
        <f>VLOOKUP(D2360,Restaurant_Master!A:B,2,FALSE)</f>
        <v>https://content.jdmagicbox.com/comp/deoria/g6/9999p5568.5568.200119143033.m4g6/catalogue/biryani-house-deoria-ho-deoria-mktc2xph0o.jpg</v>
      </c>
    </row>
    <row r="2357" spans="1:13" x14ac:dyDescent="0.3">
      <c r="A2357" t="s">
        <v>2387</v>
      </c>
      <c r="B2357" s="1">
        <v>45323</v>
      </c>
      <c r="C2357" t="s">
        <v>43</v>
      </c>
      <c r="D2357" t="s">
        <v>38</v>
      </c>
      <c r="E2357">
        <v>27</v>
      </c>
      <c r="F2357" t="s">
        <v>28</v>
      </c>
      <c r="G2357">
        <v>984.09</v>
      </c>
      <c r="H2357">
        <v>60</v>
      </c>
      <c r="I2357" t="s">
        <v>16</v>
      </c>
      <c r="J2357">
        <v>3.4</v>
      </c>
      <c r="K2357" t="s">
        <v>41</v>
      </c>
      <c r="L2357" t="s">
        <v>23</v>
      </c>
      <c r="M2357" t="str">
        <f>VLOOKUP(D2361,Restaurant_Master!A:B,2,FALSE)</f>
        <v>https://content.jdmagicbox.com/comp/deoria/g6/9999p5568.5568.200119143033.m4g6/catalogue/biryani-house-deoria-ho-deoria-mktc2xph0o.jpg</v>
      </c>
    </row>
    <row r="2358" spans="1:13" x14ac:dyDescent="0.3">
      <c r="A2358" t="s">
        <v>2388</v>
      </c>
      <c r="B2358" s="1">
        <v>45552</v>
      </c>
      <c r="C2358" t="s">
        <v>20</v>
      </c>
      <c r="D2358" t="s">
        <v>25</v>
      </c>
      <c r="E2358">
        <v>39</v>
      </c>
      <c r="F2358" t="s">
        <v>15</v>
      </c>
      <c r="G2358">
        <v>307.48</v>
      </c>
      <c r="H2358">
        <v>43</v>
      </c>
      <c r="I2358" t="s">
        <v>16</v>
      </c>
      <c r="J2358">
        <v>2.6</v>
      </c>
      <c r="K2358" t="s">
        <v>26</v>
      </c>
      <c r="L2358" t="s">
        <v>23</v>
      </c>
      <c r="M2358" t="str">
        <f>VLOOKUP(D2362,Restaurant_Master!A:B,2,FALSE)</f>
        <v>https://www.chatswoodinterchange.com/storages/2018/08/Sushi-World_666x448.jpg</v>
      </c>
    </row>
    <row r="2359" spans="1:13" x14ac:dyDescent="0.3">
      <c r="A2359" t="s">
        <v>2389</v>
      </c>
      <c r="B2359" s="1">
        <v>45369</v>
      </c>
      <c r="C2359" t="s">
        <v>43</v>
      </c>
      <c r="D2359" t="s">
        <v>32</v>
      </c>
      <c r="E2359">
        <v>34</v>
      </c>
      <c r="F2359" t="s">
        <v>28</v>
      </c>
      <c r="G2359">
        <v>618.17999999999995</v>
      </c>
      <c r="H2359">
        <v>56</v>
      </c>
      <c r="I2359" t="s">
        <v>16</v>
      </c>
      <c r="J2359">
        <v>4.4000000000000004</v>
      </c>
      <c r="K2359" t="s">
        <v>41</v>
      </c>
      <c r="L2359" t="s">
        <v>18</v>
      </c>
      <c r="M2359" t="str">
        <f>VLOOKUP(D2363,Restaurant_Master!A:B,2,FALSE)</f>
        <v>https://media-cdn.tripadvisor.com/media/photo-s/1c/c7/97/b6/photo6jpg.jpg</v>
      </c>
    </row>
    <row r="2360" spans="1:13" x14ac:dyDescent="0.3">
      <c r="A2360" t="s">
        <v>2390</v>
      </c>
      <c r="B2360" s="1">
        <v>45579</v>
      </c>
      <c r="C2360" t="s">
        <v>13</v>
      </c>
      <c r="D2360" t="s">
        <v>32</v>
      </c>
      <c r="E2360">
        <v>54</v>
      </c>
      <c r="F2360" t="s">
        <v>15</v>
      </c>
      <c r="G2360">
        <v>1104.3499999999999</v>
      </c>
      <c r="H2360">
        <v>60</v>
      </c>
      <c r="I2360" t="s">
        <v>16</v>
      </c>
      <c r="J2360">
        <v>4.5</v>
      </c>
      <c r="K2360" t="s">
        <v>17</v>
      </c>
      <c r="L2360" t="s">
        <v>23</v>
      </c>
      <c r="M2360" t="str">
        <f>VLOOKUP(D2364,Restaurant_Master!A:B,2,FALSE)</f>
        <v>https://media-cdn.tripadvisor.com/media/photo-s/1c/c7/97/b6/photo6jpg.jpg</v>
      </c>
    </row>
    <row r="2361" spans="1:13" x14ac:dyDescent="0.3">
      <c r="A2361" t="s">
        <v>2391</v>
      </c>
      <c r="B2361" s="1">
        <v>45497</v>
      </c>
      <c r="C2361" t="s">
        <v>43</v>
      </c>
      <c r="D2361" t="s">
        <v>32</v>
      </c>
      <c r="E2361">
        <v>60</v>
      </c>
      <c r="F2361" t="s">
        <v>15</v>
      </c>
      <c r="G2361">
        <v>797.45</v>
      </c>
      <c r="H2361">
        <v>23</v>
      </c>
      <c r="I2361" t="s">
        <v>22</v>
      </c>
      <c r="J2361">
        <v>2.7</v>
      </c>
      <c r="K2361" t="s">
        <v>17</v>
      </c>
      <c r="L2361" t="s">
        <v>18</v>
      </c>
      <c r="M2361" t="str">
        <f>VLOOKUP(D2365,Restaurant_Master!A:B,2,FALSE)</f>
        <v>https://media-cdn.tripadvisor.com/media/photo-s/1c/c7/97/b6/photo6jpg.jpg</v>
      </c>
    </row>
    <row r="2362" spans="1:13" x14ac:dyDescent="0.3">
      <c r="A2362" t="s">
        <v>2392</v>
      </c>
      <c r="B2362" s="1">
        <v>45568</v>
      </c>
      <c r="C2362" t="s">
        <v>20</v>
      </c>
      <c r="D2362" t="s">
        <v>38</v>
      </c>
      <c r="E2362">
        <v>36</v>
      </c>
      <c r="F2362" t="s">
        <v>15</v>
      </c>
      <c r="G2362">
        <v>457.04</v>
      </c>
      <c r="H2362">
        <v>22</v>
      </c>
      <c r="I2362" t="s">
        <v>22</v>
      </c>
      <c r="J2362">
        <v>3.7</v>
      </c>
      <c r="K2362" t="s">
        <v>26</v>
      </c>
      <c r="L2362" t="s">
        <v>23</v>
      </c>
      <c r="M2362" t="str">
        <f>VLOOKUP(D2366,Restaurant_Master!A:B,2,FALSE)</f>
        <v>https://www.chatswoodinterchange.com/storages/2018/08/Sushi-World_666x448.jpg</v>
      </c>
    </row>
    <row r="2363" spans="1:13" x14ac:dyDescent="0.3">
      <c r="A2363" t="s">
        <v>2393</v>
      </c>
      <c r="B2363" s="1">
        <v>45555</v>
      </c>
      <c r="C2363" t="s">
        <v>36</v>
      </c>
      <c r="D2363" t="s">
        <v>25</v>
      </c>
      <c r="E2363">
        <v>48</v>
      </c>
      <c r="F2363" t="s">
        <v>28</v>
      </c>
      <c r="G2363">
        <v>381.05</v>
      </c>
      <c r="H2363">
        <v>58</v>
      </c>
      <c r="I2363" t="s">
        <v>16</v>
      </c>
      <c r="J2363">
        <v>2.7</v>
      </c>
      <c r="K2363" t="s">
        <v>29</v>
      </c>
      <c r="L2363" t="s">
        <v>23</v>
      </c>
      <c r="M2363" t="str">
        <f>VLOOKUP(D2367,Restaurant_Master!A:B,2,FALSE)</f>
        <v>https://dineout-media-assets.swiggy.com/swiggy/image/upload/fl_lossy,f_auto,q_auto/v1660793737/fdqxvxcxg1wtdwvyv45v.jpg</v>
      </c>
    </row>
    <row r="2364" spans="1:13" x14ac:dyDescent="0.3">
      <c r="A2364" t="s">
        <v>2394</v>
      </c>
      <c r="B2364" s="1">
        <v>45575</v>
      </c>
      <c r="C2364" t="s">
        <v>34</v>
      </c>
      <c r="D2364" t="s">
        <v>25</v>
      </c>
      <c r="E2364">
        <v>21</v>
      </c>
      <c r="F2364" t="s">
        <v>28</v>
      </c>
      <c r="G2364">
        <v>869.47</v>
      </c>
      <c r="H2364">
        <v>38</v>
      </c>
      <c r="I2364" t="s">
        <v>22</v>
      </c>
      <c r="J2364">
        <v>4.0999999999999996</v>
      </c>
      <c r="K2364" t="s">
        <v>17</v>
      </c>
      <c r="L2364" t="s">
        <v>23</v>
      </c>
      <c r="M2364" t="str">
        <f>VLOOKUP(D2368,Restaurant_Master!A:B,2,FALSE)</f>
        <v>https://content.jdmagicbox.com/comp/deoria/g6/9999p5568.5568.200119143033.m4g6/catalogue/biryani-house-deoria-ho-deoria-mktc2xph0o.jpg</v>
      </c>
    </row>
    <row r="2365" spans="1:13" x14ac:dyDescent="0.3">
      <c r="A2365" t="s">
        <v>2395</v>
      </c>
      <c r="B2365" s="1">
        <v>45481</v>
      </c>
      <c r="C2365" t="s">
        <v>20</v>
      </c>
      <c r="D2365" t="s">
        <v>25</v>
      </c>
      <c r="E2365">
        <v>51</v>
      </c>
      <c r="F2365" t="s">
        <v>28</v>
      </c>
      <c r="G2365">
        <v>525.99</v>
      </c>
      <c r="H2365">
        <v>37</v>
      </c>
      <c r="I2365" t="s">
        <v>22</v>
      </c>
      <c r="J2365">
        <v>3.6</v>
      </c>
      <c r="K2365" t="s">
        <v>29</v>
      </c>
      <c r="L2365" t="s">
        <v>23</v>
      </c>
      <c r="M2365" t="str">
        <f>VLOOKUP(D2369,Restaurant_Master!A:B,2,FALSE)</f>
        <v>https://dineout-media-assets.swiggy.com/swiggy/image/upload/fl_lossy,f_auto,q_auto/v1660793737/fdqxvxcxg1wtdwvyv45v.jpg</v>
      </c>
    </row>
    <row r="2366" spans="1:13" x14ac:dyDescent="0.3">
      <c r="A2366" t="s">
        <v>2396</v>
      </c>
      <c r="B2366" s="1">
        <v>45544</v>
      </c>
      <c r="C2366" t="s">
        <v>43</v>
      </c>
      <c r="D2366" t="s">
        <v>38</v>
      </c>
      <c r="E2366">
        <v>29</v>
      </c>
      <c r="F2366" t="s">
        <v>28</v>
      </c>
      <c r="G2366">
        <v>1086.5999999999999</v>
      </c>
      <c r="H2366">
        <v>31</v>
      </c>
      <c r="I2366" t="s">
        <v>22</v>
      </c>
      <c r="J2366">
        <v>3.4</v>
      </c>
      <c r="K2366" t="s">
        <v>17</v>
      </c>
      <c r="L2366" t="s">
        <v>18</v>
      </c>
      <c r="M2366" t="str">
        <f>VLOOKUP(D2370,Restaurant_Master!A:B,2,FALSE)</f>
        <v>https://dineout-media-assets.swiggy.com/swiggy/image/upload/fl_lossy,f_auto,q_auto/v1660793737/fdqxvxcxg1wtdwvyv45v.jpg</v>
      </c>
    </row>
    <row r="2367" spans="1:13" x14ac:dyDescent="0.3">
      <c r="A2367" t="s">
        <v>2397</v>
      </c>
      <c r="B2367" s="1">
        <v>45361</v>
      </c>
      <c r="C2367" t="s">
        <v>13</v>
      </c>
      <c r="D2367" t="s">
        <v>14</v>
      </c>
      <c r="E2367">
        <v>58</v>
      </c>
      <c r="F2367" t="s">
        <v>15</v>
      </c>
      <c r="G2367">
        <v>985.93</v>
      </c>
      <c r="H2367">
        <v>45</v>
      </c>
      <c r="I2367" t="s">
        <v>16</v>
      </c>
      <c r="J2367">
        <v>3.9</v>
      </c>
      <c r="K2367" t="s">
        <v>17</v>
      </c>
      <c r="L2367" t="s">
        <v>23</v>
      </c>
      <c r="M2367" t="str">
        <f>VLOOKUP(D2371,Restaurant_Master!A:B,2,FALSE)</f>
        <v>https://media-cdn.tripadvisor.com/media/photo-s/1c/c7/97/b6/photo6jpg.jpg</v>
      </c>
    </row>
    <row r="2368" spans="1:13" x14ac:dyDescent="0.3">
      <c r="A2368" t="s">
        <v>2398</v>
      </c>
      <c r="B2368" s="1">
        <v>45470</v>
      </c>
      <c r="C2368" t="s">
        <v>20</v>
      </c>
      <c r="D2368" t="s">
        <v>32</v>
      </c>
      <c r="E2368">
        <v>53</v>
      </c>
      <c r="F2368" t="s">
        <v>15</v>
      </c>
      <c r="G2368">
        <v>1195.3</v>
      </c>
      <c r="H2368">
        <v>35</v>
      </c>
      <c r="I2368" t="s">
        <v>22</v>
      </c>
      <c r="J2368">
        <v>3.9</v>
      </c>
      <c r="K2368" t="s">
        <v>29</v>
      </c>
      <c r="L2368" t="s">
        <v>18</v>
      </c>
      <c r="M2368" t="str">
        <f>VLOOKUP(D2372,Restaurant_Master!A:B,2,FALSE)</f>
        <v>https://dineout-media-assets.swiggy.com/swiggy/image/upload/fl_lossy,f_auto,q_auto/v1660793737/fdqxvxcxg1wtdwvyv45v.jpg</v>
      </c>
    </row>
    <row r="2369" spans="1:13" x14ac:dyDescent="0.3">
      <c r="A2369" t="s">
        <v>2399</v>
      </c>
      <c r="B2369" s="1">
        <v>45346</v>
      </c>
      <c r="C2369" t="s">
        <v>43</v>
      </c>
      <c r="D2369" t="s">
        <v>14</v>
      </c>
      <c r="E2369">
        <v>33</v>
      </c>
      <c r="F2369" t="s">
        <v>15</v>
      </c>
      <c r="G2369">
        <v>816.42</v>
      </c>
      <c r="H2369">
        <v>41</v>
      </c>
      <c r="I2369" t="s">
        <v>16</v>
      </c>
      <c r="J2369">
        <v>4.2</v>
      </c>
      <c r="K2369" t="s">
        <v>17</v>
      </c>
      <c r="L2369" t="s">
        <v>23</v>
      </c>
      <c r="M2369" t="str">
        <f>VLOOKUP(D2373,Restaurant_Master!A:B,2,FALSE)</f>
        <v>https://dineout-media-assets.swiggy.com/swiggy/image/upload/fl_lossy,f_auto,q_auto/v1660793737/fdqxvxcxg1wtdwvyv45v.jpg</v>
      </c>
    </row>
    <row r="2370" spans="1:13" x14ac:dyDescent="0.3">
      <c r="A2370" t="s">
        <v>2400</v>
      </c>
      <c r="B2370" s="1">
        <v>45392</v>
      </c>
      <c r="C2370" t="s">
        <v>43</v>
      </c>
      <c r="D2370" t="s">
        <v>14</v>
      </c>
      <c r="E2370">
        <v>34</v>
      </c>
      <c r="F2370" t="s">
        <v>15</v>
      </c>
      <c r="G2370">
        <v>599.33000000000004</v>
      </c>
      <c r="H2370">
        <v>42</v>
      </c>
      <c r="I2370" t="s">
        <v>16</v>
      </c>
      <c r="J2370">
        <v>4.3</v>
      </c>
      <c r="K2370" t="s">
        <v>17</v>
      </c>
      <c r="L2370" t="s">
        <v>18</v>
      </c>
      <c r="M2370" t="str">
        <f>VLOOKUP(D2374,Restaurant_Master!A:B,2,FALSE)</f>
        <v>https://content.jdmagicbox.com/comp/deoria/g6/9999p5568.5568.200119143033.m4g6/catalogue/biryani-house-deoria-ho-deoria-mktc2xph0o.jpg</v>
      </c>
    </row>
    <row r="2371" spans="1:13" x14ac:dyDescent="0.3">
      <c r="A2371" t="s">
        <v>2401</v>
      </c>
      <c r="B2371" s="1">
        <v>45581</v>
      </c>
      <c r="C2371" t="s">
        <v>36</v>
      </c>
      <c r="D2371" t="s">
        <v>25</v>
      </c>
      <c r="E2371">
        <v>18</v>
      </c>
      <c r="F2371" t="s">
        <v>28</v>
      </c>
      <c r="G2371">
        <v>892.79</v>
      </c>
      <c r="H2371">
        <v>47</v>
      </c>
      <c r="I2371" t="s">
        <v>16</v>
      </c>
      <c r="J2371">
        <v>4.0999999999999996</v>
      </c>
      <c r="K2371" t="s">
        <v>26</v>
      </c>
      <c r="L2371" t="s">
        <v>18</v>
      </c>
      <c r="M2371" t="str">
        <f>VLOOKUP(D2375,Restaurant_Master!A:B,2,FALSE)</f>
        <v>https://dineout-media-assets.swiggy.com/swiggy/image/upload/fl_lossy,f_auto,q_auto/v1660793737/fdqxvxcxg1wtdwvyv45v.jpg</v>
      </c>
    </row>
    <row r="2372" spans="1:13" x14ac:dyDescent="0.3">
      <c r="A2372" t="s">
        <v>2402</v>
      </c>
      <c r="B2372" s="1">
        <v>45344</v>
      </c>
      <c r="C2372" t="s">
        <v>43</v>
      </c>
      <c r="D2372" t="s">
        <v>14</v>
      </c>
      <c r="E2372">
        <v>60</v>
      </c>
      <c r="F2372" t="s">
        <v>15</v>
      </c>
      <c r="G2372">
        <v>905.65</v>
      </c>
      <c r="H2372">
        <v>58</v>
      </c>
      <c r="I2372" t="s">
        <v>16</v>
      </c>
      <c r="J2372">
        <v>4</v>
      </c>
      <c r="K2372" t="s">
        <v>26</v>
      </c>
      <c r="L2372" t="s">
        <v>23</v>
      </c>
      <c r="M2372" t="str">
        <f>VLOOKUP(D2376,Restaurant_Master!A:B,2,FALSE)</f>
        <v>https://content.jdmagicbox.com/comp/deoria/g6/9999p5568.5568.200119143033.m4g6/catalogue/biryani-house-deoria-ho-deoria-mktc2xph0o.jpg</v>
      </c>
    </row>
    <row r="2373" spans="1:13" x14ac:dyDescent="0.3">
      <c r="A2373" t="s">
        <v>2403</v>
      </c>
      <c r="B2373" s="1">
        <v>45637</v>
      </c>
      <c r="C2373" t="s">
        <v>36</v>
      </c>
      <c r="D2373" t="s">
        <v>14</v>
      </c>
      <c r="E2373">
        <v>32</v>
      </c>
      <c r="F2373" t="s">
        <v>28</v>
      </c>
      <c r="G2373">
        <v>1050.48</v>
      </c>
      <c r="H2373">
        <v>29</v>
      </c>
      <c r="I2373" t="s">
        <v>22</v>
      </c>
      <c r="J2373">
        <v>3.4</v>
      </c>
      <c r="K2373" t="s">
        <v>41</v>
      </c>
      <c r="L2373" t="s">
        <v>23</v>
      </c>
      <c r="M2373" t="str">
        <f>VLOOKUP(D2377,Restaurant_Master!A:B,2,FALSE)</f>
        <v>https://dynamic-media-cdn.tripadvisor.com/media/photo-o/1c/e7/04/0d/front-of-the-local-easily.jpg</v>
      </c>
    </row>
    <row r="2374" spans="1:13" x14ac:dyDescent="0.3">
      <c r="A2374" t="s">
        <v>2404</v>
      </c>
      <c r="B2374" s="1">
        <v>45345</v>
      </c>
      <c r="C2374" t="s">
        <v>36</v>
      </c>
      <c r="D2374" t="s">
        <v>32</v>
      </c>
      <c r="E2374">
        <v>25</v>
      </c>
      <c r="F2374" t="s">
        <v>28</v>
      </c>
      <c r="G2374">
        <v>679.8</v>
      </c>
      <c r="H2374">
        <v>55</v>
      </c>
      <c r="I2374" t="s">
        <v>16</v>
      </c>
      <c r="J2374">
        <v>2.6</v>
      </c>
      <c r="K2374" t="s">
        <v>29</v>
      </c>
      <c r="L2374" t="s">
        <v>23</v>
      </c>
      <c r="M2374" t="str">
        <f>VLOOKUP(D2378,Restaurant_Master!A:B,2,FALSE)</f>
        <v>https://media-cdn.tripadvisor.com/media/photo-s/1c/c7/97/b6/photo6jpg.jpg</v>
      </c>
    </row>
    <row r="2375" spans="1:13" x14ac:dyDescent="0.3">
      <c r="A2375" t="s">
        <v>2405</v>
      </c>
      <c r="B2375" s="1">
        <v>45500</v>
      </c>
      <c r="C2375" t="s">
        <v>20</v>
      </c>
      <c r="D2375" t="s">
        <v>14</v>
      </c>
      <c r="E2375">
        <v>18</v>
      </c>
      <c r="F2375" t="s">
        <v>28</v>
      </c>
      <c r="G2375">
        <v>631.04999999999995</v>
      </c>
      <c r="H2375">
        <v>39</v>
      </c>
      <c r="I2375" t="s">
        <v>22</v>
      </c>
      <c r="J2375">
        <v>3.7</v>
      </c>
      <c r="K2375" t="s">
        <v>26</v>
      </c>
      <c r="L2375" t="s">
        <v>18</v>
      </c>
      <c r="M2375" t="str">
        <f>VLOOKUP(D2379,Restaurant_Master!A:B,2,FALSE)</f>
        <v>https://content.jdmagicbox.com/comp/deoria/g6/9999p5568.5568.200119143033.m4g6/catalogue/biryani-house-deoria-ho-deoria-mktc2xph0o.jpg</v>
      </c>
    </row>
    <row r="2376" spans="1:13" x14ac:dyDescent="0.3">
      <c r="A2376" t="s">
        <v>2406</v>
      </c>
      <c r="B2376" s="1">
        <v>45345</v>
      </c>
      <c r="C2376" t="s">
        <v>20</v>
      </c>
      <c r="D2376" t="s">
        <v>32</v>
      </c>
      <c r="E2376">
        <v>25</v>
      </c>
      <c r="F2376" t="s">
        <v>15</v>
      </c>
      <c r="G2376">
        <v>634.75</v>
      </c>
      <c r="H2376">
        <v>24</v>
      </c>
      <c r="I2376" t="s">
        <v>22</v>
      </c>
      <c r="J2376">
        <v>3.5</v>
      </c>
      <c r="K2376" t="s">
        <v>17</v>
      </c>
      <c r="L2376" t="s">
        <v>23</v>
      </c>
      <c r="M2376" t="str">
        <f>VLOOKUP(D2380,Restaurant_Master!A:B,2,FALSE)</f>
        <v>https://media-cdn.tripadvisor.com/media/photo-s/1c/c7/97/b6/photo6jpg.jpg</v>
      </c>
    </row>
    <row r="2377" spans="1:13" x14ac:dyDescent="0.3">
      <c r="A2377" t="s">
        <v>2407</v>
      </c>
      <c r="B2377" s="1">
        <v>45491</v>
      </c>
      <c r="C2377" t="s">
        <v>13</v>
      </c>
      <c r="D2377" t="s">
        <v>21</v>
      </c>
      <c r="E2377">
        <v>30</v>
      </c>
      <c r="F2377" t="s">
        <v>15</v>
      </c>
      <c r="G2377">
        <v>536.27</v>
      </c>
      <c r="H2377">
        <v>45</v>
      </c>
      <c r="I2377" t="s">
        <v>16</v>
      </c>
      <c r="J2377">
        <v>4.8</v>
      </c>
      <c r="K2377" t="s">
        <v>26</v>
      </c>
      <c r="L2377" t="s">
        <v>18</v>
      </c>
      <c r="M2377" t="str">
        <f>VLOOKUP(D2381,Restaurant_Master!A:B,2,FALSE)</f>
        <v>https://dineout-media-assets.swiggy.com/swiggy/image/upload/fl_lossy,f_auto,q_auto/v1660793737/fdqxvxcxg1wtdwvyv45v.jpg</v>
      </c>
    </row>
    <row r="2378" spans="1:13" x14ac:dyDescent="0.3">
      <c r="A2378" t="s">
        <v>2408</v>
      </c>
      <c r="B2378" s="1">
        <v>45380</v>
      </c>
      <c r="C2378" t="s">
        <v>13</v>
      </c>
      <c r="D2378" t="s">
        <v>25</v>
      </c>
      <c r="E2378">
        <v>47</v>
      </c>
      <c r="F2378" t="s">
        <v>28</v>
      </c>
      <c r="G2378">
        <v>788.13</v>
      </c>
      <c r="H2378">
        <v>20</v>
      </c>
      <c r="I2378" t="s">
        <v>22</v>
      </c>
      <c r="J2378">
        <v>4.4000000000000004</v>
      </c>
      <c r="K2378" t="s">
        <v>26</v>
      </c>
      <c r="L2378" t="s">
        <v>18</v>
      </c>
      <c r="M2378" t="str">
        <f>VLOOKUP(D2382,Restaurant_Master!A:B,2,FALSE)</f>
        <v>https://dynamic-media-cdn.tripadvisor.com/media/photo-o/1c/e7/04/0d/front-of-the-local-easily.jpg</v>
      </c>
    </row>
    <row r="2379" spans="1:13" x14ac:dyDescent="0.3">
      <c r="A2379" t="s">
        <v>2409</v>
      </c>
      <c r="B2379" s="1">
        <v>45499</v>
      </c>
      <c r="C2379" t="s">
        <v>34</v>
      </c>
      <c r="D2379" t="s">
        <v>32</v>
      </c>
      <c r="E2379">
        <v>20</v>
      </c>
      <c r="F2379" t="s">
        <v>28</v>
      </c>
      <c r="G2379">
        <v>150.28</v>
      </c>
      <c r="H2379">
        <v>59</v>
      </c>
      <c r="I2379" t="s">
        <v>16</v>
      </c>
      <c r="J2379">
        <v>4.5999999999999996</v>
      </c>
      <c r="K2379" t="s">
        <v>41</v>
      </c>
      <c r="L2379" t="s">
        <v>23</v>
      </c>
      <c r="M2379" t="str">
        <f>VLOOKUP(D2383,Restaurant_Master!A:B,2,FALSE)</f>
        <v>https://dineout-media-assets.swiggy.com/swiggy/image/upload/fl_lossy,f_auto,q_auto/v1660793737/fdqxvxcxg1wtdwvyv45v.jpg</v>
      </c>
    </row>
    <row r="2380" spans="1:13" x14ac:dyDescent="0.3">
      <c r="A2380" t="s">
        <v>2410</v>
      </c>
      <c r="B2380" s="1">
        <v>45421</v>
      </c>
      <c r="C2380" t="s">
        <v>36</v>
      </c>
      <c r="D2380" t="s">
        <v>25</v>
      </c>
      <c r="E2380">
        <v>31</v>
      </c>
      <c r="F2380" t="s">
        <v>15</v>
      </c>
      <c r="G2380">
        <v>383.99</v>
      </c>
      <c r="H2380">
        <v>54</v>
      </c>
      <c r="I2380" t="s">
        <v>16</v>
      </c>
      <c r="J2380">
        <v>3.4</v>
      </c>
      <c r="K2380" t="s">
        <v>17</v>
      </c>
      <c r="L2380" t="s">
        <v>23</v>
      </c>
      <c r="M2380" t="str">
        <f>VLOOKUP(D2384,Restaurant_Master!A:B,2,FALSE)</f>
        <v>https://dynamic-media-cdn.tripadvisor.com/media/photo-o/1c/e7/04/0d/front-of-the-local-easily.jpg</v>
      </c>
    </row>
    <row r="2381" spans="1:13" x14ac:dyDescent="0.3">
      <c r="A2381" t="s">
        <v>2411</v>
      </c>
      <c r="B2381" s="1">
        <v>45577</v>
      </c>
      <c r="C2381" t="s">
        <v>20</v>
      </c>
      <c r="D2381" t="s">
        <v>14</v>
      </c>
      <c r="E2381">
        <v>24</v>
      </c>
      <c r="F2381" t="s">
        <v>28</v>
      </c>
      <c r="G2381">
        <v>1102.58</v>
      </c>
      <c r="H2381">
        <v>47</v>
      </c>
      <c r="I2381" t="s">
        <v>16</v>
      </c>
      <c r="J2381">
        <v>3.6</v>
      </c>
      <c r="K2381" t="s">
        <v>26</v>
      </c>
      <c r="L2381" t="s">
        <v>18</v>
      </c>
      <c r="M2381" t="str">
        <f>VLOOKUP(D2385,Restaurant_Master!A:B,2,FALSE)</f>
        <v>https://dineout-media-assets.swiggy.com/swiggy/image/upload/fl_lossy,f_auto,q_auto/v1660793737/fdqxvxcxg1wtdwvyv45v.jpg</v>
      </c>
    </row>
    <row r="2382" spans="1:13" x14ac:dyDescent="0.3">
      <c r="A2382" t="s">
        <v>2412</v>
      </c>
      <c r="B2382" s="1">
        <v>45650</v>
      </c>
      <c r="C2382" t="s">
        <v>36</v>
      </c>
      <c r="D2382" t="s">
        <v>21</v>
      </c>
      <c r="E2382">
        <v>47</v>
      </c>
      <c r="F2382" t="s">
        <v>15</v>
      </c>
      <c r="G2382">
        <v>1094.8800000000001</v>
      </c>
      <c r="H2382">
        <v>27</v>
      </c>
      <c r="I2382" t="s">
        <v>22</v>
      </c>
      <c r="J2382">
        <v>2.8</v>
      </c>
      <c r="K2382" t="s">
        <v>26</v>
      </c>
      <c r="L2382" t="s">
        <v>18</v>
      </c>
      <c r="M2382" t="str">
        <f>VLOOKUP(D2386,Restaurant_Master!A:B,2,FALSE)</f>
        <v>https://www.chatswoodinterchange.com/storages/2018/08/Sushi-World_666x448.jpg</v>
      </c>
    </row>
    <row r="2383" spans="1:13" x14ac:dyDescent="0.3">
      <c r="A2383" t="s">
        <v>2413</v>
      </c>
      <c r="B2383" s="1">
        <v>45486</v>
      </c>
      <c r="C2383" t="s">
        <v>20</v>
      </c>
      <c r="D2383" t="s">
        <v>14</v>
      </c>
      <c r="E2383">
        <v>47</v>
      </c>
      <c r="F2383" t="s">
        <v>28</v>
      </c>
      <c r="G2383">
        <v>444.78</v>
      </c>
      <c r="H2383">
        <v>27</v>
      </c>
      <c r="I2383" t="s">
        <v>22</v>
      </c>
      <c r="J2383">
        <v>3.7</v>
      </c>
      <c r="K2383" t="s">
        <v>17</v>
      </c>
      <c r="L2383" t="s">
        <v>18</v>
      </c>
      <c r="M2383" t="str">
        <f>VLOOKUP(D2387,Restaurant_Master!A:B,2,FALSE)</f>
        <v>https://media-cdn.tripadvisor.com/media/photo-s/1c/c7/97/b6/photo6jpg.jpg</v>
      </c>
    </row>
    <row r="2384" spans="1:13" x14ac:dyDescent="0.3">
      <c r="A2384" t="s">
        <v>2414</v>
      </c>
      <c r="B2384" s="1">
        <v>45637</v>
      </c>
      <c r="C2384" t="s">
        <v>34</v>
      </c>
      <c r="D2384" t="s">
        <v>21</v>
      </c>
      <c r="E2384">
        <v>41</v>
      </c>
      <c r="F2384" t="s">
        <v>15</v>
      </c>
      <c r="G2384">
        <v>231.35</v>
      </c>
      <c r="H2384">
        <v>35</v>
      </c>
      <c r="I2384" t="s">
        <v>22</v>
      </c>
      <c r="J2384">
        <v>2.7</v>
      </c>
      <c r="K2384" t="s">
        <v>17</v>
      </c>
      <c r="L2384" t="s">
        <v>23</v>
      </c>
      <c r="M2384" t="str">
        <f>VLOOKUP(D2388,Restaurant_Master!A:B,2,FALSE)</f>
        <v>https://www.chatswoodinterchange.com/storages/2018/08/Sushi-World_666x448.jpg</v>
      </c>
    </row>
    <row r="2385" spans="1:13" x14ac:dyDescent="0.3">
      <c r="A2385" t="s">
        <v>2415</v>
      </c>
      <c r="B2385" s="1">
        <v>45329</v>
      </c>
      <c r="C2385" t="s">
        <v>43</v>
      </c>
      <c r="D2385" t="s">
        <v>14</v>
      </c>
      <c r="E2385">
        <v>57</v>
      </c>
      <c r="F2385" t="s">
        <v>15</v>
      </c>
      <c r="G2385">
        <v>396.9</v>
      </c>
      <c r="H2385">
        <v>22</v>
      </c>
      <c r="I2385" t="s">
        <v>22</v>
      </c>
      <c r="J2385">
        <v>2.7</v>
      </c>
      <c r="K2385" t="s">
        <v>17</v>
      </c>
      <c r="L2385" t="s">
        <v>18</v>
      </c>
      <c r="M2385" t="str">
        <f>VLOOKUP(D2389,Restaurant_Master!A:B,2,FALSE)</f>
        <v>https://www.chatswoodinterchange.com/storages/2018/08/Sushi-World_666x448.jpg</v>
      </c>
    </row>
    <row r="2386" spans="1:13" x14ac:dyDescent="0.3">
      <c r="A2386" t="s">
        <v>2416</v>
      </c>
      <c r="B2386" s="1">
        <v>45638</v>
      </c>
      <c r="C2386" t="s">
        <v>20</v>
      </c>
      <c r="D2386" t="s">
        <v>38</v>
      </c>
      <c r="E2386">
        <v>46</v>
      </c>
      <c r="F2386" t="s">
        <v>28</v>
      </c>
      <c r="G2386">
        <v>1090.6600000000001</v>
      </c>
      <c r="H2386">
        <v>58</v>
      </c>
      <c r="I2386" t="s">
        <v>16</v>
      </c>
      <c r="J2386">
        <v>3.8</v>
      </c>
      <c r="K2386" t="s">
        <v>41</v>
      </c>
      <c r="L2386" t="s">
        <v>18</v>
      </c>
      <c r="M2386" t="str">
        <f>VLOOKUP(D2390,Restaurant_Master!A:B,2,FALSE)</f>
        <v>https://dynamic-media-cdn.tripadvisor.com/media/photo-o/1c/e7/04/0d/front-of-the-local-easily.jpg</v>
      </c>
    </row>
    <row r="2387" spans="1:13" x14ac:dyDescent="0.3">
      <c r="A2387" t="s">
        <v>2417</v>
      </c>
      <c r="B2387" s="1">
        <v>45520</v>
      </c>
      <c r="C2387" t="s">
        <v>34</v>
      </c>
      <c r="D2387" t="s">
        <v>25</v>
      </c>
      <c r="E2387">
        <v>41</v>
      </c>
      <c r="F2387" t="s">
        <v>28</v>
      </c>
      <c r="G2387">
        <v>521.52</v>
      </c>
      <c r="H2387">
        <v>21</v>
      </c>
      <c r="I2387" t="s">
        <v>22</v>
      </c>
      <c r="J2387">
        <v>4.5</v>
      </c>
      <c r="K2387" t="s">
        <v>41</v>
      </c>
      <c r="L2387" t="s">
        <v>23</v>
      </c>
      <c r="M2387" t="str">
        <f>VLOOKUP(D2391,Restaurant_Master!A:B,2,FALSE)</f>
        <v>https://dineout-media-assets.swiggy.com/swiggy/image/upload/fl_lossy,f_auto,q_auto/v1660793737/fdqxvxcxg1wtdwvyv45v.jpg</v>
      </c>
    </row>
    <row r="2388" spans="1:13" x14ac:dyDescent="0.3">
      <c r="A2388" t="s">
        <v>2418</v>
      </c>
      <c r="B2388" s="1">
        <v>45312</v>
      </c>
      <c r="C2388" t="s">
        <v>34</v>
      </c>
      <c r="D2388" t="s">
        <v>38</v>
      </c>
      <c r="E2388">
        <v>41</v>
      </c>
      <c r="F2388" t="s">
        <v>28</v>
      </c>
      <c r="G2388">
        <v>1173.1199999999999</v>
      </c>
      <c r="H2388">
        <v>37</v>
      </c>
      <c r="I2388" t="s">
        <v>22</v>
      </c>
      <c r="J2388">
        <v>4.9000000000000004</v>
      </c>
      <c r="K2388" t="s">
        <v>17</v>
      </c>
      <c r="L2388" t="s">
        <v>23</v>
      </c>
      <c r="M2388" t="str">
        <f>VLOOKUP(D2392,Restaurant_Master!A:B,2,FALSE)</f>
        <v>https://content.jdmagicbox.com/comp/deoria/g6/9999p5568.5568.200119143033.m4g6/catalogue/biryani-house-deoria-ho-deoria-mktc2xph0o.jpg</v>
      </c>
    </row>
    <row r="2389" spans="1:13" x14ac:dyDescent="0.3">
      <c r="A2389" t="s">
        <v>2419</v>
      </c>
      <c r="B2389" s="1">
        <v>45612</v>
      </c>
      <c r="C2389" t="s">
        <v>13</v>
      </c>
      <c r="D2389" t="s">
        <v>38</v>
      </c>
      <c r="E2389">
        <v>55</v>
      </c>
      <c r="F2389" t="s">
        <v>15</v>
      </c>
      <c r="G2389">
        <v>243.02</v>
      </c>
      <c r="H2389">
        <v>37</v>
      </c>
      <c r="I2389" t="s">
        <v>22</v>
      </c>
      <c r="J2389">
        <v>4.8</v>
      </c>
      <c r="K2389" t="s">
        <v>26</v>
      </c>
      <c r="L2389" t="s">
        <v>23</v>
      </c>
      <c r="M2389" t="str">
        <f>VLOOKUP(D2393,Restaurant_Master!A:B,2,FALSE)</f>
        <v>https://media-cdn.tripadvisor.com/media/photo-s/1c/c7/97/b6/photo6jpg.jpg</v>
      </c>
    </row>
    <row r="2390" spans="1:13" x14ac:dyDescent="0.3">
      <c r="A2390" t="s">
        <v>2420</v>
      </c>
      <c r="B2390" s="1">
        <v>45318</v>
      </c>
      <c r="C2390" t="s">
        <v>36</v>
      </c>
      <c r="D2390" t="s">
        <v>21</v>
      </c>
      <c r="E2390">
        <v>53</v>
      </c>
      <c r="F2390" t="s">
        <v>28</v>
      </c>
      <c r="G2390">
        <v>597.67999999999995</v>
      </c>
      <c r="H2390">
        <v>48</v>
      </c>
      <c r="I2390" t="s">
        <v>16</v>
      </c>
      <c r="J2390">
        <v>4.4000000000000004</v>
      </c>
      <c r="K2390" t="s">
        <v>17</v>
      </c>
      <c r="L2390" t="s">
        <v>18</v>
      </c>
      <c r="M2390" t="str">
        <f>VLOOKUP(D2394,Restaurant_Master!A:B,2,FALSE)</f>
        <v>https://www.chatswoodinterchange.com/storages/2018/08/Sushi-World_666x448.jpg</v>
      </c>
    </row>
    <row r="2391" spans="1:13" x14ac:dyDescent="0.3">
      <c r="A2391" t="s">
        <v>2421</v>
      </c>
      <c r="B2391" s="1">
        <v>45631</v>
      </c>
      <c r="C2391" t="s">
        <v>43</v>
      </c>
      <c r="D2391" t="s">
        <v>14</v>
      </c>
      <c r="E2391">
        <v>51</v>
      </c>
      <c r="F2391" t="s">
        <v>15</v>
      </c>
      <c r="G2391">
        <v>797.73</v>
      </c>
      <c r="H2391">
        <v>29</v>
      </c>
      <c r="I2391" t="s">
        <v>22</v>
      </c>
      <c r="J2391">
        <v>3.1</v>
      </c>
      <c r="K2391" t="s">
        <v>26</v>
      </c>
      <c r="L2391" t="s">
        <v>18</v>
      </c>
      <c r="M2391" t="str">
        <f>VLOOKUP(D2395,Restaurant_Master!A:B,2,FALSE)</f>
        <v>https://dineout-media-assets.swiggy.com/swiggy/image/upload/fl_lossy,f_auto,q_auto/v1660793737/fdqxvxcxg1wtdwvyv45v.jpg</v>
      </c>
    </row>
    <row r="2392" spans="1:13" x14ac:dyDescent="0.3">
      <c r="A2392" t="s">
        <v>2422</v>
      </c>
      <c r="B2392" s="1">
        <v>45365</v>
      </c>
      <c r="C2392" t="s">
        <v>13</v>
      </c>
      <c r="D2392" t="s">
        <v>32</v>
      </c>
      <c r="E2392">
        <v>37</v>
      </c>
      <c r="F2392" t="s">
        <v>28</v>
      </c>
      <c r="G2392">
        <v>1185.18</v>
      </c>
      <c r="H2392">
        <v>26</v>
      </c>
      <c r="I2392" t="s">
        <v>22</v>
      </c>
      <c r="J2392">
        <v>4.0999999999999996</v>
      </c>
      <c r="K2392" t="s">
        <v>41</v>
      </c>
      <c r="L2392" t="s">
        <v>18</v>
      </c>
      <c r="M2392" t="str">
        <f>VLOOKUP(D2396,Restaurant_Master!A:B,2,FALSE)</f>
        <v>https://dineout-media-assets.swiggy.com/swiggy/image/upload/fl_lossy,f_auto,q_auto/v1660793737/fdqxvxcxg1wtdwvyv45v.jpg</v>
      </c>
    </row>
    <row r="2393" spans="1:13" x14ac:dyDescent="0.3">
      <c r="A2393" t="s">
        <v>2423</v>
      </c>
      <c r="B2393" s="1">
        <v>45335</v>
      </c>
      <c r="C2393" t="s">
        <v>36</v>
      </c>
      <c r="D2393" t="s">
        <v>25</v>
      </c>
      <c r="E2393">
        <v>47</v>
      </c>
      <c r="F2393" t="s">
        <v>28</v>
      </c>
      <c r="G2393">
        <v>394.15</v>
      </c>
      <c r="H2393">
        <v>38</v>
      </c>
      <c r="I2393" t="s">
        <v>22</v>
      </c>
      <c r="J2393">
        <v>2.5</v>
      </c>
      <c r="K2393" t="s">
        <v>17</v>
      </c>
      <c r="L2393" t="s">
        <v>23</v>
      </c>
      <c r="M2393" t="str">
        <f>VLOOKUP(D2397,Restaurant_Master!A:B,2,FALSE)</f>
        <v>https://www.chatswoodinterchange.com/storages/2018/08/Sushi-World_666x448.jpg</v>
      </c>
    </row>
    <row r="2394" spans="1:13" x14ac:dyDescent="0.3">
      <c r="A2394" t="s">
        <v>2424</v>
      </c>
      <c r="B2394" s="1">
        <v>45513</v>
      </c>
      <c r="C2394" t="s">
        <v>13</v>
      </c>
      <c r="D2394" t="s">
        <v>38</v>
      </c>
      <c r="E2394">
        <v>38</v>
      </c>
      <c r="F2394" t="s">
        <v>28</v>
      </c>
      <c r="G2394">
        <v>1147.03</v>
      </c>
      <c r="H2394">
        <v>53</v>
      </c>
      <c r="I2394" t="s">
        <v>16</v>
      </c>
      <c r="J2394">
        <v>5</v>
      </c>
      <c r="K2394" t="s">
        <v>26</v>
      </c>
      <c r="L2394" t="s">
        <v>18</v>
      </c>
      <c r="M2394" t="str">
        <f>VLOOKUP(D2398,Restaurant_Master!A:B,2,FALSE)</f>
        <v>https://www.chatswoodinterchange.com/storages/2018/08/Sushi-World_666x448.jpg</v>
      </c>
    </row>
    <row r="2395" spans="1:13" x14ac:dyDescent="0.3">
      <c r="A2395" t="s">
        <v>2425</v>
      </c>
      <c r="B2395" s="1">
        <v>45460</v>
      </c>
      <c r="C2395" t="s">
        <v>20</v>
      </c>
      <c r="D2395" t="s">
        <v>14</v>
      </c>
      <c r="E2395">
        <v>58</v>
      </c>
      <c r="F2395" t="s">
        <v>15</v>
      </c>
      <c r="G2395">
        <v>838.81</v>
      </c>
      <c r="H2395">
        <v>30</v>
      </c>
      <c r="I2395" t="s">
        <v>22</v>
      </c>
      <c r="J2395">
        <v>3.7</v>
      </c>
      <c r="K2395" t="s">
        <v>41</v>
      </c>
      <c r="L2395" t="s">
        <v>23</v>
      </c>
      <c r="M2395" t="str">
        <f>VLOOKUP(D2399,Restaurant_Master!A:B,2,FALSE)</f>
        <v>https://www.chatswoodinterchange.com/storages/2018/08/Sushi-World_666x448.jpg</v>
      </c>
    </row>
    <row r="2396" spans="1:13" x14ac:dyDescent="0.3">
      <c r="A2396" t="s">
        <v>2426</v>
      </c>
      <c r="B2396" s="1">
        <v>45293</v>
      </c>
      <c r="C2396" t="s">
        <v>36</v>
      </c>
      <c r="D2396" t="s">
        <v>14</v>
      </c>
      <c r="E2396">
        <v>49</v>
      </c>
      <c r="F2396" t="s">
        <v>15</v>
      </c>
      <c r="G2396">
        <v>307.81</v>
      </c>
      <c r="H2396">
        <v>59</v>
      </c>
      <c r="I2396" t="s">
        <v>16</v>
      </c>
      <c r="J2396">
        <v>3.6</v>
      </c>
      <c r="K2396" t="s">
        <v>26</v>
      </c>
      <c r="L2396" t="s">
        <v>18</v>
      </c>
      <c r="M2396" t="str">
        <f>VLOOKUP(D2400,Restaurant_Master!A:B,2,FALSE)</f>
        <v>https://www.chatswoodinterchange.com/storages/2018/08/Sushi-World_666x448.jpg</v>
      </c>
    </row>
    <row r="2397" spans="1:13" x14ac:dyDescent="0.3">
      <c r="A2397" t="s">
        <v>2427</v>
      </c>
      <c r="B2397" s="1">
        <v>45377</v>
      </c>
      <c r="C2397" t="s">
        <v>36</v>
      </c>
      <c r="D2397" t="s">
        <v>38</v>
      </c>
      <c r="E2397">
        <v>35</v>
      </c>
      <c r="F2397" t="s">
        <v>28</v>
      </c>
      <c r="G2397">
        <v>912.21</v>
      </c>
      <c r="H2397">
        <v>51</v>
      </c>
      <c r="I2397" t="s">
        <v>16</v>
      </c>
      <c r="J2397">
        <v>4.7</v>
      </c>
      <c r="K2397" t="s">
        <v>26</v>
      </c>
      <c r="L2397" t="s">
        <v>18</v>
      </c>
      <c r="M2397" t="str">
        <f>VLOOKUP(D2401,Restaurant_Master!A:B,2,FALSE)</f>
        <v>https://www.chatswoodinterchange.com/storages/2018/08/Sushi-World_666x448.jpg</v>
      </c>
    </row>
    <row r="2398" spans="1:13" x14ac:dyDescent="0.3">
      <c r="A2398" t="s">
        <v>2428</v>
      </c>
      <c r="B2398" s="1">
        <v>45473</v>
      </c>
      <c r="C2398" t="s">
        <v>13</v>
      </c>
      <c r="D2398" t="s">
        <v>38</v>
      </c>
      <c r="E2398">
        <v>20</v>
      </c>
      <c r="F2398" t="s">
        <v>28</v>
      </c>
      <c r="G2398">
        <v>345.01</v>
      </c>
      <c r="H2398">
        <v>43</v>
      </c>
      <c r="I2398" t="s">
        <v>16</v>
      </c>
      <c r="J2398">
        <v>3</v>
      </c>
      <c r="K2398" t="s">
        <v>17</v>
      </c>
      <c r="L2398" t="s">
        <v>23</v>
      </c>
      <c r="M2398" t="str">
        <f>VLOOKUP(D2402,Restaurant_Master!A:B,2,FALSE)</f>
        <v>https://media-cdn.tripadvisor.com/media/photo-s/1c/c7/97/b6/photo6jpg.jpg</v>
      </c>
    </row>
    <row r="2399" spans="1:13" x14ac:dyDescent="0.3">
      <c r="A2399" t="s">
        <v>2429</v>
      </c>
      <c r="B2399" s="1">
        <v>45590</v>
      </c>
      <c r="C2399" t="s">
        <v>34</v>
      </c>
      <c r="D2399" t="s">
        <v>38</v>
      </c>
      <c r="E2399">
        <v>38</v>
      </c>
      <c r="F2399" t="s">
        <v>28</v>
      </c>
      <c r="G2399">
        <v>362</v>
      </c>
      <c r="H2399">
        <v>59</v>
      </c>
      <c r="I2399" t="s">
        <v>16</v>
      </c>
      <c r="J2399">
        <v>4.4000000000000004</v>
      </c>
      <c r="K2399" t="s">
        <v>26</v>
      </c>
      <c r="L2399" t="s">
        <v>18</v>
      </c>
      <c r="M2399" t="str">
        <f>VLOOKUP(D2403,Restaurant_Master!A:B,2,FALSE)</f>
        <v>https://dynamic-media-cdn.tripadvisor.com/media/photo-o/1c/e7/04/0d/front-of-the-local-easily.jpg</v>
      </c>
    </row>
    <row r="2400" spans="1:13" x14ac:dyDescent="0.3">
      <c r="A2400" t="s">
        <v>2430</v>
      </c>
      <c r="B2400" s="1">
        <v>45514</v>
      </c>
      <c r="C2400" t="s">
        <v>36</v>
      </c>
      <c r="D2400" t="s">
        <v>38</v>
      </c>
      <c r="E2400">
        <v>30</v>
      </c>
      <c r="F2400" t="s">
        <v>15</v>
      </c>
      <c r="G2400">
        <v>512.28</v>
      </c>
      <c r="H2400">
        <v>53</v>
      </c>
      <c r="I2400" t="s">
        <v>16</v>
      </c>
      <c r="J2400">
        <v>4.0999999999999996</v>
      </c>
      <c r="K2400" t="s">
        <v>26</v>
      </c>
      <c r="L2400" t="s">
        <v>23</v>
      </c>
      <c r="M2400" t="str">
        <f>VLOOKUP(D2404,Restaurant_Master!A:B,2,FALSE)</f>
        <v>https://media-cdn.tripadvisor.com/media/photo-s/1c/c7/97/b6/photo6jpg.jpg</v>
      </c>
    </row>
    <row r="2401" spans="1:13" x14ac:dyDescent="0.3">
      <c r="A2401" t="s">
        <v>2431</v>
      </c>
      <c r="B2401" s="1">
        <v>45508</v>
      </c>
      <c r="C2401" t="s">
        <v>34</v>
      </c>
      <c r="D2401" t="s">
        <v>38</v>
      </c>
      <c r="E2401">
        <v>30</v>
      </c>
      <c r="F2401" t="s">
        <v>15</v>
      </c>
      <c r="G2401">
        <v>1181.45</v>
      </c>
      <c r="H2401">
        <v>46</v>
      </c>
      <c r="I2401" t="s">
        <v>16</v>
      </c>
      <c r="J2401">
        <v>3.9</v>
      </c>
      <c r="K2401" t="s">
        <v>17</v>
      </c>
      <c r="L2401" t="s">
        <v>18</v>
      </c>
      <c r="M2401" t="str">
        <f>VLOOKUP(D2405,Restaurant_Master!A:B,2,FALSE)</f>
        <v>https://content.jdmagicbox.com/comp/deoria/g6/9999p5568.5568.200119143033.m4g6/catalogue/biryani-house-deoria-ho-deoria-mktc2xph0o.jpg</v>
      </c>
    </row>
    <row r="2402" spans="1:13" x14ac:dyDescent="0.3">
      <c r="A2402" t="s">
        <v>2432</v>
      </c>
      <c r="B2402" s="1">
        <v>45541</v>
      </c>
      <c r="C2402" t="s">
        <v>43</v>
      </c>
      <c r="D2402" t="s">
        <v>25</v>
      </c>
      <c r="E2402">
        <v>52</v>
      </c>
      <c r="F2402" t="s">
        <v>15</v>
      </c>
      <c r="G2402">
        <v>781.22</v>
      </c>
      <c r="H2402">
        <v>55</v>
      </c>
      <c r="I2402" t="s">
        <v>16</v>
      </c>
      <c r="J2402">
        <v>4.2</v>
      </c>
      <c r="K2402" t="s">
        <v>29</v>
      </c>
      <c r="L2402" t="s">
        <v>18</v>
      </c>
      <c r="M2402" t="str">
        <f>VLOOKUP(D2406,Restaurant_Master!A:B,2,FALSE)</f>
        <v>https://dineout-media-assets.swiggy.com/swiggy/image/upload/fl_lossy,f_auto,q_auto/v1660793737/fdqxvxcxg1wtdwvyv45v.jpg</v>
      </c>
    </row>
    <row r="2403" spans="1:13" x14ac:dyDescent="0.3">
      <c r="A2403" t="s">
        <v>2433</v>
      </c>
      <c r="B2403" s="1">
        <v>45356</v>
      </c>
      <c r="C2403" t="s">
        <v>43</v>
      </c>
      <c r="D2403" t="s">
        <v>21</v>
      </c>
      <c r="E2403">
        <v>26</v>
      </c>
      <c r="F2403" t="s">
        <v>28</v>
      </c>
      <c r="G2403">
        <v>731.51</v>
      </c>
      <c r="H2403">
        <v>38</v>
      </c>
      <c r="I2403" t="s">
        <v>22</v>
      </c>
      <c r="J2403">
        <v>2.6</v>
      </c>
      <c r="K2403" t="s">
        <v>26</v>
      </c>
      <c r="L2403" t="s">
        <v>18</v>
      </c>
      <c r="M2403" t="str">
        <f>VLOOKUP(D2407,Restaurant_Master!A:B,2,FALSE)</f>
        <v>https://media-cdn.tripadvisor.com/media/photo-s/1c/c7/97/b6/photo6jpg.jpg</v>
      </c>
    </row>
    <row r="2404" spans="1:13" x14ac:dyDescent="0.3">
      <c r="A2404" t="s">
        <v>2434</v>
      </c>
      <c r="B2404" s="1">
        <v>45441</v>
      </c>
      <c r="C2404" t="s">
        <v>36</v>
      </c>
      <c r="D2404" t="s">
        <v>25</v>
      </c>
      <c r="E2404">
        <v>39</v>
      </c>
      <c r="F2404" t="s">
        <v>15</v>
      </c>
      <c r="G2404">
        <v>367.76</v>
      </c>
      <c r="H2404">
        <v>37</v>
      </c>
      <c r="I2404" t="s">
        <v>22</v>
      </c>
      <c r="J2404">
        <v>3.7</v>
      </c>
      <c r="K2404" t="s">
        <v>29</v>
      </c>
      <c r="L2404" t="s">
        <v>23</v>
      </c>
      <c r="M2404" t="str">
        <f>VLOOKUP(D2408,Restaurant_Master!A:B,2,FALSE)</f>
        <v>https://content.jdmagicbox.com/comp/deoria/g6/9999p5568.5568.200119143033.m4g6/catalogue/biryani-house-deoria-ho-deoria-mktc2xph0o.jpg</v>
      </c>
    </row>
    <row r="2405" spans="1:13" x14ac:dyDescent="0.3">
      <c r="A2405" t="s">
        <v>2435</v>
      </c>
      <c r="B2405" s="1">
        <v>45620</v>
      </c>
      <c r="C2405" t="s">
        <v>36</v>
      </c>
      <c r="D2405" t="s">
        <v>32</v>
      </c>
      <c r="E2405">
        <v>23</v>
      </c>
      <c r="F2405" t="s">
        <v>28</v>
      </c>
      <c r="G2405">
        <v>165.82</v>
      </c>
      <c r="H2405">
        <v>24</v>
      </c>
      <c r="I2405" t="s">
        <v>22</v>
      </c>
      <c r="J2405">
        <v>5</v>
      </c>
      <c r="K2405" t="s">
        <v>17</v>
      </c>
      <c r="L2405" t="s">
        <v>23</v>
      </c>
      <c r="M2405" t="str">
        <f>VLOOKUP(D2409,Restaurant_Master!A:B,2,FALSE)</f>
        <v>https://content.jdmagicbox.com/comp/deoria/g6/9999p5568.5568.200119143033.m4g6/catalogue/biryani-house-deoria-ho-deoria-mktc2xph0o.jpg</v>
      </c>
    </row>
    <row r="2406" spans="1:13" x14ac:dyDescent="0.3">
      <c r="A2406" t="s">
        <v>2436</v>
      </c>
      <c r="B2406" s="1">
        <v>45538</v>
      </c>
      <c r="C2406" t="s">
        <v>36</v>
      </c>
      <c r="D2406" t="s">
        <v>14</v>
      </c>
      <c r="E2406">
        <v>46</v>
      </c>
      <c r="F2406" t="s">
        <v>28</v>
      </c>
      <c r="G2406">
        <v>401.93</v>
      </c>
      <c r="H2406">
        <v>51</v>
      </c>
      <c r="I2406" t="s">
        <v>16</v>
      </c>
      <c r="J2406">
        <v>4.3</v>
      </c>
      <c r="K2406" t="s">
        <v>41</v>
      </c>
      <c r="L2406" t="s">
        <v>23</v>
      </c>
      <c r="M2406" t="str">
        <f>VLOOKUP(D2410,Restaurant_Master!A:B,2,FALSE)</f>
        <v>https://www.chatswoodinterchange.com/storages/2018/08/Sushi-World_666x448.jpg</v>
      </c>
    </row>
    <row r="2407" spans="1:13" x14ac:dyDescent="0.3">
      <c r="A2407" t="s">
        <v>2437</v>
      </c>
      <c r="B2407" s="1">
        <v>45366</v>
      </c>
      <c r="C2407" t="s">
        <v>34</v>
      </c>
      <c r="D2407" t="s">
        <v>25</v>
      </c>
      <c r="E2407">
        <v>37</v>
      </c>
      <c r="F2407" t="s">
        <v>15</v>
      </c>
      <c r="G2407">
        <v>1063.79</v>
      </c>
      <c r="H2407">
        <v>26</v>
      </c>
      <c r="I2407" t="s">
        <v>22</v>
      </c>
      <c r="J2407">
        <v>3.6</v>
      </c>
      <c r="K2407" t="s">
        <v>17</v>
      </c>
      <c r="L2407" t="s">
        <v>23</v>
      </c>
      <c r="M2407" t="str">
        <f>VLOOKUP(D2411,Restaurant_Master!A:B,2,FALSE)</f>
        <v>https://dynamic-media-cdn.tripadvisor.com/media/photo-o/1c/e7/04/0d/front-of-the-local-easily.jpg</v>
      </c>
    </row>
    <row r="2408" spans="1:13" x14ac:dyDescent="0.3">
      <c r="A2408" t="s">
        <v>2438</v>
      </c>
      <c r="B2408" s="1">
        <v>45564</v>
      </c>
      <c r="C2408" t="s">
        <v>34</v>
      </c>
      <c r="D2408" t="s">
        <v>32</v>
      </c>
      <c r="E2408">
        <v>34</v>
      </c>
      <c r="F2408" t="s">
        <v>28</v>
      </c>
      <c r="G2408">
        <v>1123.57</v>
      </c>
      <c r="H2408">
        <v>30</v>
      </c>
      <c r="I2408" t="s">
        <v>22</v>
      </c>
      <c r="J2408">
        <v>3.6</v>
      </c>
      <c r="K2408" t="s">
        <v>29</v>
      </c>
      <c r="L2408" t="s">
        <v>23</v>
      </c>
      <c r="M2408" t="str">
        <f>VLOOKUP(D2412,Restaurant_Master!A:B,2,FALSE)</f>
        <v>https://dynamic-media-cdn.tripadvisor.com/media/photo-o/1c/e7/04/0d/front-of-the-local-easily.jpg</v>
      </c>
    </row>
    <row r="2409" spans="1:13" x14ac:dyDescent="0.3">
      <c r="A2409" t="s">
        <v>2439</v>
      </c>
      <c r="B2409" s="1">
        <v>45466</v>
      </c>
      <c r="C2409" t="s">
        <v>36</v>
      </c>
      <c r="D2409" t="s">
        <v>32</v>
      </c>
      <c r="E2409">
        <v>39</v>
      </c>
      <c r="F2409" t="s">
        <v>28</v>
      </c>
      <c r="G2409">
        <v>966.05</v>
      </c>
      <c r="H2409">
        <v>54</v>
      </c>
      <c r="I2409" t="s">
        <v>16</v>
      </c>
      <c r="J2409">
        <v>3.3</v>
      </c>
      <c r="K2409" t="s">
        <v>17</v>
      </c>
      <c r="L2409" t="s">
        <v>18</v>
      </c>
      <c r="M2409" t="str">
        <f>VLOOKUP(D2413,Restaurant_Master!A:B,2,FALSE)</f>
        <v>https://www.chatswoodinterchange.com/storages/2018/08/Sushi-World_666x448.jpg</v>
      </c>
    </row>
    <row r="2410" spans="1:13" x14ac:dyDescent="0.3">
      <c r="A2410" t="s">
        <v>2440</v>
      </c>
      <c r="B2410" s="1">
        <v>45633</v>
      </c>
      <c r="C2410" t="s">
        <v>43</v>
      </c>
      <c r="D2410" t="s">
        <v>38</v>
      </c>
      <c r="E2410">
        <v>20</v>
      </c>
      <c r="F2410" t="s">
        <v>15</v>
      </c>
      <c r="G2410">
        <v>717.88</v>
      </c>
      <c r="H2410">
        <v>28</v>
      </c>
      <c r="I2410" t="s">
        <v>22</v>
      </c>
      <c r="J2410">
        <v>4.0999999999999996</v>
      </c>
      <c r="K2410" t="s">
        <v>26</v>
      </c>
      <c r="L2410" t="s">
        <v>23</v>
      </c>
      <c r="M2410" t="str">
        <f>VLOOKUP(D2414,Restaurant_Master!A:B,2,FALSE)</f>
        <v>https://dineout-media-assets.swiggy.com/swiggy/image/upload/fl_lossy,f_auto,q_auto/v1660793737/fdqxvxcxg1wtdwvyv45v.jpg</v>
      </c>
    </row>
    <row r="2411" spans="1:13" x14ac:dyDescent="0.3">
      <c r="A2411" t="s">
        <v>2441</v>
      </c>
      <c r="B2411" s="1">
        <v>45341</v>
      </c>
      <c r="C2411" t="s">
        <v>13</v>
      </c>
      <c r="D2411" t="s">
        <v>21</v>
      </c>
      <c r="E2411">
        <v>42</v>
      </c>
      <c r="F2411" t="s">
        <v>15</v>
      </c>
      <c r="G2411">
        <v>499.7</v>
      </c>
      <c r="H2411">
        <v>24</v>
      </c>
      <c r="I2411" t="s">
        <v>22</v>
      </c>
      <c r="J2411">
        <v>2.9</v>
      </c>
      <c r="K2411" t="s">
        <v>41</v>
      </c>
      <c r="L2411" t="s">
        <v>18</v>
      </c>
      <c r="M2411" t="str">
        <f>VLOOKUP(D2415,Restaurant_Master!A:B,2,FALSE)</f>
        <v>https://dineout-media-assets.swiggy.com/swiggy/image/upload/fl_lossy,f_auto,q_auto/v1660793737/fdqxvxcxg1wtdwvyv45v.jpg</v>
      </c>
    </row>
    <row r="2412" spans="1:13" x14ac:dyDescent="0.3">
      <c r="A2412" t="s">
        <v>2442</v>
      </c>
      <c r="B2412" s="1">
        <v>45452</v>
      </c>
      <c r="C2412" t="s">
        <v>20</v>
      </c>
      <c r="D2412" t="s">
        <v>21</v>
      </c>
      <c r="E2412">
        <v>59</v>
      </c>
      <c r="F2412" t="s">
        <v>28</v>
      </c>
      <c r="G2412">
        <v>216.63</v>
      </c>
      <c r="H2412">
        <v>35</v>
      </c>
      <c r="I2412" t="s">
        <v>22</v>
      </c>
      <c r="J2412">
        <v>3.7</v>
      </c>
      <c r="K2412" t="s">
        <v>41</v>
      </c>
      <c r="L2412" t="s">
        <v>23</v>
      </c>
      <c r="M2412" t="str">
        <f>VLOOKUP(D2416,Restaurant_Master!A:B,2,FALSE)</f>
        <v>https://www.chatswoodinterchange.com/storages/2018/08/Sushi-World_666x448.jpg</v>
      </c>
    </row>
    <row r="2413" spans="1:13" x14ac:dyDescent="0.3">
      <c r="A2413" t="s">
        <v>2443</v>
      </c>
      <c r="B2413" s="1">
        <v>45631</v>
      </c>
      <c r="C2413" t="s">
        <v>36</v>
      </c>
      <c r="D2413" t="s">
        <v>38</v>
      </c>
      <c r="E2413">
        <v>30</v>
      </c>
      <c r="F2413" t="s">
        <v>28</v>
      </c>
      <c r="G2413">
        <v>533.91</v>
      </c>
      <c r="H2413">
        <v>54</v>
      </c>
      <c r="I2413" t="s">
        <v>16</v>
      </c>
      <c r="J2413">
        <v>3.8</v>
      </c>
      <c r="K2413" t="s">
        <v>26</v>
      </c>
      <c r="L2413" t="s">
        <v>23</v>
      </c>
      <c r="M2413" t="str">
        <f>VLOOKUP(D2417,Restaurant_Master!A:B,2,FALSE)</f>
        <v>https://dineout-media-assets.swiggy.com/swiggy/image/upload/fl_lossy,f_auto,q_auto/v1660793737/fdqxvxcxg1wtdwvyv45v.jpg</v>
      </c>
    </row>
    <row r="2414" spans="1:13" x14ac:dyDescent="0.3">
      <c r="A2414" t="s">
        <v>2444</v>
      </c>
      <c r="B2414" s="1">
        <v>45346</v>
      </c>
      <c r="C2414" t="s">
        <v>36</v>
      </c>
      <c r="D2414" t="s">
        <v>14</v>
      </c>
      <c r="E2414">
        <v>23</v>
      </c>
      <c r="F2414" t="s">
        <v>28</v>
      </c>
      <c r="G2414">
        <v>1000.79</v>
      </c>
      <c r="H2414">
        <v>57</v>
      </c>
      <c r="I2414" t="s">
        <v>16</v>
      </c>
      <c r="J2414">
        <v>2.6</v>
      </c>
      <c r="K2414" t="s">
        <v>29</v>
      </c>
      <c r="L2414" t="s">
        <v>18</v>
      </c>
      <c r="M2414" t="str">
        <f>VLOOKUP(D2418,Restaurant_Master!A:B,2,FALSE)</f>
        <v>https://dynamic-media-cdn.tripadvisor.com/media/photo-o/1c/e7/04/0d/front-of-the-local-easily.jpg</v>
      </c>
    </row>
    <row r="2415" spans="1:13" x14ac:dyDescent="0.3">
      <c r="A2415" t="s">
        <v>2445</v>
      </c>
      <c r="B2415" s="1">
        <v>45405</v>
      </c>
      <c r="C2415" t="s">
        <v>34</v>
      </c>
      <c r="D2415" t="s">
        <v>14</v>
      </c>
      <c r="E2415">
        <v>46</v>
      </c>
      <c r="F2415" t="s">
        <v>28</v>
      </c>
      <c r="G2415">
        <v>971.99</v>
      </c>
      <c r="H2415">
        <v>44</v>
      </c>
      <c r="I2415" t="s">
        <v>16</v>
      </c>
      <c r="J2415">
        <v>4.8</v>
      </c>
      <c r="K2415" t="s">
        <v>17</v>
      </c>
      <c r="L2415" t="s">
        <v>18</v>
      </c>
      <c r="M2415" t="str">
        <f>VLOOKUP(D2419,Restaurant_Master!A:B,2,FALSE)</f>
        <v>https://media-cdn.tripadvisor.com/media/photo-s/1c/c7/97/b6/photo6jpg.jpg</v>
      </c>
    </row>
    <row r="2416" spans="1:13" x14ac:dyDescent="0.3">
      <c r="A2416" t="s">
        <v>2446</v>
      </c>
      <c r="B2416" s="1">
        <v>45538</v>
      </c>
      <c r="C2416" t="s">
        <v>36</v>
      </c>
      <c r="D2416" t="s">
        <v>38</v>
      </c>
      <c r="E2416">
        <v>52</v>
      </c>
      <c r="F2416" t="s">
        <v>28</v>
      </c>
      <c r="G2416">
        <v>507.06</v>
      </c>
      <c r="H2416">
        <v>41</v>
      </c>
      <c r="I2416" t="s">
        <v>16</v>
      </c>
      <c r="J2416">
        <v>4.5999999999999996</v>
      </c>
      <c r="K2416" t="s">
        <v>41</v>
      </c>
      <c r="L2416" t="s">
        <v>18</v>
      </c>
      <c r="M2416" t="str">
        <f>VLOOKUP(D2420,Restaurant_Master!A:B,2,FALSE)</f>
        <v>https://content.jdmagicbox.com/comp/deoria/g6/9999p5568.5568.200119143033.m4g6/catalogue/biryani-house-deoria-ho-deoria-mktc2xph0o.jpg</v>
      </c>
    </row>
    <row r="2417" spans="1:13" x14ac:dyDescent="0.3">
      <c r="A2417" t="s">
        <v>2447</v>
      </c>
      <c r="B2417" s="1">
        <v>45422</v>
      </c>
      <c r="C2417" t="s">
        <v>20</v>
      </c>
      <c r="D2417" t="s">
        <v>14</v>
      </c>
      <c r="E2417">
        <v>30</v>
      </c>
      <c r="F2417" t="s">
        <v>28</v>
      </c>
      <c r="G2417">
        <v>728.11</v>
      </c>
      <c r="H2417">
        <v>44</v>
      </c>
      <c r="I2417" t="s">
        <v>16</v>
      </c>
      <c r="J2417">
        <v>3.1</v>
      </c>
      <c r="K2417" t="s">
        <v>26</v>
      </c>
      <c r="L2417" t="s">
        <v>18</v>
      </c>
      <c r="M2417" t="str">
        <f>VLOOKUP(D2421,Restaurant_Master!A:B,2,FALSE)</f>
        <v>https://www.chatswoodinterchange.com/storages/2018/08/Sushi-World_666x448.jpg</v>
      </c>
    </row>
    <row r="2418" spans="1:13" x14ac:dyDescent="0.3">
      <c r="A2418" t="s">
        <v>2448</v>
      </c>
      <c r="B2418" s="1">
        <v>45370</v>
      </c>
      <c r="C2418" t="s">
        <v>34</v>
      </c>
      <c r="D2418" t="s">
        <v>21</v>
      </c>
      <c r="E2418">
        <v>37</v>
      </c>
      <c r="F2418" t="s">
        <v>15</v>
      </c>
      <c r="G2418">
        <v>175.42</v>
      </c>
      <c r="H2418">
        <v>55</v>
      </c>
      <c r="I2418" t="s">
        <v>16</v>
      </c>
      <c r="J2418">
        <v>2.5</v>
      </c>
      <c r="K2418" t="s">
        <v>26</v>
      </c>
      <c r="L2418" t="s">
        <v>23</v>
      </c>
      <c r="M2418" t="str">
        <f>VLOOKUP(D2422,Restaurant_Master!A:B,2,FALSE)</f>
        <v>https://media-cdn.tripadvisor.com/media/photo-s/1c/c7/97/b6/photo6jpg.jpg</v>
      </c>
    </row>
    <row r="2419" spans="1:13" x14ac:dyDescent="0.3">
      <c r="A2419" t="s">
        <v>2449</v>
      </c>
      <c r="B2419" s="1">
        <v>45473</v>
      </c>
      <c r="C2419" t="s">
        <v>43</v>
      </c>
      <c r="D2419" t="s">
        <v>25</v>
      </c>
      <c r="E2419">
        <v>35</v>
      </c>
      <c r="F2419" t="s">
        <v>15</v>
      </c>
      <c r="G2419">
        <v>410.07</v>
      </c>
      <c r="H2419">
        <v>54</v>
      </c>
      <c r="I2419" t="s">
        <v>16</v>
      </c>
      <c r="J2419">
        <v>3.8</v>
      </c>
      <c r="K2419" t="s">
        <v>26</v>
      </c>
      <c r="L2419" t="s">
        <v>18</v>
      </c>
      <c r="M2419" t="str">
        <f>VLOOKUP(D2423,Restaurant_Master!A:B,2,FALSE)</f>
        <v>https://dynamic-media-cdn.tripadvisor.com/media/photo-o/1c/e7/04/0d/front-of-the-local-easily.jpg</v>
      </c>
    </row>
    <row r="2420" spans="1:13" x14ac:dyDescent="0.3">
      <c r="A2420" t="s">
        <v>2450</v>
      </c>
      <c r="B2420" s="1">
        <v>45357</v>
      </c>
      <c r="C2420" t="s">
        <v>20</v>
      </c>
      <c r="D2420" t="s">
        <v>32</v>
      </c>
      <c r="E2420">
        <v>48</v>
      </c>
      <c r="F2420" t="s">
        <v>15</v>
      </c>
      <c r="G2420">
        <v>915.85</v>
      </c>
      <c r="H2420">
        <v>50</v>
      </c>
      <c r="I2420" t="s">
        <v>16</v>
      </c>
      <c r="J2420">
        <v>5</v>
      </c>
      <c r="K2420" t="s">
        <v>26</v>
      </c>
      <c r="L2420" t="s">
        <v>23</v>
      </c>
      <c r="M2420" t="str">
        <f>VLOOKUP(D2424,Restaurant_Master!A:B,2,FALSE)</f>
        <v>https://media-cdn.tripadvisor.com/media/photo-s/1c/c7/97/b6/photo6jpg.jpg</v>
      </c>
    </row>
    <row r="2421" spans="1:13" x14ac:dyDescent="0.3">
      <c r="A2421" t="s">
        <v>2451</v>
      </c>
      <c r="B2421" s="1">
        <v>45466</v>
      </c>
      <c r="C2421" t="s">
        <v>43</v>
      </c>
      <c r="D2421" t="s">
        <v>38</v>
      </c>
      <c r="E2421">
        <v>33</v>
      </c>
      <c r="F2421" t="s">
        <v>28</v>
      </c>
      <c r="G2421">
        <v>686.19</v>
      </c>
      <c r="H2421">
        <v>45</v>
      </c>
      <c r="I2421" t="s">
        <v>16</v>
      </c>
      <c r="J2421">
        <v>3.1</v>
      </c>
      <c r="K2421" t="s">
        <v>29</v>
      </c>
      <c r="L2421" t="s">
        <v>23</v>
      </c>
      <c r="M2421" t="str">
        <f>VLOOKUP(D2425,Restaurant_Master!A:B,2,FALSE)</f>
        <v>https://content.jdmagicbox.com/comp/deoria/g6/9999p5568.5568.200119143033.m4g6/catalogue/biryani-house-deoria-ho-deoria-mktc2xph0o.jpg</v>
      </c>
    </row>
    <row r="2422" spans="1:13" x14ac:dyDescent="0.3">
      <c r="A2422" t="s">
        <v>2452</v>
      </c>
      <c r="B2422" s="1">
        <v>45518</v>
      </c>
      <c r="C2422" t="s">
        <v>13</v>
      </c>
      <c r="D2422" t="s">
        <v>25</v>
      </c>
      <c r="E2422">
        <v>48</v>
      </c>
      <c r="F2422" t="s">
        <v>28</v>
      </c>
      <c r="G2422">
        <v>552.37</v>
      </c>
      <c r="H2422">
        <v>27</v>
      </c>
      <c r="I2422" t="s">
        <v>22</v>
      </c>
      <c r="J2422">
        <v>3.9</v>
      </c>
      <c r="K2422" t="s">
        <v>26</v>
      </c>
      <c r="L2422" t="s">
        <v>23</v>
      </c>
      <c r="M2422" t="str">
        <f>VLOOKUP(D2426,Restaurant_Master!A:B,2,FALSE)</f>
        <v>https://media-cdn.tripadvisor.com/media/photo-s/1c/c7/97/b6/photo6jpg.jpg</v>
      </c>
    </row>
    <row r="2423" spans="1:13" x14ac:dyDescent="0.3">
      <c r="A2423" t="s">
        <v>2453</v>
      </c>
      <c r="B2423" s="1">
        <v>45396</v>
      </c>
      <c r="C2423" t="s">
        <v>34</v>
      </c>
      <c r="D2423" t="s">
        <v>21</v>
      </c>
      <c r="E2423">
        <v>49</v>
      </c>
      <c r="F2423" t="s">
        <v>28</v>
      </c>
      <c r="G2423">
        <v>1029.1099999999999</v>
      </c>
      <c r="H2423">
        <v>30</v>
      </c>
      <c r="I2423" t="s">
        <v>22</v>
      </c>
      <c r="J2423">
        <v>2.7</v>
      </c>
      <c r="K2423" t="s">
        <v>17</v>
      </c>
      <c r="L2423" t="s">
        <v>18</v>
      </c>
      <c r="M2423" t="str">
        <f>VLOOKUP(D2427,Restaurant_Master!A:B,2,FALSE)</f>
        <v>https://media-cdn.tripadvisor.com/media/photo-s/1c/c7/97/b6/photo6jpg.jpg</v>
      </c>
    </row>
    <row r="2424" spans="1:13" x14ac:dyDescent="0.3">
      <c r="A2424" t="s">
        <v>2454</v>
      </c>
      <c r="B2424" s="1">
        <v>45535</v>
      </c>
      <c r="C2424" t="s">
        <v>13</v>
      </c>
      <c r="D2424" t="s">
        <v>25</v>
      </c>
      <c r="E2424">
        <v>25</v>
      </c>
      <c r="F2424" t="s">
        <v>15</v>
      </c>
      <c r="G2424">
        <v>1054.68</v>
      </c>
      <c r="H2424">
        <v>29</v>
      </c>
      <c r="I2424" t="s">
        <v>22</v>
      </c>
      <c r="J2424">
        <v>3.8</v>
      </c>
      <c r="K2424" t="s">
        <v>41</v>
      </c>
      <c r="L2424" t="s">
        <v>23</v>
      </c>
      <c r="M2424" t="str">
        <f>VLOOKUP(D2428,Restaurant_Master!A:B,2,FALSE)</f>
        <v>https://content.jdmagicbox.com/comp/deoria/g6/9999p5568.5568.200119143033.m4g6/catalogue/biryani-house-deoria-ho-deoria-mktc2xph0o.jpg</v>
      </c>
    </row>
    <row r="2425" spans="1:13" x14ac:dyDescent="0.3">
      <c r="A2425" t="s">
        <v>2455</v>
      </c>
      <c r="B2425" s="1">
        <v>45393</v>
      </c>
      <c r="C2425" t="s">
        <v>13</v>
      </c>
      <c r="D2425" t="s">
        <v>32</v>
      </c>
      <c r="E2425">
        <v>30</v>
      </c>
      <c r="F2425" t="s">
        <v>28</v>
      </c>
      <c r="G2425">
        <v>620.65</v>
      </c>
      <c r="H2425">
        <v>60</v>
      </c>
      <c r="I2425" t="s">
        <v>16</v>
      </c>
      <c r="J2425">
        <v>4</v>
      </c>
      <c r="K2425" t="s">
        <v>26</v>
      </c>
      <c r="L2425" t="s">
        <v>18</v>
      </c>
      <c r="M2425" t="str">
        <f>VLOOKUP(D2429,Restaurant_Master!A:B,2,FALSE)</f>
        <v>https://www.chatswoodinterchange.com/storages/2018/08/Sushi-World_666x448.jpg</v>
      </c>
    </row>
    <row r="2426" spans="1:13" x14ac:dyDescent="0.3">
      <c r="A2426" t="s">
        <v>2456</v>
      </c>
      <c r="B2426" s="1">
        <v>45498</v>
      </c>
      <c r="C2426" t="s">
        <v>20</v>
      </c>
      <c r="D2426" t="s">
        <v>25</v>
      </c>
      <c r="E2426">
        <v>32</v>
      </c>
      <c r="F2426" t="s">
        <v>28</v>
      </c>
      <c r="G2426">
        <v>761.8</v>
      </c>
      <c r="H2426">
        <v>23</v>
      </c>
      <c r="I2426" t="s">
        <v>22</v>
      </c>
      <c r="J2426">
        <v>4.5</v>
      </c>
      <c r="K2426" t="s">
        <v>17</v>
      </c>
      <c r="L2426" t="s">
        <v>23</v>
      </c>
      <c r="M2426" t="str">
        <f>VLOOKUP(D2430,Restaurant_Master!A:B,2,FALSE)</f>
        <v>https://content.jdmagicbox.com/comp/deoria/g6/9999p5568.5568.200119143033.m4g6/catalogue/biryani-house-deoria-ho-deoria-mktc2xph0o.jpg</v>
      </c>
    </row>
    <row r="2427" spans="1:13" x14ac:dyDescent="0.3">
      <c r="A2427" t="s">
        <v>2457</v>
      </c>
      <c r="B2427" s="1">
        <v>45471</v>
      </c>
      <c r="C2427" t="s">
        <v>13</v>
      </c>
      <c r="D2427" t="s">
        <v>25</v>
      </c>
      <c r="E2427">
        <v>27</v>
      </c>
      <c r="F2427" t="s">
        <v>28</v>
      </c>
      <c r="G2427">
        <v>254.07</v>
      </c>
      <c r="H2427">
        <v>56</v>
      </c>
      <c r="I2427" t="s">
        <v>16</v>
      </c>
      <c r="J2427">
        <v>4.9000000000000004</v>
      </c>
      <c r="K2427" t="s">
        <v>41</v>
      </c>
      <c r="L2427" t="s">
        <v>23</v>
      </c>
      <c r="M2427" t="str">
        <f>VLOOKUP(D2431,Restaurant_Master!A:B,2,FALSE)</f>
        <v>https://dineout-media-assets.swiggy.com/swiggy/image/upload/fl_lossy,f_auto,q_auto/v1660793737/fdqxvxcxg1wtdwvyv45v.jpg</v>
      </c>
    </row>
    <row r="2428" spans="1:13" x14ac:dyDescent="0.3">
      <c r="A2428" t="s">
        <v>2458</v>
      </c>
      <c r="B2428" s="1">
        <v>45292</v>
      </c>
      <c r="C2428" t="s">
        <v>36</v>
      </c>
      <c r="D2428" t="s">
        <v>32</v>
      </c>
      <c r="E2428">
        <v>22</v>
      </c>
      <c r="F2428" t="s">
        <v>28</v>
      </c>
      <c r="G2428">
        <v>1093.72</v>
      </c>
      <c r="H2428">
        <v>55</v>
      </c>
      <c r="I2428" t="s">
        <v>16</v>
      </c>
      <c r="J2428">
        <v>4.9000000000000004</v>
      </c>
      <c r="K2428" t="s">
        <v>26</v>
      </c>
      <c r="L2428" t="s">
        <v>18</v>
      </c>
      <c r="M2428" t="str">
        <f>VLOOKUP(D2432,Restaurant_Master!A:B,2,FALSE)</f>
        <v>https://media-cdn.tripadvisor.com/media/photo-s/1c/c7/97/b6/photo6jpg.jpg</v>
      </c>
    </row>
    <row r="2429" spans="1:13" x14ac:dyDescent="0.3">
      <c r="A2429" t="s">
        <v>2459</v>
      </c>
      <c r="B2429" s="1">
        <v>45585</v>
      </c>
      <c r="C2429" t="s">
        <v>34</v>
      </c>
      <c r="D2429" t="s">
        <v>38</v>
      </c>
      <c r="E2429">
        <v>29</v>
      </c>
      <c r="F2429" t="s">
        <v>28</v>
      </c>
      <c r="G2429">
        <v>623.37</v>
      </c>
      <c r="H2429">
        <v>29</v>
      </c>
      <c r="I2429" t="s">
        <v>22</v>
      </c>
      <c r="J2429">
        <v>3.6</v>
      </c>
      <c r="K2429" t="s">
        <v>29</v>
      </c>
      <c r="L2429" t="s">
        <v>23</v>
      </c>
      <c r="M2429" t="str">
        <f>VLOOKUP(D2433,Restaurant_Master!A:B,2,FALSE)</f>
        <v>https://media-cdn.tripadvisor.com/media/photo-s/1c/c7/97/b6/photo6jpg.jpg</v>
      </c>
    </row>
    <row r="2430" spans="1:13" x14ac:dyDescent="0.3">
      <c r="A2430" t="s">
        <v>2460</v>
      </c>
      <c r="B2430" s="1">
        <v>45550</v>
      </c>
      <c r="C2430" t="s">
        <v>20</v>
      </c>
      <c r="D2430" t="s">
        <v>32</v>
      </c>
      <c r="E2430">
        <v>40</v>
      </c>
      <c r="F2430" t="s">
        <v>28</v>
      </c>
      <c r="G2430">
        <v>1135.58</v>
      </c>
      <c r="H2430">
        <v>59</v>
      </c>
      <c r="I2430" t="s">
        <v>16</v>
      </c>
      <c r="J2430">
        <v>3.7</v>
      </c>
      <c r="K2430" t="s">
        <v>41</v>
      </c>
      <c r="L2430" t="s">
        <v>18</v>
      </c>
      <c r="M2430" t="str">
        <f>VLOOKUP(D2434,Restaurant_Master!A:B,2,FALSE)</f>
        <v>https://content.jdmagicbox.com/comp/deoria/g6/9999p5568.5568.200119143033.m4g6/catalogue/biryani-house-deoria-ho-deoria-mktc2xph0o.jpg</v>
      </c>
    </row>
    <row r="2431" spans="1:13" x14ac:dyDescent="0.3">
      <c r="A2431" t="s">
        <v>2461</v>
      </c>
      <c r="B2431" s="1">
        <v>45391</v>
      </c>
      <c r="C2431" t="s">
        <v>20</v>
      </c>
      <c r="D2431" t="s">
        <v>14</v>
      </c>
      <c r="E2431">
        <v>50</v>
      </c>
      <c r="F2431" t="s">
        <v>15</v>
      </c>
      <c r="G2431">
        <v>630.72</v>
      </c>
      <c r="H2431">
        <v>54</v>
      </c>
      <c r="I2431" t="s">
        <v>16</v>
      </c>
      <c r="J2431">
        <v>3.4</v>
      </c>
      <c r="K2431" t="s">
        <v>29</v>
      </c>
      <c r="L2431" t="s">
        <v>23</v>
      </c>
      <c r="M2431" t="str">
        <f>VLOOKUP(D2435,Restaurant_Master!A:B,2,FALSE)</f>
        <v>https://www.chatswoodinterchange.com/storages/2018/08/Sushi-World_666x448.jpg</v>
      </c>
    </row>
    <row r="2432" spans="1:13" x14ac:dyDescent="0.3">
      <c r="A2432" t="s">
        <v>2462</v>
      </c>
      <c r="B2432" s="1">
        <v>45361</v>
      </c>
      <c r="C2432" t="s">
        <v>34</v>
      </c>
      <c r="D2432" t="s">
        <v>25</v>
      </c>
      <c r="E2432">
        <v>43</v>
      </c>
      <c r="F2432" t="s">
        <v>15</v>
      </c>
      <c r="G2432">
        <v>399.14</v>
      </c>
      <c r="H2432">
        <v>38</v>
      </c>
      <c r="I2432" t="s">
        <v>22</v>
      </c>
      <c r="J2432">
        <v>3.7</v>
      </c>
      <c r="K2432" t="s">
        <v>26</v>
      </c>
      <c r="L2432" t="s">
        <v>18</v>
      </c>
      <c r="M2432" t="str">
        <f>VLOOKUP(D2436,Restaurant_Master!A:B,2,FALSE)</f>
        <v>https://www.chatswoodinterchange.com/storages/2018/08/Sushi-World_666x448.jpg</v>
      </c>
    </row>
    <row r="2433" spans="1:13" x14ac:dyDescent="0.3">
      <c r="A2433" t="s">
        <v>2463</v>
      </c>
      <c r="B2433" s="1">
        <v>45586</v>
      </c>
      <c r="C2433" t="s">
        <v>34</v>
      </c>
      <c r="D2433" t="s">
        <v>25</v>
      </c>
      <c r="E2433">
        <v>47</v>
      </c>
      <c r="F2433" t="s">
        <v>15</v>
      </c>
      <c r="G2433">
        <v>687.04</v>
      </c>
      <c r="H2433">
        <v>32</v>
      </c>
      <c r="I2433" t="s">
        <v>22</v>
      </c>
      <c r="J2433">
        <v>2.5</v>
      </c>
      <c r="K2433" t="s">
        <v>41</v>
      </c>
      <c r="L2433" t="s">
        <v>23</v>
      </c>
      <c r="M2433" t="str">
        <f>VLOOKUP(D2437,Restaurant_Master!A:B,2,FALSE)</f>
        <v>https://media-cdn.tripadvisor.com/media/photo-s/1c/c7/97/b6/photo6jpg.jpg</v>
      </c>
    </row>
    <row r="2434" spans="1:13" x14ac:dyDescent="0.3">
      <c r="A2434" t="s">
        <v>2464</v>
      </c>
      <c r="B2434" s="1">
        <v>45388</v>
      </c>
      <c r="C2434" t="s">
        <v>13</v>
      </c>
      <c r="D2434" t="s">
        <v>32</v>
      </c>
      <c r="E2434">
        <v>40</v>
      </c>
      <c r="F2434" t="s">
        <v>15</v>
      </c>
      <c r="G2434">
        <v>770.91</v>
      </c>
      <c r="H2434">
        <v>44</v>
      </c>
      <c r="I2434" t="s">
        <v>16</v>
      </c>
      <c r="J2434">
        <v>3</v>
      </c>
      <c r="K2434" t="s">
        <v>29</v>
      </c>
      <c r="L2434" t="s">
        <v>23</v>
      </c>
      <c r="M2434" t="str">
        <f>VLOOKUP(D2438,Restaurant_Master!A:B,2,FALSE)</f>
        <v>https://www.chatswoodinterchange.com/storages/2018/08/Sushi-World_666x448.jpg</v>
      </c>
    </row>
    <row r="2435" spans="1:13" x14ac:dyDescent="0.3">
      <c r="A2435" t="s">
        <v>2465</v>
      </c>
      <c r="B2435" s="1">
        <v>45574</v>
      </c>
      <c r="C2435" t="s">
        <v>43</v>
      </c>
      <c r="D2435" t="s">
        <v>38</v>
      </c>
      <c r="E2435">
        <v>49</v>
      </c>
      <c r="F2435" t="s">
        <v>15</v>
      </c>
      <c r="G2435">
        <v>474.24</v>
      </c>
      <c r="H2435">
        <v>46</v>
      </c>
      <c r="I2435" t="s">
        <v>16</v>
      </c>
      <c r="J2435">
        <v>4</v>
      </c>
      <c r="K2435" t="s">
        <v>17</v>
      </c>
      <c r="L2435" t="s">
        <v>23</v>
      </c>
      <c r="M2435" t="str">
        <f>VLOOKUP(D2439,Restaurant_Master!A:B,2,FALSE)</f>
        <v>https://dineout-media-assets.swiggy.com/swiggy/image/upload/fl_lossy,f_auto,q_auto/v1660793737/fdqxvxcxg1wtdwvyv45v.jpg</v>
      </c>
    </row>
    <row r="2436" spans="1:13" x14ac:dyDescent="0.3">
      <c r="A2436" t="s">
        <v>2466</v>
      </c>
      <c r="B2436" s="1">
        <v>45504</v>
      </c>
      <c r="C2436" t="s">
        <v>34</v>
      </c>
      <c r="D2436" t="s">
        <v>38</v>
      </c>
      <c r="E2436">
        <v>28</v>
      </c>
      <c r="F2436" t="s">
        <v>28</v>
      </c>
      <c r="G2436">
        <v>1042.0999999999999</v>
      </c>
      <c r="H2436">
        <v>27</v>
      </c>
      <c r="I2436" t="s">
        <v>22</v>
      </c>
      <c r="J2436">
        <v>3.4</v>
      </c>
      <c r="K2436" t="s">
        <v>41</v>
      </c>
      <c r="L2436" t="s">
        <v>23</v>
      </c>
      <c r="M2436" t="str">
        <f>VLOOKUP(D2440,Restaurant_Master!A:B,2,FALSE)</f>
        <v>https://dineout-media-assets.swiggy.com/swiggy/image/upload/fl_lossy,f_auto,q_auto/v1660793737/fdqxvxcxg1wtdwvyv45v.jpg</v>
      </c>
    </row>
    <row r="2437" spans="1:13" x14ac:dyDescent="0.3">
      <c r="A2437" t="s">
        <v>2467</v>
      </c>
      <c r="B2437" s="1">
        <v>45570</v>
      </c>
      <c r="C2437" t="s">
        <v>13</v>
      </c>
      <c r="D2437" t="s">
        <v>25</v>
      </c>
      <c r="E2437">
        <v>35</v>
      </c>
      <c r="F2437" t="s">
        <v>28</v>
      </c>
      <c r="G2437">
        <v>725.43</v>
      </c>
      <c r="H2437">
        <v>31</v>
      </c>
      <c r="I2437" t="s">
        <v>22</v>
      </c>
      <c r="J2437">
        <v>2.9</v>
      </c>
      <c r="K2437" t="s">
        <v>26</v>
      </c>
      <c r="L2437" t="s">
        <v>23</v>
      </c>
      <c r="M2437" t="str">
        <f>VLOOKUP(D2441,Restaurant_Master!A:B,2,FALSE)</f>
        <v>https://dineout-media-assets.swiggy.com/swiggy/image/upload/fl_lossy,f_auto,q_auto/v1660793737/fdqxvxcxg1wtdwvyv45v.jpg</v>
      </c>
    </row>
    <row r="2438" spans="1:13" x14ac:dyDescent="0.3">
      <c r="A2438" t="s">
        <v>2468</v>
      </c>
      <c r="B2438" s="1">
        <v>45627</v>
      </c>
      <c r="C2438" t="s">
        <v>34</v>
      </c>
      <c r="D2438" t="s">
        <v>38</v>
      </c>
      <c r="E2438">
        <v>20</v>
      </c>
      <c r="F2438" t="s">
        <v>15</v>
      </c>
      <c r="G2438">
        <v>1088.8900000000001</v>
      </c>
      <c r="H2438">
        <v>47</v>
      </c>
      <c r="I2438" t="s">
        <v>16</v>
      </c>
      <c r="J2438">
        <v>4.2</v>
      </c>
      <c r="K2438" t="s">
        <v>17</v>
      </c>
      <c r="L2438" t="s">
        <v>23</v>
      </c>
      <c r="M2438" t="str">
        <f>VLOOKUP(D2442,Restaurant_Master!A:B,2,FALSE)</f>
        <v>https://www.chatswoodinterchange.com/storages/2018/08/Sushi-World_666x448.jpg</v>
      </c>
    </row>
    <row r="2439" spans="1:13" x14ac:dyDescent="0.3">
      <c r="A2439" t="s">
        <v>2469</v>
      </c>
      <c r="B2439" s="1">
        <v>45556</v>
      </c>
      <c r="C2439" t="s">
        <v>20</v>
      </c>
      <c r="D2439" t="s">
        <v>14</v>
      </c>
      <c r="E2439">
        <v>29</v>
      </c>
      <c r="F2439" t="s">
        <v>15</v>
      </c>
      <c r="G2439">
        <v>170.42</v>
      </c>
      <c r="H2439">
        <v>26</v>
      </c>
      <c r="I2439" t="s">
        <v>22</v>
      </c>
      <c r="J2439">
        <v>3.2</v>
      </c>
      <c r="K2439" t="s">
        <v>41</v>
      </c>
      <c r="L2439" t="s">
        <v>18</v>
      </c>
      <c r="M2439" t="str">
        <f>VLOOKUP(D2443,Restaurant_Master!A:B,2,FALSE)</f>
        <v>https://content.jdmagicbox.com/comp/deoria/g6/9999p5568.5568.200119143033.m4g6/catalogue/biryani-house-deoria-ho-deoria-mktc2xph0o.jpg</v>
      </c>
    </row>
    <row r="2440" spans="1:13" x14ac:dyDescent="0.3">
      <c r="A2440" t="s">
        <v>2470</v>
      </c>
      <c r="B2440" s="1">
        <v>45456</v>
      </c>
      <c r="C2440" t="s">
        <v>36</v>
      </c>
      <c r="D2440" t="s">
        <v>14</v>
      </c>
      <c r="E2440">
        <v>20</v>
      </c>
      <c r="F2440" t="s">
        <v>28</v>
      </c>
      <c r="G2440">
        <v>476.89</v>
      </c>
      <c r="H2440">
        <v>41</v>
      </c>
      <c r="I2440" t="s">
        <v>16</v>
      </c>
      <c r="J2440">
        <v>4.0999999999999996</v>
      </c>
      <c r="K2440" t="s">
        <v>29</v>
      </c>
      <c r="L2440" t="s">
        <v>23</v>
      </c>
      <c r="M2440" t="str">
        <f>VLOOKUP(D2444,Restaurant_Master!A:B,2,FALSE)</f>
        <v>https://www.chatswoodinterchange.com/storages/2018/08/Sushi-World_666x448.jpg</v>
      </c>
    </row>
    <row r="2441" spans="1:13" x14ac:dyDescent="0.3">
      <c r="A2441" t="s">
        <v>2471</v>
      </c>
      <c r="B2441" s="1">
        <v>45589</v>
      </c>
      <c r="C2441" t="s">
        <v>43</v>
      </c>
      <c r="D2441" t="s">
        <v>14</v>
      </c>
      <c r="E2441">
        <v>52</v>
      </c>
      <c r="F2441" t="s">
        <v>28</v>
      </c>
      <c r="G2441">
        <v>345.23</v>
      </c>
      <c r="H2441">
        <v>52</v>
      </c>
      <c r="I2441" t="s">
        <v>16</v>
      </c>
      <c r="J2441">
        <v>3.1</v>
      </c>
      <c r="K2441" t="s">
        <v>26</v>
      </c>
      <c r="L2441" t="s">
        <v>23</v>
      </c>
      <c r="M2441" t="str">
        <f>VLOOKUP(D2445,Restaurant_Master!A:B,2,FALSE)</f>
        <v>https://www.chatswoodinterchange.com/storages/2018/08/Sushi-World_666x448.jpg</v>
      </c>
    </row>
    <row r="2442" spans="1:13" x14ac:dyDescent="0.3">
      <c r="A2442" t="s">
        <v>2472</v>
      </c>
      <c r="B2442" s="1">
        <v>45351</v>
      </c>
      <c r="C2442" t="s">
        <v>34</v>
      </c>
      <c r="D2442" t="s">
        <v>38</v>
      </c>
      <c r="E2442">
        <v>22</v>
      </c>
      <c r="F2442" t="s">
        <v>28</v>
      </c>
      <c r="G2442">
        <v>246.79</v>
      </c>
      <c r="H2442">
        <v>34</v>
      </c>
      <c r="I2442" t="s">
        <v>22</v>
      </c>
      <c r="J2442">
        <v>4.4000000000000004</v>
      </c>
      <c r="K2442" t="s">
        <v>41</v>
      </c>
      <c r="L2442" t="s">
        <v>18</v>
      </c>
      <c r="M2442" t="str">
        <f>VLOOKUP(D2446,Restaurant_Master!A:B,2,FALSE)</f>
        <v>https://dynamic-media-cdn.tripadvisor.com/media/photo-o/1c/e7/04/0d/front-of-the-local-easily.jpg</v>
      </c>
    </row>
    <row r="2443" spans="1:13" x14ac:dyDescent="0.3">
      <c r="A2443" t="s">
        <v>2473</v>
      </c>
      <c r="B2443" s="1">
        <v>45348</v>
      </c>
      <c r="C2443" t="s">
        <v>20</v>
      </c>
      <c r="D2443" t="s">
        <v>32</v>
      </c>
      <c r="E2443">
        <v>19</v>
      </c>
      <c r="F2443" t="s">
        <v>15</v>
      </c>
      <c r="G2443">
        <v>374.58</v>
      </c>
      <c r="H2443">
        <v>54</v>
      </c>
      <c r="I2443" t="s">
        <v>16</v>
      </c>
      <c r="J2443">
        <v>4.8</v>
      </c>
      <c r="K2443" t="s">
        <v>29</v>
      </c>
      <c r="L2443" t="s">
        <v>18</v>
      </c>
      <c r="M2443" t="str">
        <f>VLOOKUP(D2447,Restaurant_Master!A:B,2,FALSE)</f>
        <v>https://content.jdmagicbox.com/comp/deoria/g6/9999p5568.5568.200119143033.m4g6/catalogue/biryani-house-deoria-ho-deoria-mktc2xph0o.jpg</v>
      </c>
    </row>
    <row r="2444" spans="1:13" x14ac:dyDescent="0.3">
      <c r="A2444" t="s">
        <v>2474</v>
      </c>
      <c r="B2444" s="1">
        <v>45508</v>
      </c>
      <c r="C2444" t="s">
        <v>13</v>
      </c>
      <c r="D2444" t="s">
        <v>38</v>
      </c>
      <c r="E2444">
        <v>47</v>
      </c>
      <c r="F2444" t="s">
        <v>28</v>
      </c>
      <c r="G2444">
        <v>722.9</v>
      </c>
      <c r="H2444">
        <v>48</v>
      </c>
      <c r="I2444" t="s">
        <v>16</v>
      </c>
      <c r="J2444">
        <v>3.7</v>
      </c>
      <c r="K2444" t="s">
        <v>29</v>
      </c>
      <c r="L2444" t="s">
        <v>18</v>
      </c>
      <c r="M2444" t="str">
        <f>VLOOKUP(D2448,Restaurant_Master!A:B,2,FALSE)</f>
        <v>https://www.chatswoodinterchange.com/storages/2018/08/Sushi-World_666x448.jpg</v>
      </c>
    </row>
    <row r="2445" spans="1:13" x14ac:dyDescent="0.3">
      <c r="A2445" t="s">
        <v>2475</v>
      </c>
      <c r="B2445" s="1">
        <v>45411</v>
      </c>
      <c r="C2445" t="s">
        <v>43</v>
      </c>
      <c r="D2445" t="s">
        <v>38</v>
      </c>
      <c r="E2445">
        <v>33</v>
      </c>
      <c r="F2445" t="s">
        <v>28</v>
      </c>
      <c r="G2445">
        <v>522.05999999999995</v>
      </c>
      <c r="H2445">
        <v>53</v>
      </c>
      <c r="I2445" t="s">
        <v>16</v>
      </c>
      <c r="J2445">
        <v>3.2</v>
      </c>
      <c r="K2445" t="s">
        <v>26</v>
      </c>
      <c r="L2445" t="s">
        <v>23</v>
      </c>
      <c r="M2445" t="str">
        <f>VLOOKUP(D2449,Restaurant_Master!A:B,2,FALSE)</f>
        <v>https://dynamic-media-cdn.tripadvisor.com/media/photo-o/1c/e7/04/0d/front-of-the-local-easily.jpg</v>
      </c>
    </row>
    <row r="2446" spans="1:13" x14ac:dyDescent="0.3">
      <c r="A2446" t="s">
        <v>2476</v>
      </c>
      <c r="B2446" s="1">
        <v>45524</v>
      </c>
      <c r="C2446" t="s">
        <v>43</v>
      </c>
      <c r="D2446" t="s">
        <v>21</v>
      </c>
      <c r="E2446">
        <v>60</v>
      </c>
      <c r="F2446" t="s">
        <v>28</v>
      </c>
      <c r="G2446">
        <v>502.21</v>
      </c>
      <c r="H2446">
        <v>59</v>
      </c>
      <c r="I2446" t="s">
        <v>16</v>
      </c>
      <c r="J2446">
        <v>2.6</v>
      </c>
      <c r="K2446" t="s">
        <v>17</v>
      </c>
      <c r="L2446" t="s">
        <v>18</v>
      </c>
      <c r="M2446" t="str">
        <f>VLOOKUP(D2450,Restaurant_Master!A:B,2,FALSE)</f>
        <v>https://media-cdn.tripadvisor.com/media/photo-s/1c/c7/97/b6/photo6jpg.jpg</v>
      </c>
    </row>
    <row r="2447" spans="1:13" x14ac:dyDescent="0.3">
      <c r="A2447" t="s">
        <v>2477</v>
      </c>
      <c r="B2447" s="1">
        <v>45621</v>
      </c>
      <c r="C2447" t="s">
        <v>20</v>
      </c>
      <c r="D2447" t="s">
        <v>32</v>
      </c>
      <c r="E2447">
        <v>58</v>
      </c>
      <c r="F2447" t="s">
        <v>15</v>
      </c>
      <c r="G2447">
        <v>992.79</v>
      </c>
      <c r="H2447">
        <v>55</v>
      </c>
      <c r="I2447" t="s">
        <v>16</v>
      </c>
      <c r="J2447">
        <v>3.8</v>
      </c>
      <c r="K2447" t="s">
        <v>26</v>
      </c>
      <c r="L2447" t="s">
        <v>23</v>
      </c>
      <c r="M2447" t="str">
        <f>VLOOKUP(D2451,Restaurant_Master!A:B,2,FALSE)</f>
        <v>https://dineout-media-assets.swiggy.com/swiggy/image/upload/fl_lossy,f_auto,q_auto/v1660793737/fdqxvxcxg1wtdwvyv45v.jpg</v>
      </c>
    </row>
    <row r="2448" spans="1:13" x14ac:dyDescent="0.3">
      <c r="A2448" t="s">
        <v>2478</v>
      </c>
      <c r="B2448" s="1">
        <v>45366</v>
      </c>
      <c r="C2448" t="s">
        <v>20</v>
      </c>
      <c r="D2448" t="s">
        <v>38</v>
      </c>
      <c r="E2448">
        <v>30</v>
      </c>
      <c r="F2448" t="s">
        <v>15</v>
      </c>
      <c r="G2448">
        <v>912.63</v>
      </c>
      <c r="H2448">
        <v>28</v>
      </c>
      <c r="I2448" t="s">
        <v>22</v>
      </c>
      <c r="J2448">
        <v>3.9</v>
      </c>
      <c r="K2448" t="s">
        <v>29</v>
      </c>
      <c r="L2448" t="s">
        <v>23</v>
      </c>
      <c r="M2448" t="str">
        <f>VLOOKUP(D2452,Restaurant_Master!A:B,2,FALSE)</f>
        <v>https://www.chatswoodinterchange.com/storages/2018/08/Sushi-World_666x448.jpg</v>
      </c>
    </row>
    <row r="2449" spans="1:13" x14ac:dyDescent="0.3">
      <c r="A2449" t="s">
        <v>2479</v>
      </c>
      <c r="B2449" s="1">
        <v>45441</v>
      </c>
      <c r="C2449" t="s">
        <v>13</v>
      </c>
      <c r="D2449" t="s">
        <v>21</v>
      </c>
      <c r="E2449">
        <v>56</v>
      </c>
      <c r="F2449" t="s">
        <v>15</v>
      </c>
      <c r="G2449">
        <v>1091.27</v>
      </c>
      <c r="H2449">
        <v>28</v>
      </c>
      <c r="I2449" t="s">
        <v>22</v>
      </c>
      <c r="J2449">
        <v>4.3</v>
      </c>
      <c r="K2449" t="s">
        <v>29</v>
      </c>
      <c r="L2449" t="s">
        <v>18</v>
      </c>
      <c r="M2449" t="str">
        <f>VLOOKUP(D2453,Restaurant_Master!A:B,2,FALSE)</f>
        <v>https://content.jdmagicbox.com/comp/deoria/g6/9999p5568.5568.200119143033.m4g6/catalogue/biryani-house-deoria-ho-deoria-mktc2xph0o.jpg</v>
      </c>
    </row>
    <row r="2450" spans="1:13" x14ac:dyDescent="0.3">
      <c r="A2450" t="s">
        <v>2480</v>
      </c>
      <c r="B2450" s="1">
        <v>45555</v>
      </c>
      <c r="C2450" t="s">
        <v>34</v>
      </c>
      <c r="D2450" t="s">
        <v>25</v>
      </c>
      <c r="E2450">
        <v>35</v>
      </c>
      <c r="F2450" t="s">
        <v>28</v>
      </c>
      <c r="G2450">
        <v>625.82000000000005</v>
      </c>
      <c r="H2450">
        <v>55</v>
      </c>
      <c r="I2450" t="s">
        <v>16</v>
      </c>
      <c r="J2450">
        <v>4.8</v>
      </c>
      <c r="K2450" t="s">
        <v>17</v>
      </c>
      <c r="L2450" t="s">
        <v>23</v>
      </c>
      <c r="M2450" t="str">
        <f>VLOOKUP(D2454,Restaurant_Master!A:B,2,FALSE)</f>
        <v>https://media-cdn.tripadvisor.com/media/photo-s/1c/c7/97/b6/photo6jpg.jpg</v>
      </c>
    </row>
    <row r="2451" spans="1:13" x14ac:dyDescent="0.3">
      <c r="A2451" t="s">
        <v>2481</v>
      </c>
      <c r="B2451" s="1">
        <v>45328</v>
      </c>
      <c r="C2451" t="s">
        <v>13</v>
      </c>
      <c r="D2451" t="s">
        <v>14</v>
      </c>
      <c r="E2451">
        <v>22</v>
      </c>
      <c r="F2451" t="s">
        <v>28</v>
      </c>
      <c r="G2451">
        <v>1184.9000000000001</v>
      </c>
      <c r="H2451">
        <v>35</v>
      </c>
      <c r="I2451" t="s">
        <v>22</v>
      </c>
      <c r="J2451">
        <v>4.3</v>
      </c>
      <c r="K2451" t="s">
        <v>29</v>
      </c>
      <c r="L2451" t="s">
        <v>23</v>
      </c>
      <c r="M2451" t="str">
        <f>VLOOKUP(D2455,Restaurant_Master!A:B,2,FALSE)</f>
        <v>https://media-cdn.tripadvisor.com/media/photo-s/1c/c7/97/b6/photo6jpg.jpg</v>
      </c>
    </row>
    <row r="2452" spans="1:13" x14ac:dyDescent="0.3">
      <c r="A2452" t="s">
        <v>2482</v>
      </c>
      <c r="B2452" s="1">
        <v>45456</v>
      </c>
      <c r="C2452" t="s">
        <v>43</v>
      </c>
      <c r="D2452" t="s">
        <v>38</v>
      </c>
      <c r="E2452">
        <v>44</v>
      </c>
      <c r="F2452" t="s">
        <v>15</v>
      </c>
      <c r="G2452">
        <v>532.95000000000005</v>
      </c>
      <c r="H2452">
        <v>23</v>
      </c>
      <c r="I2452" t="s">
        <v>22</v>
      </c>
      <c r="J2452">
        <v>2.6</v>
      </c>
      <c r="K2452" t="s">
        <v>29</v>
      </c>
      <c r="L2452" t="s">
        <v>23</v>
      </c>
      <c r="M2452" t="str">
        <f>VLOOKUP(D2456,Restaurant_Master!A:B,2,FALSE)</f>
        <v>https://dineout-media-assets.swiggy.com/swiggy/image/upload/fl_lossy,f_auto,q_auto/v1660793737/fdqxvxcxg1wtdwvyv45v.jpg</v>
      </c>
    </row>
    <row r="2453" spans="1:13" x14ac:dyDescent="0.3">
      <c r="A2453" t="s">
        <v>2483</v>
      </c>
      <c r="B2453" s="1">
        <v>45611</v>
      </c>
      <c r="C2453" t="s">
        <v>34</v>
      </c>
      <c r="D2453" t="s">
        <v>32</v>
      </c>
      <c r="E2453">
        <v>38</v>
      </c>
      <c r="F2453" t="s">
        <v>28</v>
      </c>
      <c r="G2453">
        <v>1078.3599999999999</v>
      </c>
      <c r="H2453">
        <v>59</v>
      </c>
      <c r="I2453" t="s">
        <v>16</v>
      </c>
      <c r="J2453">
        <v>4.9000000000000004</v>
      </c>
      <c r="K2453" t="s">
        <v>29</v>
      </c>
      <c r="L2453" t="s">
        <v>18</v>
      </c>
      <c r="M2453" t="str">
        <f>VLOOKUP(D2457,Restaurant_Master!A:B,2,FALSE)</f>
        <v>https://dynamic-media-cdn.tripadvisor.com/media/photo-o/1c/e7/04/0d/front-of-the-local-easily.jpg</v>
      </c>
    </row>
    <row r="2454" spans="1:13" x14ac:dyDescent="0.3">
      <c r="A2454" t="s">
        <v>2484</v>
      </c>
      <c r="B2454" s="1">
        <v>45475</v>
      </c>
      <c r="C2454" t="s">
        <v>13</v>
      </c>
      <c r="D2454" t="s">
        <v>25</v>
      </c>
      <c r="E2454">
        <v>32</v>
      </c>
      <c r="F2454" t="s">
        <v>15</v>
      </c>
      <c r="G2454">
        <v>441.87</v>
      </c>
      <c r="H2454">
        <v>23</v>
      </c>
      <c r="I2454" t="s">
        <v>22</v>
      </c>
      <c r="J2454">
        <v>4.7</v>
      </c>
      <c r="K2454" t="s">
        <v>17</v>
      </c>
      <c r="L2454" t="s">
        <v>18</v>
      </c>
      <c r="M2454" t="str">
        <f>VLOOKUP(D2458,Restaurant_Master!A:B,2,FALSE)</f>
        <v>https://media-cdn.tripadvisor.com/media/photo-s/1c/c7/97/b6/photo6jpg.jpg</v>
      </c>
    </row>
    <row r="2455" spans="1:13" x14ac:dyDescent="0.3">
      <c r="A2455" t="s">
        <v>2485</v>
      </c>
      <c r="B2455" s="1">
        <v>45430</v>
      </c>
      <c r="C2455" t="s">
        <v>43</v>
      </c>
      <c r="D2455" t="s">
        <v>25</v>
      </c>
      <c r="E2455">
        <v>30</v>
      </c>
      <c r="F2455" t="s">
        <v>15</v>
      </c>
      <c r="G2455">
        <v>1011.07</v>
      </c>
      <c r="H2455">
        <v>58</v>
      </c>
      <c r="I2455" t="s">
        <v>16</v>
      </c>
      <c r="J2455">
        <v>3.9</v>
      </c>
      <c r="K2455" t="s">
        <v>17</v>
      </c>
      <c r="L2455" t="s">
        <v>18</v>
      </c>
      <c r="M2455" t="str">
        <f>VLOOKUP(D2459,Restaurant_Master!A:B,2,FALSE)</f>
        <v>https://dineout-media-assets.swiggy.com/swiggy/image/upload/fl_lossy,f_auto,q_auto/v1660793737/fdqxvxcxg1wtdwvyv45v.jpg</v>
      </c>
    </row>
    <row r="2456" spans="1:13" x14ac:dyDescent="0.3">
      <c r="A2456" t="s">
        <v>2486</v>
      </c>
      <c r="B2456" s="1">
        <v>45415</v>
      </c>
      <c r="C2456" t="s">
        <v>36</v>
      </c>
      <c r="D2456" t="s">
        <v>14</v>
      </c>
      <c r="E2456">
        <v>18</v>
      </c>
      <c r="F2456" t="s">
        <v>15</v>
      </c>
      <c r="G2456">
        <v>508.52</v>
      </c>
      <c r="H2456">
        <v>53</v>
      </c>
      <c r="I2456" t="s">
        <v>16</v>
      </c>
      <c r="J2456">
        <v>4.3</v>
      </c>
      <c r="K2456" t="s">
        <v>26</v>
      </c>
      <c r="L2456" t="s">
        <v>18</v>
      </c>
      <c r="M2456" t="str">
        <f>VLOOKUP(D2460,Restaurant_Master!A:B,2,FALSE)</f>
        <v>https://media-cdn.tripadvisor.com/media/photo-s/1c/c7/97/b6/photo6jpg.jpg</v>
      </c>
    </row>
    <row r="2457" spans="1:13" x14ac:dyDescent="0.3">
      <c r="A2457" t="s">
        <v>2487</v>
      </c>
      <c r="B2457" s="1">
        <v>45609</v>
      </c>
      <c r="C2457" t="s">
        <v>43</v>
      </c>
      <c r="D2457" t="s">
        <v>21</v>
      </c>
      <c r="E2457">
        <v>23</v>
      </c>
      <c r="F2457" t="s">
        <v>28</v>
      </c>
      <c r="G2457">
        <v>1065.71</v>
      </c>
      <c r="H2457">
        <v>22</v>
      </c>
      <c r="I2457" t="s">
        <v>22</v>
      </c>
      <c r="J2457">
        <v>2.7</v>
      </c>
      <c r="K2457" t="s">
        <v>41</v>
      </c>
      <c r="L2457" t="s">
        <v>18</v>
      </c>
      <c r="M2457" t="str">
        <f>VLOOKUP(D2461,Restaurant_Master!A:B,2,FALSE)</f>
        <v>https://www.chatswoodinterchange.com/storages/2018/08/Sushi-World_666x448.jpg</v>
      </c>
    </row>
    <row r="2458" spans="1:13" x14ac:dyDescent="0.3">
      <c r="A2458" t="s">
        <v>2488</v>
      </c>
      <c r="B2458" s="1">
        <v>45377</v>
      </c>
      <c r="C2458" t="s">
        <v>13</v>
      </c>
      <c r="D2458" t="s">
        <v>25</v>
      </c>
      <c r="E2458">
        <v>47</v>
      </c>
      <c r="F2458" t="s">
        <v>15</v>
      </c>
      <c r="G2458">
        <v>665.51</v>
      </c>
      <c r="H2458">
        <v>45</v>
      </c>
      <c r="I2458" t="s">
        <v>16</v>
      </c>
      <c r="J2458">
        <v>4.2</v>
      </c>
      <c r="K2458" t="s">
        <v>26</v>
      </c>
      <c r="L2458" t="s">
        <v>18</v>
      </c>
      <c r="M2458" t="str">
        <f>VLOOKUP(D2462,Restaurant_Master!A:B,2,FALSE)</f>
        <v>https://content.jdmagicbox.com/comp/deoria/g6/9999p5568.5568.200119143033.m4g6/catalogue/biryani-house-deoria-ho-deoria-mktc2xph0o.jpg</v>
      </c>
    </row>
    <row r="2459" spans="1:13" x14ac:dyDescent="0.3">
      <c r="A2459" t="s">
        <v>2489</v>
      </c>
      <c r="B2459" s="1">
        <v>45367</v>
      </c>
      <c r="C2459" t="s">
        <v>36</v>
      </c>
      <c r="D2459" t="s">
        <v>14</v>
      </c>
      <c r="E2459">
        <v>42</v>
      </c>
      <c r="F2459" t="s">
        <v>28</v>
      </c>
      <c r="G2459">
        <v>599.08000000000004</v>
      </c>
      <c r="H2459">
        <v>47</v>
      </c>
      <c r="I2459" t="s">
        <v>16</v>
      </c>
      <c r="J2459">
        <v>4.9000000000000004</v>
      </c>
      <c r="K2459" t="s">
        <v>26</v>
      </c>
      <c r="L2459" t="s">
        <v>23</v>
      </c>
      <c r="M2459" t="str">
        <f>VLOOKUP(D2463,Restaurant_Master!A:B,2,FALSE)</f>
        <v>https://www.chatswoodinterchange.com/storages/2018/08/Sushi-World_666x448.jpg</v>
      </c>
    </row>
    <row r="2460" spans="1:13" x14ac:dyDescent="0.3">
      <c r="A2460" t="s">
        <v>2490</v>
      </c>
      <c r="B2460" s="1">
        <v>45526</v>
      </c>
      <c r="C2460" t="s">
        <v>13</v>
      </c>
      <c r="D2460" t="s">
        <v>25</v>
      </c>
      <c r="E2460">
        <v>49</v>
      </c>
      <c r="F2460" t="s">
        <v>15</v>
      </c>
      <c r="G2460">
        <v>596.44000000000005</v>
      </c>
      <c r="H2460">
        <v>21</v>
      </c>
      <c r="I2460" t="s">
        <v>22</v>
      </c>
      <c r="J2460">
        <v>4.5999999999999996</v>
      </c>
      <c r="K2460" t="s">
        <v>26</v>
      </c>
      <c r="L2460" t="s">
        <v>18</v>
      </c>
      <c r="M2460" t="str">
        <f>VLOOKUP(D2464,Restaurant_Master!A:B,2,FALSE)</f>
        <v>https://dineout-media-assets.swiggy.com/swiggy/image/upload/fl_lossy,f_auto,q_auto/v1660793737/fdqxvxcxg1wtdwvyv45v.jpg</v>
      </c>
    </row>
    <row r="2461" spans="1:13" x14ac:dyDescent="0.3">
      <c r="A2461" t="s">
        <v>2491</v>
      </c>
      <c r="B2461" s="1">
        <v>45381</v>
      </c>
      <c r="C2461" t="s">
        <v>43</v>
      </c>
      <c r="D2461" t="s">
        <v>38</v>
      </c>
      <c r="E2461">
        <v>39</v>
      </c>
      <c r="F2461" t="s">
        <v>28</v>
      </c>
      <c r="G2461">
        <v>926.55</v>
      </c>
      <c r="H2461">
        <v>50</v>
      </c>
      <c r="I2461" t="s">
        <v>16</v>
      </c>
      <c r="J2461">
        <v>4.7</v>
      </c>
      <c r="K2461" t="s">
        <v>17</v>
      </c>
      <c r="L2461" t="s">
        <v>18</v>
      </c>
      <c r="M2461" t="str">
        <f>VLOOKUP(D2465,Restaurant_Master!A:B,2,FALSE)</f>
        <v>https://content.jdmagicbox.com/comp/deoria/g6/9999p5568.5568.200119143033.m4g6/catalogue/biryani-house-deoria-ho-deoria-mktc2xph0o.jpg</v>
      </c>
    </row>
    <row r="2462" spans="1:13" x14ac:dyDescent="0.3">
      <c r="A2462" t="s">
        <v>2492</v>
      </c>
      <c r="B2462" s="1">
        <v>45379</v>
      </c>
      <c r="C2462" t="s">
        <v>36</v>
      </c>
      <c r="D2462" t="s">
        <v>32</v>
      </c>
      <c r="E2462">
        <v>51</v>
      </c>
      <c r="F2462" t="s">
        <v>28</v>
      </c>
      <c r="G2462">
        <v>815.15</v>
      </c>
      <c r="H2462">
        <v>53</v>
      </c>
      <c r="I2462" t="s">
        <v>16</v>
      </c>
      <c r="J2462">
        <v>3.2</v>
      </c>
      <c r="K2462" t="s">
        <v>29</v>
      </c>
      <c r="L2462" t="s">
        <v>18</v>
      </c>
      <c r="M2462" t="str">
        <f>VLOOKUP(D2466,Restaurant_Master!A:B,2,FALSE)</f>
        <v>https://content.jdmagicbox.com/comp/deoria/g6/9999p5568.5568.200119143033.m4g6/catalogue/biryani-house-deoria-ho-deoria-mktc2xph0o.jpg</v>
      </c>
    </row>
    <row r="2463" spans="1:13" x14ac:dyDescent="0.3">
      <c r="A2463" t="s">
        <v>2493</v>
      </c>
      <c r="B2463" s="1">
        <v>45445</v>
      </c>
      <c r="C2463" t="s">
        <v>20</v>
      </c>
      <c r="D2463" t="s">
        <v>38</v>
      </c>
      <c r="E2463">
        <v>57</v>
      </c>
      <c r="F2463" t="s">
        <v>28</v>
      </c>
      <c r="G2463">
        <v>569.14</v>
      </c>
      <c r="H2463">
        <v>44</v>
      </c>
      <c r="I2463" t="s">
        <v>16</v>
      </c>
      <c r="J2463">
        <v>4.9000000000000004</v>
      </c>
      <c r="K2463" t="s">
        <v>29</v>
      </c>
      <c r="L2463" t="s">
        <v>18</v>
      </c>
      <c r="M2463" t="str">
        <f>VLOOKUP(D2467,Restaurant_Master!A:B,2,FALSE)</f>
        <v>https://www.chatswoodinterchange.com/storages/2018/08/Sushi-World_666x448.jpg</v>
      </c>
    </row>
    <row r="2464" spans="1:13" x14ac:dyDescent="0.3">
      <c r="A2464" t="s">
        <v>2494</v>
      </c>
      <c r="B2464" s="1">
        <v>45306</v>
      </c>
      <c r="C2464" t="s">
        <v>34</v>
      </c>
      <c r="D2464" t="s">
        <v>14</v>
      </c>
      <c r="E2464">
        <v>42</v>
      </c>
      <c r="F2464" t="s">
        <v>28</v>
      </c>
      <c r="G2464">
        <v>469.9</v>
      </c>
      <c r="H2464">
        <v>32</v>
      </c>
      <c r="I2464" t="s">
        <v>22</v>
      </c>
      <c r="J2464">
        <v>2.9</v>
      </c>
      <c r="K2464" t="s">
        <v>26</v>
      </c>
      <c r="L2464" t="s">
        <v>18</v>
      </c>
      <c r="M2464" t="str">
        <f>VLOOKUP(D2468,Restaurant_Master!A:B,2,FALSE)</f>
        <v>https://media-cdn.tripadvisor.com/media/photo-s/1c/c7/97/b6/photo6jpg.jpg</v>
      </c>
    </row>
    <row r="2465" spans="1:13" x14ac:dyDescent="0.3">
      <c r="A2465" t="s">
        <v>2495</v>
      </c>
      <c r="B2465" s="1">
        <v>45452</v>
      </c>
      <c r="C2465" t="s">
        <v>36</v>
      </c>
      <c r="D2465" t="s">
        <v>32</v>
      </c>
      <c r="E2465">
        <v>32</v>
      </c>
      <c r="F2465" t="s">
        <v>15</v>
      </c>
      <c r="G2465">
        <v>413.07</v>
      </c>
      <c r="H2465">
        <v>35</v>
      </c>
      <c r="I2465" t="s">
        <v>22</v>
      </c>
      <c r="J2465">
        <v>3.6</v>
      </c>
      <c r="K2465" t="s">
        <v>29</v>
      </c>
      <c r="L2465" t="s">
        <v>23</v>
      </c>
      <c r="M2465" t="str">
        <f>VLOOKUP(D2469,Restaurant_Master!A:B,2,FALSE)</f>
        <v>https://dineout-media-assets.swiggy.com/swiggy/image/upload/fl_lossy,f_auto,q_auto/v1660793737/fdqxvxcxg1wtdwvyv45v.jpg</v>
      </c>
    </row>
    <row r="2466" spans="1:13" x14ac:dyDescent="0.3">
      <c r="A2466" t="s">
        <v>2496</v>
      </c>
      <c r="B2466" s="1">
        <v>45435</v>
      </c>
      <c r="C2466" t="s">
        <v>20</v>
      </c>
      <c r="D2466" t="s">
        <v>32</v>
      </c>
      <c r="E2466">
        <v>54</v>
      </c>
      <c r="F2466" t="s">
        <v>15</v>
      </c>
      <c r="G2466">
        <v>235.02</v>
      </c>
      <c r="H2466">
        <v>44</v>
      </c>
      <c r="I2466" t="s">
        <v>16</v>
      </c>
      <c r="J2466">
        <v>3.3</v>
      </c>
      <c r="K2466" t="s">
        <v>29</v>
      </c>
      <c r="L2466" t="s">
        <v>23</v>
      </c>
      <c r="M2466" t="str">
        <f>VLOOKUP(D2470,Restaurant_Master!A:B,2,FALSE)</f>
        <v>https://media-cdn.tripadvisor.com/media/photo-s/1c/c7/97/b6/photo6jpg.jpg</v>
      </c>
    </row>
    <row r="2467" spans="1:13" x14ac:dyDescent="0.3">
      <c r="A2467" t="s">
        <v>2497</v>
      </c>
      <c r="B2467" s="1">
        <v>45427</v>
      </c>
      <c r="C2467" t="s">
        <v>43</v>
      </c>
      <c r="D2467" t="s">
        <v>38</v>
      </c>
      <c r="E2467">
        <v>35</v>
      </c>
      <c r="F2467" t="s">
        <v>28</v>
      </c>
      <c r="G2467">
        <v>154.74</v>
      </c>
      <c r="H2467">
        <v>53</v>
      </c>
      <c r="I2467" t="s">
        <v>16</v>
      </c>
      <c r="J2467">
        <v>3.5</v>
      </c>
      <c r="K2467" t="s">
        <v>17</v>
      </c>
      <c r="L2467" t="s">
        <v>18</v>
      </c>
      <c r="M2467" t="str">
        <f>VLOOKUP(D2471,Restaurant_Master!A:B,2,FALSE)</f>
        <v>https://content.jdmagicbox.com/comp/deoria/g6/9999p5568.5568.200119143033.m4g6/catalogue/biryani-house-deoria-ho-deoria-mktc2xph0o.jpg</v>
      </c>
    </row>
    <row r="2468" spans="1:13" x14ac:dyDescent="0.3">
      <c r="A2468" t="s">
        <v>2498</v>
      </c>
      <c r="B2468" s="1">
        <v>45351</v>
      </c>
      <c r="C2468" t="s">
        <v>13</v>
      </c>
      <c r="D2468" t="s">
        <v>25</v>
      </c>
      <c r="E2468">
        <v>19</v>
      </c>
      <c r="F2468" t="s">
        <v>15</v>
      </c>
      <c r="G2468">
        <v>1022.39</v>
      </c>
      <c r="H2468">
        <v>43</v>
      </c>
      <c r="I2468" t="s">
        <v>16</v>
      </c>
      <c r="J2468">
        <v>2.8</v>
      </c>
      <c r="K2468" t="s">
        <v>29</v>
      </c>
      <c r="L2468" t="s">
        <v>23</v>
      </c>
      <c r="M2468" t="str">
        <f>VLOOKUP(D2472,Restaurant_Master!A:B,2,FALSE)</f>
        <v>https://media-cdn.tripadvisor.com/media/photo-s/1c/c7/97/b6/photo6jpg.jpg</v>
      </c>
    </row>
    <row r="2469" spans="1:13" x14ac:dyDescent="0.3">
      <c r="A2469" t="s">
        <v>2499</v>
      </c>
      <c r="B2469" s="1">
        <v>45470</v>
      </c>
      <c r="C2469" t="s">
        <v>36</v>
      </c>
      <c r="D2469" t="s">
        <v>14</v>
      </c>
      <c r="E2469">
        <v>48</v>
      </c>
      <c r="F2469" t="s">
        <v>28</v>
      </c>
      <c r="G2469">
        <v>1191.98</v>
      </c>
      <c r="H2469">
        <v>57</v>
      </c>
      <c r="I2469" t="s">
        <v>16</v>
      </c>
      <c r="J2469">
        <v>3</v>
      </c>
      <c r="K2469" t="s">
        <v>26</v>
      </c>
      <c r="L2469" t="s">
        <v>23</v>
      </c>
      <c r="M2469" t="str">
        <f>VLOOKUP(D2473,Restaurant_Master!A:B,2,FALSE)</f>
        <v>https://media-cdn.tripadvisor.com/media/photo-s/1c/c7/97/b6/photo6jpg.jpg</v>
      </c>
    </row>
    <row r="2470" spans="1:13" x14ac:dyDescent="0.3">
      <c r="A2470" t="s">
        <v>2500</v>
      </c>
      <c r="B2470" s="1">
        <v>45306</v>
      </c>
      <c r="C2470" t="s">
        <v>13</v>
      </c>
      <c r="D2470" t="s">
        <v>25</v>
      </c>
      <c r="E2470">
        <v>38</v>
      </c>
      <c r="F2470" t="s">
        <v>28</v>
      </c>
      <c r="G2470">
        <v>1172.92</v>
      </c>
      <c r="H2470">
        <v>26</v>
      </c>
      <c r="I2470" t="s">
        <v>22</v>
      </c>
      <c r="J2470">
        <v>4.8</v>
      </c>
      <c r="K2470" t="s">
        <v>26</v>
      </c>
      <c r="L2470" t="s">
        <v>23</v>
      </c>
      <c r="M2470" t="str">
        <f>VLOOKUP(D2474,Restaurant_Master!A:B,2,FALSE)</f>
        <v>https://www.chatswoodinterchange.com/storages/2018/08/Sushi-World_666x448.jpg</v>
      </c>
    </row>
    <row r="2471" spans="1:13" x14ac:dyDescent="0.3">
      <c r="A2471" t="s">
        <v>2501</v>
      </c>
      <c r="B2471" s="1">
        <v>45639</v>
      </c>
      <c r="C2471" t="s">
        <v>36</v>
      </c>
      <c r="D2471" t="s">
        <v>32</v>
      </c>
      <c r="E2471">
        <v>45</v>
      </c>
      <c r="F2471" t="s">
        <v>15</v>
      </c>
      <c r="G2471">
        <v>1091.1099999999999</v>
      </c>
      <c r="H2471">
        <v>57</v>
      </c>
      <c r="I2471" t="s">
        <v>16</v>
      </c>
      <c r="J2471">
        <v>4.0999999999999996</v>
      </c>
      <c r="K2471" t="s">
        <v>41</v>
      </c>
      <c r="L2471" t="s">
        <v>23</v>
      </c>
      <c r="M2471" t="str">
        <f>VLOOKUP(D2475,Restaurant_Master!A:B,2,FALSE)</f>
        <v>https://dynamic-media-cdn.tripadvisor.com/media/photo-o/1c/e7/04/0d/front-of-the-local-easily.jpg</v>
      </c>
    </row>
    <row r="2472" spans="1:13" x14ac:dyDescent="0.3">
      <c r="A2472" t="s">
        <v>2502</v>
      </c>
      <c r="B2472" s="1">
        <v>45439</v>
      </c>
      <c r="C2472" t="s">
        <v>43</v>
      </c>
      <c r="D2472" t="s">
        <v>25</v>
      </c>
      <c r="E2472">
        <v>55</v>
      </c>
      <c r="F2472" t="s">
        <v>28</v>
      </c>
      <c r="G2472">
        <v>555.05999999999995</v>
      </c>
      <c r="H2472">
        <v>39</v>
      </c>
      <c r="I2472" t="s">
        <v>22</v>
      </c>
      <c r="J2472">
        <v>4.9000000000000004</v>
      </c>
      <c r="K2472" t="s">
        <v>29</v>
      </c>
      <c r="L2472" t="s">
        <v>23</v>
      </c>
      <c r="M2472" t="str">
        <f>VLOOKUP(D2476,Restaurant_Master!A:B,2,FALSE)</f>
        <v>https://dynamic-media-cdn.tripadvisor.com/media/photo-o/1c/e7/04/0d/front-of-the-local-easily.jpg</v>
      </c>
    </row>
    <row r="2473" spans="1:13" x14ac:dyDescent="0.3">
      <c r="A2473" t="s">
        <v>2503</v>
      </c>
      <c r="B2473" s="1">
        <v>45592</v>
      </c>
      <c r="C2473" t="s">
        <v>34</v>
      </c>
      <c r="D2473" t="s">
        <v>25</v>
      </c>
      <c r="E2473">
        <v>51</v>
      </c>
      <c r="F2473" t="s">
        <v>15</v>
      </c>
      <c r="G2473">
        <v>570.17999999999995</v>
      </c>
      <c r="H2473">
        <v>57</v>
      </c>
      <c r="I2473" t="s">
        <v>16</v>
      </c>
      <c r="J2473">
        <v>3.7</v>
      </c>
      <c r="K2473" t="s">
        <v>17</v>
      </c>
      <c r="L2473" t="s">
        <v>23</v>
      </c>
      <c r="M2473" t="str">
        <f>VLOOKUP(D2477,Restaurant_Master!A:B,2,FALSE)</f>
        <v>https://dynamic-media-cdn.tripadvisor.com/media/photo-o/1c/e7/04/0d/front-of-the-local-easily.jpg</v>
      </c>
    </row>
    <row r="2474" spans="1:13" x14ac:dyDescent="0.3">
      <c r="A2474" t="s">
        <v>2504</v>
      </c>
      <c r="B2474" s="1">
        <v>45654</v>
      </c>
      <c r="C2474" t="s">
        <v>43</v>
      </c>
      <c r="D2474" t="s">
        <v>38</v>
      </c>
      <c r="E2474">
        <v>31</v>
      </c>
      <c r="F2474" t="s">
        <v>15</v>
      </c>
      <c r="G2474">
        <v>1126.97</v>
      </c>
      <c r="H2474">
        <v>36</v>
      </c>
      <c r="I2474" t="s">
        <v>22</v>
      </c>
      <c r="J2474">
        <v>4</v>
      </c>
      <c r="K2474" t="s">
        <v>17</v>
      </c>
      <c r="L2474" t="s">
        <v>23</v>
      </c>
      <c r="M2474" t="str">
        <f>VLOOKUP(D2478,Restaurant_Master!A:B,2,FALSE)</f>
        <v>https://dynamic-media-cdn.tripadvisor.com/media/photo-o/1c/e7/04/0d/front-of-the-local-easily.jpg</v>
      </c>
    </row>
    <row r="2475" spans="1:13" x14ac:dyDescent="0.3">
      <c r="A2475" t="s">
        <v>2505</v>
      </c>
      <c r="B2475" s="1">
        <v>45509</v>
      </c>
      <c r="C2475" t="s">
        <v>34</v>
      </c>
      <c r="D2475" t="s">
        <v>21</v>
      </c>
      <c r="E2475">
        <v>55</v>
      </c>
      <c r="F2475" t="s">
        <v>28</v>
      </c>
      <c r="G2475">
        <v>986.05</v>
      </c>
      <c r="H2475">
        <v>44</v>
      </c>
      <c r="I2475" t="s">
        <v>16</v>
      </c>
      <c r="J2475">
        <v>2.7</v>
      </c>
      <c r="K2475" t="s">
        <v>17</v>
      </c>
      <c r="L2475" t="s">
        <v>18</v>
      </c>
      <c r="M2475" t="str">
        <f>VLOOKUP(D2479,Restaurant_Master!A:B,2,FALSE)</f>
        <v>https://dynamic-media-cdn.tripadvisor.com/media/photo-o/1c/e7/04/0d/front-of-the-local-easily.jpg</v>
      </c>
    </row>
    <row r="2476" spans="1:13" x14ac:dyDescent="0.3">
      <c r="A2476" t="s">
        <v>2506</v>
      </c>
      <c r="B2476" s="1">
        <v>45573</v>
      </c>
      <c r="C2476" t="s">
        <v>34</v>
      </c>
      <c r="D2476" t="s">
        <v>21</v>
      </c>
      <c r="E2476">
        <v>29</v>
      </c>
      <c r="F2476" t="s">
        <v>15</v>
      </c>
      <c r="G2476">
        <v>798.75</v>
      </c>
      <c r="H2476">
        <v>45</v>
      </c>
      <c r="I2476" t="s">
        <v>16</v>
      </c>
      <c r="J2476">
        <v>4</v>
      </c>
      <c r="K2476" t="s">
        <v>41</v>
      </c>
      <c r="L2476" t="s">
        <v>18</v>
      </c>
      <c r="M2476" t="str">
        <f>VLOOKUP(D2480,Restaurant_Master!A:B,2,FALSE)</f>
        <v>https://content.jdmagicbox.com/comp/deoria/g6/9999p5568.5568.200119143033.m4g6/catalogue/biryani-house-deoria-ho-deoria-mktc2xph0o.jpg</v>
      </c>
    </row>
    <row r="2477" spans="1:13" x14ac:dyDescent="0.3">
      <c r="A2477" t="s">
        <v>2507</v>
      </c>
      <c r="B2477" s="1">
        <v>45567</v>
      </c>
      <c r="C2477" t="s">
        <v>20</v>
      </c>
      <c r="D2477" t="s">
        <v>21</v>
      </c>
      <c r="E2477">
        <v>32</v>
      </c>
      <c r="F2477" t="s">
        <v>28</v>
      </c>
      <c r="G2477">
        <v>971.58</v>
      </c>
      <c r="H2477">
        <v>45</v>
      </c>
      <c r="I2477" t="s">
        <v>16</v>
      </c>
      <c r="J2477">
        <v>3.9</v>
      </c>
      <c r="K2477" t="s">
        <v>17</v>
      </c>
      <c r="L2477" t="s">
        <v>18</v>
      </c>
      <c r="M2477" t="str">
        <f>VLOOKUP(D2481,Restaurant_Master!A:B,2,FALSE)</f>
        <v>https://dynamic-media-cdn.tripadvisor.com/media/photo-o/1c/e7/04/0d/front-of-the-local-easily.jpg</v>
      </c>
    </row>
    <row r="2478" spans="1:13" x14ac:dyDescent="0.3">
      <c r="A2478" t="s">
        <v>2508</v>
      </c>
      <c r="B2478" s="1">
        <v>45442</v>
      </c>
      <c r="C2478" t="s">
        <v>43</v>
      </c>
      <c r="D2478" t="s">
        <v>21</v>
      </c>
      <c r="E2478">
        <v>45</v>
      </c>
      <c r="F2478" t="s">
        <v>15</v>
      </c>
      <c r="G2478">
        <v>962.02</v>
      </c>
      <c r="H2478">
        <v>31</v>
      </c>
      <c r="I2478" t="s">
        <v>22</v>
      </c>
      <c r="J2478">
        <v>3.1</v>
      </c>
      <c r="K2478" t="s">
        <v>29</v>
      </c>
      <c r="L2478" t="s">
        <v>18</v>
      </c>
      <c r="M2478" t="str">
        <f>VLOOKUP(D2482,Restaurant_Master!A:B,2,FALSE)</f>
        <v>https://media-cdn.tripadvisor.com/media/photo-s/1c/c7/97/b6/photo6jpg.jpg</v>
      </c>
    </row>
    <row r="2479" spans="1:13" x14ac:dyDescent="0.3">
      <c r="A2479" t="s">
        <v>2509</v>
      </c>
      <c r="B2479" s="1">
        <v>45448</v>
      </c>
      <c r="C2479" t="s">
        <v>34</v>
      </c>
      <c r="D2479" t="s">
        <v>21</v>
      </c>
      <c r="E2479">
        <v>30</v>
      </c>
      <c r="F2479" t="s">
        <v>15</v>
      </c>
      <c r="G2479">
        <v>383.04</v>
      </c>
      <c r="H2479">
        <v>29</v>
      </c>
      <c r="I2479" t="s">
        <v>22</v>
      </c>
      <c r="J2479">
        <v>4.5999999999999996</v>
      </c>
      <c r="K2479" t="s">
        <v>17</v>
      </c>
      <c r="L2479" t="s">
        <v>18</v>
      </c>
      <c r="M2479" t="str">
        <f>VLOOKUP(D2483,Restaurant_Master!A:B,2,FALSE)</f>
        <v>https://content.jdmagicbox.com/comp/deoria/g6/9999p5568.5568.200119143033.m4g6/catalogue/biryani-house-deoria-ho-deoria-mktc2xph0o.jpg</v>
      </c>
    </row>
    <row r="2480" spans="1:13" x14ac:dyDescent="0.3">
      <c r="A2480" t="s">
        <v>2510</v>
      </c>
      <c r="B2480" s="1">
        <v>45376</v>
      </c>
      <c r="C2480" t="s">
        <v>20</v>
      </c>
      <c r="D2480" t="s">
        <v>32</v>
      </c>
      <c r="E2480">
        <v>56</v>
      </c>
      <c r="F2480" t="s">
        <v>15</v>
      </c>
      <c r="G2480">
        <v>358.21</v>
      </c>
      <c r="H2480">
        <v>30</v>
      </c>
      <c r="I2480" t="s">
        <v>22</v>
      </c>
      <c r="J2480">
        <v>3.6</v>
      </c>
      <c r="K2480" t="s">
        <v>41</v>
      </c>
      <c r="L2480" t="s">
        <v>23</v>
      </c>
      <c r="M2480" t="str">
        <f>VLOOKUP(D2484,Restaurant_Master!A:B,2,FALSE)</f>
        <v>https://content.jdmagicbox.com/comp/deoria/g6/9999p5568.5568.200119143033.m4g6/catalogue/biryani-house-deoria-ho-deoria-mktc2xph0o.jpg</v>
      </c>
    </row>
    <row r="2481" spans="1:13" x14ac:dyDescent="0.3">
      <c r="A2481" t="s">
        <v>2511</v>
      </c>
      <c r="B2481" s="1">
        <v>45596</v>
      </c>
      <c r="C2481" t="s">
        <v>34</v>
      </c>
      <c r="D2481" t="s">
        <v>21</v>
      </c>
      <c r="E2481">
        <v>59</v>
      </c>
      <c r="F2481" t="s">
        <v>28</v>
      </c>
      <c r="G2481">
        <v>1091.4000000000001</v>
      </c>
      <c r="H2481">
        <v>42</v>
      </c>
      <c r="I2481" t="s">
        <v>16</v>
      </c>
      <c r="J2481">
        <v>4.8</v>
      </c>
      <c r="K2481" t="s">
        <v>29</v>
      </c>
      <c r="L2481" t="s">
        <v>18</v>
      </c>
      <c r="M2481" t="str">
        <f>VLOOKUP(D2485,Restaurant_Master!A:B,2,FALSE)</f>
        <v>https://content.jdmagicbox.com/comp/deoria/g6/9999p5568.5568.200119143033.m4g6/catalogue/biryani-house-deoria-ho-deoria-mktc2xph0o.jpg</v>
      </c>
    </row>
    <row r="2482" spans="1:13" x14ac:dyDescent="0.3">
      <c r="A2482" t="s">
        <v>2512</v>
      </c>
      <c r="B2482" s="1">
        <v>45368</v>
      </c>
      <c r="C2482" t="s">
        <v>43</v>
      </c>
      <c r="D2482" t="s">
        <v>25</v>
      </c>
      <c r="E2482">
        <v>47</v>
      </c>
      <c r="F2482" t="s">
        <v>28</v>
      </c>
      <c r="G2482">
        <v>558.01</v>
      </c>
      <c r="H2482">
        <v>42</v>
      </c>
      <c r="I2482" t="s">
        <v>16</v>
      </c>
      <c r="J2482">
        <v>3.5</v>
      </c>
      <c r="K2482" t="s">
        <v>17</v>
      </c>
      <c r="L2482" t="s">
        <v>23</v>
      </c>
      <c r="M2482" t="str">
        <f>VLOOKUP(D2486,Restaurant_Master!A:B,2,FALSE)</f>
        <v>https://content.jdmagicbox.com/comp/deoria/g6/9999p5568.5568.200119143033.m4g6/catalogue/biryani-house-deoria-ho-deoria-mktc2xph0o.jpg</v>
      </c>
    </row>
    <row r="2483" spans="1:13" x14ac:dyDescent="0.3">
      <c r="A2483" t="s">
        <v>2513</v>
      </c>
      <c r="B2483" s="1">
        <v>45535</v>
      </c>
      <c r="C2483" t="s">
        <v>36</v>
      </c>
      <c r="D2483" t="s">
        <v>32</v>
      </c>
      <c r="E2483">
        <v>23</v>
      </c>
      <c r="F2483" t="s">
        <v>28</v>
      </c>
      <c r="G2483">
        <v>846.42</v>
      </c>
      <c r="H2483">
        <v>57</v>
      </c>
      <c r="I2483" t="s">
        <v>16</v>
      </c>
      <c r="J2483">
        <v>3.7</v>
      </c>
      <c r="K2483" t="s">
        <v>17</v>
      </c>
      <c r="L2483" t="s">
        <v>18</v>
      </c>
      <c r="M2483" t="str">
        <f>VLOOKUP(D2487,Restaurant_Master!A:B,2,FALSE)</f>
        <v>https://media-cdn.tripadvisor.com/media/photo-s/1c/c7/97/b6/photo6jpg.jpg</v>
      </c>
    </row>
    <row r="2484" spans="1:13" x14ac:dyDescent="0.3">
      <c r="A2484" t="s">
        <v>2514</v>
      </c>
      <c r="B2484" s="1">
        <v>45370</v>
      </c>
      <c r="C2484" t="s">
        <v>34</v>
      </c>
      <c r="D2484" t="s">
        <v>32</v>
      </c>
      <c r="E2484">
        <v>20</v>
      </c>
      <c r="F2484" t="s">
        <v>15</v>
      </c>
      <c r="G2484">
        <v>1092.53</v>
      </c>
      <c r="H2484">
        <v>55</v>
      </c>
      <c r="I2484" t="s">
        <v>16</v>
      </c>
      <c r="J2484">
        <v>3.2</v>
      </c>
      <c r="K2484" t="s">
        <v>41</v>
      </c>
      <c r="L2484" t="s">
        <v>18</v>
      </c>
      <c r="M2484" t="str">
        <f>VLOOKUP(D2488,Restaurant_Master!A:B,2,FALSE)</f>
        <v>https://content.jdmagicbox.com/comp/deoria/g6/9999p5568.5568.200119143033.m4g6/catalogue/biryani-house-deoria-ho-deoria-mktc2xph0o.jpg</v>
      </c>
    </row>
    <row r="2485" spans="1:13" x14ac:dyDescent="0.3">
      <c r="A2485" t="s">
        <v>2515</v>
      </c>
      <c r="B2485" s="1">
        <v>45552</v>
      </c>
      <c r="C2485" t="s">
        <v>43</v>
      </c>
      <c r="D2485" t="s">
        <v>32</v>
      </c>
      <c r="E2485">
        <v>35</v>
      </c>
      <c r="F2485" t="s">
        <v>15</v>
      </c>
      <c r="G2485">
        <v>316.48</v>
      </c>
      <c r="H2485">
        <v>31</v>
      </c>
      <c r="I2485" t="s">
        <v>22</v>
      </c>
      <c r="J2485">
        <v>3.3</v>
      </c>
      <c r="K2485" t="s">
        <v>29</v>
      </c>
      <c r="L2485" t="s">
        <v>23</v>
      </c>
      <c r="M2485" t="str">
        <f>VLOOKUP(D2489,Restaurant_Master!A:B,2,FALSE)</f>
        <v>https://content.jdmagicbox.com/comp/deoria/g6/9999p5568.5568.200119143033.m4g6/catalogue/biryani-house-deoria-ho-deoria-mktc2xph0o.jpg</v>
      </c>
    </row>
    <row r="2486" spans="1:13" x14ac:dyDescent="0.3">
      <c r="A2486" t="s">
        <v>2516</v>
      </c>
      <c r="B2486" s="1">
        <v>45488</v>
      </c>
      <c r="C2486" t="s">
        <v>36</v>
      </c>
      <c r="D2486" t="s">
        <v>32</v>
      </c>
      <c r="E2486">
        <v>29</v>
      </c>
      <c r="F2486" t="s">
        <v>28</v>
      </c>
      <c r="G2486">
        <v>348.41</v>
      </c>
      <c r="H2486">
        <v>31</v>
      </c>
      <c r="I2486" t="s">
        <v>22</v>
      </c>
      <c r="J2486">
        <v>4.5999999999999996</v>
      </c>
      <c r="K2486" t="s">
        <v>26</v>
      </c>
      <c r="L2486" t="s">
        <v>18</v>
      </c>
      <c r="M2486" t="str">
        <f>VLOOKUP(D2490,Restaurant_Master!A:B,2,FALSE)</f>
        <v>https://media-cdn.tripadvisor.com/media/photo-s/1c/c7/97/b6/photo6jpg.jpg</v>
      </c>
    </row>
    <row r="2487" spans="1:13" x14ac:dyDescent="0.3">
      <c r="A2487" t="s">
        <v>2517</v>
      </c>
      <c r="B2487" s="1">
        <v>45630</v>
      </c>
      <c r="C2487" t="s">
        <v>34</v>
      </c>
      <c r="D2487" t="s">
        <v>25</v>
      </c>
      <c r="E2487">
        <v>18</v>
      </c>
      <c r="F2487" t="s">
        <v>15</v>
      </c>
      <c r="G2487">
        <v>212.96</v>
      </c>
      <c r="H2487">
        <v>24</v>
      </c>
      <c r="I2487" t="s">
        <v>22</v>
      </c>
      <c r="J2487">
        <v>3.9</v>
      </c>
      <c r="K2487" t="s">
        <v>29</v>
      </c>
      <c r="L2487" t="s">
        <v>23</v>
      </c>
      <c r="M2487" t="str">
        <f>VLOOKUP(D2491,Restaurant_Master!A:B,2,FALSE)</f>
        <v>https://content.jdmagicbox.com/comp/deoria/g6/9999p5568.5568.200119143033.m4g6/catalogue/biryani-house-deoria-ho-deoria-mktc2xph0o.jpg</v>
      </c>
    </row>
    <row r="2488" spans="1:13" x14ac:dyDescent="0.3">
      <c r="A2488" t="s">
        <v>2518</v>
      </c>
      <c r="B2488" s="1">
        <v>45511</v>
      </c>
      <c r="C2488" t="s">
        <v>36</v>
      </c>
      <c r="D2488" t="s">
        <v>32</v>
      </c>
      <c r="E2488">
        <v>25</v>
      </c>
      <c r="F2488" t="s">
        <v>28</v>
      </c>
      <c r="G2488">
        <v>853.49</v>
      </c>
      <c r="H2488">
        <v>22</v>
      </c>
      <c r="I2488" t="s">
        <v>22</v>
      </c>
      <c r="J2488">
        <v>4</v>
      </c>
      <c r="K2488" t="s">
        <v>29</v>
      </c>
      <c r="L2488" t="s">
        <v>23</v>
      </c>
      <c r="M2488" t="str">
        <f>VLOOKUP(D2492,Restaurant_Master!A:B,2,FALSE)</f>
        <v>https://www.chatswoodinterchange.com/storages/2018/08/Sushi-World_666x448.jpg</v>
      </c>
    </row>
    <row r="2489" spans="1:13" x14ac:dyDescent="0.3">
      <c r="A2489" t="s">
        <v>2519</v>
      </c>
      <c r="B2489" s="1">
        <v>45517</v>
      </c>
      <c r="C2489" t="s">
        <v>13</v>
      </c>
      <c r="D2489" t="s">
        <v>32</v>
      </c>
      <c r="E2489">
        <v>29</v>
      </c>
      <c r="F2489" t="s">
        <v>28</v>
      </c>
      <c r="G2489">
        <v>769.07</v>
      </c>
      <c r="H2489">
        <v>50</v>
      </c>
      <c r="I2489" t="s">
        <v>16</v>
      </c>
      <c r="J2489">
        <v>4.4000000000000004</v>
      </c>
      <c r="K2489" t="s">
        <v>29</v>
      </c>
      <c r="L2489" t="s">
        <v>18</v>
      </c>
      <c r="M2489" t="str">
        <f>VLOOKUP(D2493,Restaurant_Master!A:B,2,FALSE)</f>
        <v>https://content.jdmagicbox.com/comp/deoria/g6/9999p5568.5568.200119143033.m4g6/catalogue/biryani-house-deoria-ho-deoria-mktc2xph0o.jpg</v>
      </c>
    </row>
    <row r="2490" spans="1:13" x14ac:dyDescent="0.3">
      <c r="A2490" t="s">
        <v>2520</v>
      </c>
      <c r="B2490" s="1">
        <v>45593</v>
      </c>
      <c r="C2490" t="s">
        <v>36</v>
      </c>
      <c r="D2490" t="s">
        <v>25</v>
      </c>
      <c r="E2490">
        <v>43</v>
      </c>
      <c r="F2490" t="s">
        <v>15</v>
      </c>
      <c r="G2490">
        <v>592.28</v>
      </c>
      <c r="H2490">
        <v>26</v>
      </c>
      <c r="I2490" t="s">
        <v>22</v>
      </c>
      <c r="J2490">
        <v>4.5</v>
      </c>
      <c r="K2490" t="s">
        <v>41</v>
      </c>
      <c r="L2490" t="s">
        <v>23</v>
      </c>
      <c r="M2490" t="str">
        <f>VLOOKUP(D2494,Restaurant_Master!A:B,2,FALSE)</f>
        <v>https://dynamic-media-cdn.tripadvisor.com/media/photo-o/1c/e7/04/0d/front-of-the-local-easily.jpg</v>
      </c>
    </row>
    <row r="2491" spans="1:13" x14ac:dyDescent="0.3">
      <c r="A2491" t="s">
        <v>2521</v>
      </c>
      <c r="B2491" s="1">
        <v>45606</v>
      </c>
      <c r="C2491" t="s">
        <v>13</v>
      </c>
      <c r="D2491" t="s">
        <v>32</v>
      </c>
      <c r="E2491">
        <v>27</v>
      </c>
      <c r="F2491" t="s">
        <v>15</v>
      </c>
      <c r="G2491">
        <v>1186.76</v>
      </c>
      <c r="H2491">
        <v>23</v>
      </c>
      <c r="I2491" t="s">
        <v>22</v>
      </c>
      <c r="J2491">
        <v>4.5</v>
      </c>
      <c r="K2491" t="s">
        <v>29</v>
      </c>
      <c r="L2491" t="s">
        <v>18</v>
      </c>
      <c r="M2491" t="str">
        <f>VLOOKUP(D2495,Restaurant_Master!A:B,2,FALSE)</f>
        <v>https://dynamic-media-cdn.tripadvisor.com/media/photo-o/1c/e7/04/0d/front-of-the-local-easily.jpg</v>
      </c>
    </row>
    <row r="2492" spans="1:13" x14ac:dyDescent="0.3">
      <c r="A2492" t="s">
        <v>2522</v>
      </c>
      <c r="B2492" s="1">
        <v>45497</v>
      </c>
      <c r="C2492" t="s">
        <v>13</v>
      </c>
      <c r="D2492" t="s">
        <v>38</v>
      </c>
      <c r="E2492">
        <v>47</v>
      </c>
      <c r="F2492" t="s">
        <v>28</v>
      </c>
      <c r="G2492">
        <v>892.09</v>
      </c>
      <c r="H2492">
        <v>36</v>
      </c>
      <c r="I2492" t="s">
        <v>22</v>
      </c>
      <c r="J2492">
        <v>3.2</v>
      </c>
      <c r="K2492" t="s">
        <v>26</v>
      </c>
      <c r="L2492" t="s">
        <v>18</v>
      </c>
      <c r="M2492" t="str">
        <f>VLOOKUP(D2496,Restaurant_Master!A:B,2,FALSE)</f>
        <v>https://dynamic-media-cdn.tripadvisor.com/media/photo-o/1c/e7/04/0d/front-of-the-local-easily.jpg</v>
      </c>
    </row>
    <row r="2493" spans="1:13" x14ac:dyDescent="0.3">
      <c r="A2493" t="s">
        <v>2523</v>
      </c>
      <c r="B2493" s="1">
        <v>45397</v>
      </c>
      <c r="C2493" t="s">
        <v>43</v>
      </c>
      <c r="D2493" t="s">
        <v>32</v>
      </c>
      <c r="E2493">
        <v>24</v>
      </c>
      <c r="F2493" t="s">
        <v>15</v>
      </c>
      <c r="G2493">
        <v>678.94</v>
      </c>
      <c r="H2493">
        <v>36</v>
      </c>
      <c r="I2493" t="s">
        <v>22</v>
      </c>
      <c r="J2493">
        <v>2.8</v>
      </c>
      <c r="K2493" t="s">
        <v>29</v>
      </c>
      <c r="L2493" t="s">
        <v>18</v>
      </c>
      <c r="M2493" t="str">
        <f>VLOOKUP(D2497,Restaurant_Master!A:B,2,FALSE)</f>
        <v>https://www.chatswoodinterchange.com/storages/2018/08/Sushi-World_666x448.jpg</v>
      </c>
    </row>
    <row r="2494" spans="1:13" x14ac:dyDescent="0.3">
      <c r="A2494" t="s">
        <v>2524</v>
      </c>
      <c r="B2494" s="1">
        <v>45306</v>
      </c>
      <c r="C2494" t="s">
        <v>36</v>
      </c>
      <c r="D2494" t="s">
        <v>21</v>
      </c>
      <c r="E2494">
        <v>22</v>
      </c>
      <c r="F2494" t="s">
        <v>15</v>
      </c>
      <c r="G2494">
        <v>940.81</v>
      </c>
      <c r="H2494">
        <v>35</v>
      </c>
      <c r="I2494" t="s">
        <v>22</v>
      </c>
      <c r="J2494">
        <v>2.6</v>
      </c>
      <c r="K2494" t="s">
        <v>41</v>
      </c>
      <c r="L2494" t="s">
        <v>18</v>
      </c>
      <c r="M2494" t="str">
        <f>VLOOKUP(D2498,Restaurant_Master!A:B,2,FALSE)</f>
        <v>https://dineout-media-assets.swiggy.com/swiggy/image/upload/fl_lossy,f_auto,q_auto/v1660793737/fdqxvxcxg1wtdwvyv45v.jpg</v>
      </c>
    </row>
    <row r="2495" spans="1:13" x14ac:dyDescent="0.3">
      <c r="A2495" t="s">
        <v>2525</v>
      </c>
      <c r="B2495" s="1">
        <v>45589</v>
      </c>
      <c r="C2495" t="s">
        <v>20</v>
      </c>
      <c r="D2495" t="s">
        <v>21</v>
      </c>
      <c r="E2495">
        <v>46</v>
      </c>
      <c r="F2495" t="s">
        <v>28</v>
      </c>
      <c r="G2495">
        <v>216.36</v>
      </c>
      <c r="H2495">
        <v>24</v>
      </c>
      <c r="I2495" t="s">
        <v>22</v>
      </c>
      <c r="J2495">
        <v>3.1</v>
      </c>
      <c r="K2495" t="s">
        <v>29</v>
      </c>
      <c r="L2495" t="s">
        <v>18</v>
      </c>
      <c r="M2495" t="str">
        <f>VLOOKUP(D2499,Restaurant_Master!A:B,2,FALSE)</f>
        <v>https://www.chatswoodinterchange.com/storages/2018/08/Sushi-World_666x448.jpg</v>
      </c>
    </row>
    <row r="2496" spans="1:13" x14ac:dyDescent="0.3">
      <c r="A2496" t="s">
        <v>2526</v>
      </c>
      <c r="B2496" s="1">
        <v>45386</v>
      </c>
      <c r="C2496" t="s">
        <v>43</v>
      </c>
      <c r="D2496" t="s">
        <v>21</v>
      </c>
      <c r="E2496">
        <v>31</v>
      </c>
      <c r="F2496" t="s">
        <v>15</v>
      </c>
      <c r="G2496">
        <v>293.49</v>
      </c>
      <c r="H2496">
        <v>35</v>
      </c>
      <c r="I2496" t="s">
        <v>22</v>
      </c>
      <c r="J2496">
        <v>3.3</v>
      </c>
      <c r="K2496" t="s">
        <v>26</v>
      </c>
      <c r="L2496" t="s">
        <v>23</v>
      </c>
      <c r="M2496" t="str">
        <f>VLOOKUP(D2500,Restaurant_Master!A:B,2,FALSE)</f>
        <v>https://www.chatswoodinterchange.com/storages/2018/08/Sushi-World_666x448.jpg</v>
      </c>
    </row>
    <row r="2497" spans="1:13" x14ac:dyDescent="0.3">
      <c r="A2497" t="s">
        <v>2527</v>
      </c>
      <c r="B2497" s="1">
        <v>45399</v>
      </c>
      <c r="C2497" t="s">
        <v>13</v>
      </c>
      <c r="D2497" t="s">
        <v>38</v>
      </c>
      <c r="E2497">
        <v>22</v>
      </c>
      <c r="F2497" t="s">
        <v>15</v>
      </c>
      <c r="G2497">
        <v>753.9</v>
      </c>
      <c r="H2497">
        <v>34</v>
      </c>
      <c r="I2497" t="s">
        <v>22</v>
      </c>
      <c r="J2497">
        <v>4.0999999999999996</v>
      </c>
      <c r="K2497" t="s">
        <v>41</v>
      </c>
      <c r="L2497" t="s">
        <v>18</v>
      </c>
      <c r="M2497" t="str">
        <f>VLOOKUP(D2501,Restaurant_Master!A:B,2,FALSE)</f>
        <v>https://content.jdmagicbox.com/comp/deoria/g6/9999p5568.5568.200119143033.m4g6/catalogue/biryani-house-deoria-ho-deoria-mktc2xph0o.jpg</v>
      </c>
    </row>
    <row r="2498" spans="1:13" x14ac:dyDescent="0.3">
      <c r="A2498" t="s">
        <v>2528</v>
      </c>
      <c r="B2498" s="1">
        <v>45617</v>
      </c>
      <c r="C2498" t="s">
        <v>20</v>
      </c>
      <c r="D2498" t="s">
        <v>14</v>
      </c>
      <c r="E2498">
        <v>38</v>
      </c>
      <c r="F2498" t="s">
        <v>28</v>
      </c>
      <c r="G2498">
        <v>895.69</v>
      </c>
      <c r="H2498">
        <v>23</v>
      </c>
      <c r="I2498" t="s">
        <v>22</v>
      </c>
      <c r="J2498">
        <v>2.9</v>
      </c>
      <c r="K2498" t="s">
        <v>26</v>
      </c>
      <c r="L2498" t="s">
        <v>23</v>
      </c>
      <c r="M2498" t="str">
        <f>VLOOKUP(D2502,Restaurant_Master!A:B,2,FALSE)</f>
        <v>https://media-cdn.tripadvisor.com/media/photo-s/1c/c7/97/b6/photo6jpg.jpg</v>
      </c>
    </row>
    <row r="2499" spans="1:13" x14ac:dyDescent="0.3">
      <c r="A2499" t="s">
        <v>2529</v>
      </c>
      <c r="B2499" s="1">
        <v>45433</v>
      </c>
      <c r="C2499" t="s">
        <v>43</v>
      </c>
      <c r="D2499" t="s">
        <v>38</v>
      </c>
      <c r="E2499">
        <v>55</v>
      </c>
      <c r="F2499" t="s">
        <v>15</v>
      </c>
      <c r="G2499">
        <v>872.05</v>
      </c>
      <c r="H2499">
        <v>45</v>
      </c>
      <c r="I2499" t="s">
        <v>16</v>
      </c>
      <c r="J2499">
        <v>3.9</v>
      </c>
      <c r="K2499" t="s">
        <v>26</v>
      </c>
      <c r="L2499" t="s">
        <v>23</v>
      </c>
      <c r="M2499" t="str">
        <f>VLOOKUP(D2503,Restaurant_Master!A:B,2,FALSE)</f>
        <v>https://content.jdmagicbox.com/comp/deoria/g6/9999p5568.5568.200119143033.m4g6/catalogue/biryani-house-deoria-ho-deoria-mktc2xph0o.jpg</v>
      </c>
    </row>
    <row r="2500" spans="1:13" x14ac:dyDescent="0.3">
      <c r="A2500" t="s">
        <v>2530</v>
      </c>
      <c r="B2500" s="1">
        <v>45472</v>
      </c>
      <c r="C2500" t="s">
        <v>20</v>
      </c>
      <c r="D2500" t="s">
        <v>38</v>
      </c>
      <c r="E2500">
        <v>18</v>
      </c>
      <c r="F2500" t="s">
        <v>28</v>
      </c>
      <c r="G2500">
        <v>747.72</v>
      </c>
      <c r="H2500">
        <v>25</v>
      </c>
      <c r="I2500" t="s">
        <v>22</v>
      </c>
      <c r="J2500">
        <v>4.9000000000000004</v>
      </c>
      <c r="K2500" t="s">
        <v>17</v>
      </c>
      <c r="L2500" t="s">
        <v>23</v>
      </c>
      <c r="M2500" t="str">
        <f>VLOOKUP(D2504,Restaurant_Master!A:B,2,FALSE)</f>
        <v>https://dynamic-media-cdn.tripadvisor.com/media/photo-o/1c/e7/04/0d/front-of-the-local-easily.jpg</v>
      </c>
    </row>
    <row r="2501" spans="1:13" x14ac:dyDescent="0.3">
      <c r="A2501" t="s">
        <v>2531</v>
      </c>
      <c r="B2501" s="1">
        <v>45586</v>
      </c>
      <c r="C2501" t="s">
        <v>36</v>
      </c>
      <c r="D2501" t="s">
        <v>32</v>
      </c>
      <c r="E2501">
        <v>32</v>
      </c>
      <c r="F2501" t="s">
        <v>15</v>
      </c>
      <c r="G2501">
        <v>661.24</v>
      </c>
      <c r="H2501">
        <v>23</v>
      </c>
      <c r="I2501" t="s">
        <v>22</v>
      </c>
      <c r="J2501">
        <v>4.7</v>
      </c>
      <c r="K2501" t="s">
        <v>17</v>
      </c>
      <c r="L2501" t="s">
        <v>18</v>
      </c>
      <c r="M2501" t="str">
        <f>VLOOKUP(D2505,Restaurant_Master!A:B,2,FALSE)</f>
        <v>https://dineout-media-assets.swiggy.com/swiggy/image/upload/fl_lossy,f_auto,q_auto/v1660793737/fdqxvxcxg1wtdwvyv45v.jpg</v>
      </c>
    </row>
    <row r="2502" spans="1:13" x14ac:dyDescent="0.3">
      <c r="A2502" t="s">
        <v>2532</v>
      </c>
      <c r="B2502" s="1">
        <v>45446</v>
      </c>
      <c r="C2502" t="s">
        <v>34</v>
      </c>
      <c r="D2502" t="s">
        <v>25</v>
      </c>
      <c r="E2502">
        <v>30</v>
      </c>
      <c r="F2502" t="s">
        <v>28</v>
      </c>
      <c r="G2502">
        <v>1042.1099999999999</v>
      </c>
      <c r="H2502">
        <v>54</v>
      </c>
      <c r="I2502" t="s">
        <v>16</v>
      </c>
      <c r="J2502">
        <v>2.8</v>
      </c>
      <c r="K2502" t="s">
        <v>29</v>
      </c>
      <c r="L2502" t="s">
        <v>23</v>
      </c>
      <c r="M2502" t="str">
        <f>VLOOKUP(D2506,Restaurant_Master!A:B,2,FALSE)</f>
        <v>https://media-cdn.tripadvisor.com/media/photo-s/1c/c7/97/b6/photo6jpg.jpg</v>
      </c>
    </row>
    <row r="2503" spans="1:13" x14ac:dyDescent="0.3">
      <c r="A2503" t="s">
        <v>2533</v>
      </c>
      <c r="B2503" s="1">
        <v>45480</v>
      </c>
      <c r="C2503" t="s">
        <v>43</v>
      </c>
      <c r="D2503" t="s">
        <v>32</v>
      </c>
      <c r="E2503">
        <v>34</v>
      </c>
      <c r="F2503" t="s">
        <v>15</v>
      </c>
      <c r="G2503">
        <v>579.83000000000004</v>
      </c>
      <c r="H2503">
        <v>57</v>
      </c>
      <c r="I2503" t="s">
        <v>16</v>
      </c>
      <c r="J2503">
        <v>4</v>
      </c>
      <c r="K2503" t="s">
        <v>17</v>
      </c>
      <c r="L2503" t="s">
        <v>18</v>
      </c>
      <c r="M2503" t="str">
        <f>VLOOKUP(D2507,Restaurant_Master!A:B,2,FALSE)</f>
        <v>https://www.chatswoodinterchange.com/storages/2018/08/Sushi-World_666x448.jpg</v>
      </c>
    </row>
    <row r="2504" spans="1:13" x14ac:dyDescent="0.3">
      <c r="A2504" t="s">
        <v>2534</v>
      </c>
      <c r="B2504" s="1">
        <v>45389</v>
      </c>
      <c r="C2504" t="s">
        <v>13</v>
      </c>
      <c r="D2504" t="s">
        <v>21</v>
      </c>
      <c r="E2504">
        <v>46</v>
      </c>
      <c r="F2504" t="s">
        <v>15</v>
      </c>
      <c r="G2504">
        <v>1153.32</v>
      </c>
      <c r="H2504">
        <v>26</v>
      </c>
      <c r="I2504" t="s">
        <v>22</v>
      </c>
      <c r="J2504">
        <v>3.2</v>
      </c>
      <c r="K2504" t="s">
        <v>17</v>
      </c>
      <c r="L2504" t="s">
        <v>23</v>
      </c>
      <c r="M2504" t="str">
        <f>VLOOKUP(D2508,Restaurant_Master!A:B,2,FALSE)</f>
        <v>https://content.jdmagicbox.com/comp/deoria/g6/9999p5568.5568.200119143033.m4g6/catalogue/biryani-house-deoria-ho-deoria-mktc2xph0o.jpg</v>
      </c>
    </row>
    <row r="2505" spans="1:13" x14ac:dyDescent="0.3">
      <c r="A2505" t="s">
        <v>2535</v>
      </c>
      <c r="B2505" s="1">
        <v>45395</v>
      </c>
      <c r="C2505" t="s">
        <v>34</v>
      </c>
      <c r="D2505" t="s">
        <v>14</v>
      </c>
      <c r="E2505">
        <v>24</v>
      </c>
      <c r="F2505" t="s">
        <v>15</v>
      </c>
      <c r="G2505">
        <v>854.82</v>
      </c>
      <c r="H2505">
        <v>25</v>
      </c>
      <c r="I2505" t="s">
        <v>22</v>
      </c>
      <c r="J2505">
        <v>3.1</v>
      </c>
      <c r="K2505" t="s">
        <v>29</v>
      </c>
      <c r="L2505" t="s">
        <v>18</v>
      </c>
      <c r="M2505" t="str">
        <f>VLOOKUP(D2509,Restaurant_Master!A:B,2,FALSE)</f>
        <v>https://www.chatswoodinterchange.com/storages/2018/08/Sushi-World_666x448.jpg</v>
      </c>
    </row>
    <row r="2506" spans="1:13" x14ac:dyDescent="0.3">
      <c r="A2506" t="s">
        <v>2536</v>
      </c>
      <c r="B2506" s="1">
        <v>45376</v>
      </c>
      <c r="C2506" t="s">
        <v>20</v>
      </c>
      <c r="D2506" t="s">
        <v>25</v>
      </c>
      <c r="E2506">
        <v>60</v>
      </c>
      <c r="F2506" t="s">
        <v>28</v>
      </c>
      <c r="G2506">
        <v>974.84</v>
      </c>
      <c r="H2506">
        <v>54</v>
      </c>
      <c r="I2506" t="s">
        <v>16</v>
      </c>
      <c r="J2506">
        <v>3.1</v>
      </c>
      <c r="K2506" t="s">
        <v>29</v>
      </c>
      <c r="L2506" t="s">
        <v>23</v>
      </c>
      <c r="M2506" t="str">
        <f>VLOOKUP(D2510,Restaurant_Master!A:B,2,FALSE)</f>
        <v>https://dynamic-media-cdn.tripadvisor.com/media/photo-o/1c/e7/04/0d/front-of-the-local-easily.jpg</v>
      </c>
    </row>
    <row r="2507" spans="1:13" x14ac:dyDescent="0.3">
      <c r="A2507" t="s">
        <v>2537</v>
      </c>
      <c r="B2507" s="1">
        <v>45292</v>
      </c>
      <c r="C2507" t="s">
        <v>34</v>
      </c>
      <c r="D2507" t="s">
        <v>38</v>
      </c>
      <c r="E2507">
        <v>19</v>
      </c>
      <c r="F2507" t="s">
        <v>28</v>
      </c>
      <c r="G2507">
        <v>170.99</v>
      </c>
      <c r="H2507">
        <v>52</v>
      </c>
      <c r="I2507" t="s">
        <v>16</v>
      </c>
      <c r="J2507">
        <v>2.5</v>
      </c>
      <c r="K2507" t="s">
        <v>41</v>
      </c>
      <c r="L2507" t="s">
        <v>18</v>
      </c>
      <c r="M2507" t="str">
        <f>VLOOKUP(D2511,Restaurant_Master!A:B,2,FALSE)</f>
        <v>https://content.jdmagicbox.com/comp/deoria/g6/9999p5568.5568.200119143033.m4g6/catalogue/biryani-house-deoria-ho-deoria-mktc2xph0o.jpg</v>
      </c>
    </row>
    <row r="2508" spans="1:13" x14ac:dyDescent="0.3">
      <c r="A2508" t="s">
        <v>2538</v>
      </c>
      <c r="B2508" s="1">
        <v>45323</v>
      </c>
      <c r="C2508" t="s">
        <v>36</v>
      </c>
      <c r="D2508" t="s">
        <v>32</v>
      </c>
      <c r="E2508">
        <v>48</v>
      </c>
      <c r="F2508" t="s">
        <v>28</v>
      </c>
      <c r="G2508">
        <v>882.42</v>
      </c>
      <c r="H2508">
        <v>60</v>
      </c>
      <c r="I2508" t="s">
        <v>16</v>
      </c>
      <c r="J2508">
        <v>2.8</v>
      </c>
      <c r="K2508" t="s">
        <v>29</v>
      </c>
      <c r="L2508" t="s">
        <v>18</v>
      </c>
      <c r="M2508" t="str">
        <f>VLOOKUP(D2512,Restaurant_Master!A:B,2,FALSE)</f>
        <v>https://dynamic-media-cdn.tripadvisor.com/media/photo-o/1c/e7/04/0d/front-of-the-local-easily.jpg</v>
      </c>
    </row>
    <row r="2509" spans="1:13" x14ac:dyDescent="0.3">
      <c r="A2509" t="s">
        <v>2539</v>
      </c>
      <c r="B2509" s="1">
        <v>45445</v>
      </c>
      <c r="C2509" t="s">
        <v>43</v>
      </c>
      <c r="D2509" t="s">
        <v>38</v>
      </c>
      <c r="E2509">
        <v>39</v>
      </c>
      <c r="F2509" t="s">
        <v>28</v>
      </c>
      <c r="G2509">
        <v>716.29</v>
      </c>
      <c r="H2509">
        <v>27</v>
      </c>
      <c r="I2509" t="s">
        <v>22</v>
      </c>
      <c r="J2509">
        <v>3.1</v>
      </c>
      <c r="K2509" t="s">
        <v>41</v>
      </c>
      <c r="L2509" t="s">
        <v>18</v>
      </c>
      <c r="M2509" t="str">
        <f>VLOOKUP(D2513,Restaurant_Master!A:B,2,FALSE)</f>
        <v>https://www.chatswoodinterchange.com/storages/2018/08/Sushi-World_666x448.jpg</v>
      </c>
    </row>
    <row r="2510" spans="1:13" x14ac:dyDescent="0.3">
      <c r="A2510" t="s">
        <v>2540</v>
      </c>
      <c r="B2510" s="1">
        <v>45514</v>
      </c>
      <c r="C2510" t="s">
        <v>34</v>
      </c>
      <c r="D2510" t="s">
        <v>21</v>
      </c>
      <c r="E2510">
        <v>29</v>
      </c>
      <c r="F2510" t="s">
        <v>28</v>
      </c>
      <c r="G2510">
        <v>646.65</v>
      </c>
      <c r="H2510">
        <v>25</v>
      </c>
      <c r="I2510" t="s">
        <v>22</v>
      </c>
      <c r="J2510">
        <v>4.2</v>
      </c>
      <c r="K2510" t="s">
        <v>17</v>
      </c>
      <c r="L2510" t="s">
        <v>23</v>
      </c>
      <c r="M2510" t="str">
        <f>VLOOKUP(D2514,Restaurant_Master!A:B,2,FALSE)</f>
        <v>https://media-cdn.tripadvisor.com/media/photo-s/1c/c7/97/b6/photo6jpg.jpg</v>
      </c>
    </row>
    <row r="2511" spans="1:13" x14ac:dyDescent="0.3">
      <c r="A2511" t="s">
        <v>2541</v>
      </c>
      <c r="B2511" s="1">
        <v>45555</v>
      </c>
      <c r="C2511" t="s">
        <v>36</v>
      </c>
      <c r="D2511" t="s">
        <v>32</v>
      </c>
      <c r="E2511">
        <v>55</v>
      </c>
      <c r="F2511" t="s">
        <v>15</v>
      </c>
      <c r="G2511">
        <v>1093.44</v>
      </c>
      <c r="H2511">
        <v>34</v>
      </c>
      <c r="I2511" t="s">
        <v>22</v>
      </c>
      <c r="J2511">
        <v>4.5</v>
      </c>
      <c r="K2511" t="s">
        <v>17</v>
      </c>
      <c r="L2511" t="s">
        <v>18</v>
      </c>
      <c r="M2511" t="str">
        <f>VLOOKUP(D2515,Restaurant_Master!A:B,2,FALSE)</f>
        <v>https://media-cdn.tripadvisor.com/media/photo-s/1c/c7/97/b6/photo6jpg.jpg</v>
      </c>
    </row>
    <row r="2512" spans="1:13" x14ac:dyDescent="0.3">
      <c r="A2512" t="s">
        <v>2542</v>
      </c>
      <c r="B2512" s="1">
        <v>45514</v>
      </c>
      <c r="C2512" t="s">
        <v>43</v>
      </c>
      <c r="D2512" t="s">
        <v>21</v>
      </c>
      <c r="E2512">
        <v>24</v>
      </c>
      <c r="F2512" t="s">
        <v>15</v>
      </c>
      <c r="G2512">
        <v>314.3</v>
      </c>
      <c r="H2512">
        <v>54</v>
      </c>
      <c r="I2512" t="s">
        <v>16</v>
      </c>
      <c r="J2512">
        <v>4.5999999999999996</v>
      </c>
      <c r="K2512" t="s">
        <v>17</v>
      </c>
      <c r="L2512" t="s">
        <v>23</v>
      </c>
      <c r="M2512" t="str">
        <f>VLOOKUP(D2516,Restaurant_Master!A:B,2,FALSE)</f>
        <v>https://dineout-media-assets.swiggy.com/swiggy/image/upload/fl_lossy,f_auto,q_auto/v1660793737/fdqxvxcxg1wtdwvyv45v.jpg</v>
      </c>
    </row>
    <row r="2513" spans="1:13" x14ac:dyDescent="0.3">
      <c r="A2513" t="s">
        <v>2543</v>
      </c>
      <c r="B2513" s="1">
        <v>45343</v>
      </c>
      <c r="C2513" t="s">
        <v>36</v>
      </c>
      <c r="D2513" t="s">
        <v>38</v>
      </c>
      <c r="E2513">
        <v>21</v>
      </c>
      <c r="F2513" t="s">
        <v>15</v>
      </c>
      <c r="G2513">
        <v>707.27</v>
      </c>
      <c r="H2513">
        <v>26</v>
      </c>
      <c r="I2513" t="s">
        <v>22</v>
      </c>
      <c r="J2513">
        <v>3.2</v>
      </c>
      <c r="K2513" t="s">
        <v>17</v>
      </c>
      <c r="L2513" t="s">
        <v>18</v>
      </c>
      <c r="M2513" t="str">
        <f>VLOOKUP(D2517,Restaurant_Master!A:B,2,FALSE)</f>
        <v>https://dynamic-media-cdn.tripadvisor.com/media/photo-o/1c/e7/04/0d/front-of-the-local-easily.jpg</v>
      </c>
    </row>
    <row r="2514" spans="1:13" x14ac:dyDescent="0.3">
      <c r="A2514" t="s">
        <v>2544</v>
      </c>
      <c r="B2514" s="1">
        <v>45307</v>
      </c>
      <c r="C2514" t="s">
        <v>13</v>
      </c>
      <c r="D2514" t="s">
        <v>25</v>
      </c>
      <c r="E2514">
        <v>27</v>
      </c>
      <c r="F2514" t="s">
        <v>28</v>
      </c>
      <c r="G2514">
        <v>1020.98</v>
      </c>
      <c r="H2514">
        <v>24</v>
      </c>
      <c r="I2514" t="s">
        <v>22</v>
      </c>
      <c r="J2514">
        <v>4.0999999999999996</v>
      </c>
      <c r="K2514" t="s">
        <v>29</v>
      </c>
      <c r="L2514" t="s">
        <v>18</v>
      </c>
      <c r="M2514" t="str">
        <f>VLOOKUP(D2518,Restaurant_Master!A:B,2,FALSE)</f>
        <v>https://media-cdn.tripadvisor.com/media/photo-s/1c/c7/97/b6/photo6jpg.jpg</v>
      </c>
    </row>
    <row r="2515" spans="1:13" x14ac:dyDescent="0.3">
      <c r="A2515" t="s">
        <v>2545</v>
      </c>
      <c r="B2515" s="1">
        <v>45451</v>
      </c>
      <c r="C2515" t="s">
        <v>36</v>
      </c>
      <c r="D2515" t="s">
        <v>25</v>
      </c>
      <c r="E2515">
        <v>46</v>
      </c>
      <c r="F2515" t="s">
        <v>15</v>
      </c>
      <c r="G2515">
        <v>992.87</v>
      </c>
      <c r="H2515">
        <v>40</v>
      </c>
      <c r="I2515" t="s">
        <v>22</v>
      </c>
      <c r="J2515">
        <v>4.7</v>
      </c>
      <c r="K2515" t="s">
        <v>17</v>
      </c>
      <c r="L2515" t="s">
        <v>23</v>
      </c>
      <c r="M2515" t="str">
        <f>VLOOKUP(D2519,Restaurant_Master!A:B,2,FALSE)</f>
        <v>https://media-cdn.tripadvisor.com/media/photo-s/1c/c7/97/b6/photo6jpg.jpg</v>
      </c>
    </row>
    <row r="2516" spans="1:13" x14ac:dyDescent="0.3">
      <c r="A2516" t="s">
        <v>2546</v>
      </c>
      <c r="B2516" s="1">
        <v>45611</v>
      </c>
      <c r="C2516" t="s">
        <v>43</v>
      </c>
      <c r="D2516" t="s">
        <v>14</v>
      </c>
      <c r="E2516">
        <v>53</v>
      </c>
      <c r="F2516" t="s">
        <v>28</v>
      </c>
      <c r="G2516">
        <v>242.67</v>
      </c>
      <c r="H2516">
        <v>52</v>
      </c>
      <c r="I2516" t="s">
        <v>16</v>
      </c>
      <c r="J2516">
        <v>3.5</v>
      </c>
      <c r="K2516" t="s">
        <v>17</v>
      </c>
      <c r="L2516" t="s">
        <v>18</v>
      </c>
      <c r="M2516" t="str">
        <f>VLOOKUP(D2520,Restaurant_Master!A:B,2,FALSE)</f>
        <v>https://media-cdn.tripadvisor.com/media/photo-s/1c/c7/97/b6/photo6jpg.jpg</v>
      </c>
    </row>
    <row r="2517" spans="1:13" x14ac:dyDescent="0.3">
      <c r="A2517" t="s">
        <v>2547</v>
      </c>
      <c r="B2517" s="1">
        <v>45454</v>
      </c>
      <c r="C2517" t="s">
        <v>13</v>
      </c>
      <c r="D2517" t="s">
        <v>21</v>
      </c>
      <c r="E2517">
        <v>44</v>
      </c>
      <c r="F2517" t="s">
        <v>15</v>
      </c>
      <c r="G2517">
        <v>163.44</v>
      </c>
      <c r="H2517">
        <v>34</v>
      </c>
      <c r="I2517" t="s">
        <v>22</v>
      </c>
      <c r="J2517">
        <v>3</v>
      </c>
      <c r="K2517" t="s">
        <v>29</v>
      </c>
      <c r="L2517" t="s">
        <v>18</v>
      </c>
      <c r="M2517" t="str">
        <f>VLOOKUP(D2521,Restaurant_Master!A:B,2,FALSE)</f>
        <v>https://dineout-media-assets.swiggy.com/swiggy/image/upload/fl_lossy,f_auto,q_auto/v1660793737/fdqxvxcxg1wtdwvyv45v.jpg</v>
      </c>
    </row>
    <row r="2518" spans="1:13" x14ac:dyDescent="0.3">
      <c r="A2518" t="s">
        <v>2548</v>
      </c>
      <c r="B2518" s="1">
        <v>45467</v>
      </c>
      <c r="C2518" t="s">
        <v>43</v>
      </c>
      <c r="D2518" t="s">
        <v>25</v>
      </c>
      <c r="E2518">
        <v>33</v>
      </c>
      <c r="F2518" t="s">
        <v>15</v>
      </c>
      <c r="G2518">
        <v>609.57000000000005</v>
      </c>
      <c r="H2518">
        <v>50</v>
      </c>
      <c r="I2518" t="s">
        <v>16</v>
      </c>
      <c r="J2518">
        <v>3.1</v>
      </c>
      <c r="K2518" t="s">
        <v>41</v>
      </c>
      <c r="L2518" t="s">
        <v>23</v>
      </c>
      <c r="M2518" t="str">
        <f>VLOOKUP(D2522,Restaurant_Master!A:B,2,FALSE)</f>
        <v>https://content.jdmagicbox.com/comp/deoria/g6/9999p5568.5568.200119143033.m4g6/catalogue/biryani-house-deoria-ho-deoria-mktc2xph0o.jpg</v>
      </c>
    </row>
    <row r="2519" spans="1:13" x14ac:dyDescent="0.3">
      <c r="A2519" t="s">
        <v>2549</v>
      </c>
      <c r="B2519" s="1">
        <v>45356</v>
      </c>
      <c r="C2519" t="s">
        <v>36</v>
      </c>
      <c r="D2519" t="s">
        <v>25</v>
      </c>
      <c r="E2519">
        <v>24</v>
      </c>
      <c r="F2519" t="s">
        <v>15</v>
      </c>
      <c r="G2519">
        <v>949.59</v>
      </c>
      <c r="H2519">
        <v>37</v>
      </c>
      <c r="I2519" t="s">
        <v>22</v>
      </c>
      <c r="J2519">
        <v>4.7</v>
      </c>
      <c r="K2519" t="s">
        <v>17</v>
      </c>
      <c r="L2519" t="s">
        <v>23</v>
      </c>
      <c r="M2519" t="str">
        <f>VLOOKUP(D2523,Restaurant_Master!A:B,2,FALSE)</f>
        <v>https://www.chatswoodinterchange.com/storages/2018/08/Sushi-World_666x448.jpg</v>
      </c>
    </row>
    <row r="2520" spans="1:13" x14ac:dyDescent="0.3">
      <c r="A2520" t="s">
        <v>2550</v>
      </c>
      <c r="B2520" s="1">
        <v>45583</v>
      </c>
      <c r="C2520" t="s">
        <v>34</v>
      </c>
      <c r="D2520" t="s">
        <v>25</v>
      </c>
      <c r="E2520">
        <v>49</v>
      </c>
      <c r="F2520" t="s">
        <v>15</v>
      </c>
      <c r="G2520">
        <v>337.33</v>
      </c>
      <c r="H2520">
        <v>35</v>
      </c>
      <c r="I2520" t="s">
        <v>22</v>
      </c>
      <c r="J2520">
        <v>4.5999999999999996</v>
      </c>
      <c r="K2520" t="s">
        <v>17</v>
      </c>
      <c r="L2520" t="s">
        <v>23</v>
      </c>
      <c r="M2520" t="str">
        <f>VLOOKUP(D2524,Restaurant_Master!A:B,2,FALSE)</f>
        <v>https://www.chatswoodinterchange.com/storages/2018/08/Sushi-World_666x448.jpg</v>
      </c>
    </row>
    <row r="2521" spans="1:13" x14ac:dyDescent="0.3">
      <c r="A2521" t="s">
        <v>2551</v>
      </c>
      <c r="B2521" s="1">
        <v>45345</v>
      </c>
      <c r="C2521" t="s">
        <v>36</v>
      </c>
      <c r="D2521" t="s">
        <v>14</v>
      </c>
      <c r="E2521">
        <v>38</v>
      </c>
      <c r="F2521" t="s">
        <v>15</v>
      </c>
      <c r="G2521">
        <v>697.83</v>
      </c>
      <c r="H2521">
        <v>48</v>
      </c>
      <c r="I2521" t="s">
        <v>16</v>
      </c>
      <c r="J2521">
        <v>4.9000000000000004</v>
      </c>
      <c r="K2521" t="s">
        <v>29</v>
      </c>
      <c r="L2521" t="s">
        <v>23</v>
      </c>
      <c r="M2521" t="str">
        <f>VLOOKUP(D2525,Restaurant_Master!A:B,2,FALSE)</f>
        <v>https://dynamic-media-cdn.tripadvisor.com/media/photo-o/1c/e7/04/0d/front-of-the-local-easily.jpg</v>
      </c>
    </row>
    <row r="2522" spans="1:13" x14ac:dyDescent="0.3">
      <c r="A2522" t="s">
        <v>2552</v>
      </c>
      <c r="B2522" s="1">
        <v>45627</v>
      </c>
      <c r="C2522" t="s">
        <v>43</v>
      </c>
      <c r="D2522" t="s">
        <v>32</v>
      </c>
      <c r="E2522">
        <v>40</v>
      </c>
      <c r="F2522" t="s">
        <v>28</v>
      </c>
      <c r="G2522">
        <v>659.43</v>
      </c>
      <c r="H2522">
        <v>46</v>
      </c>
      <c r="I2522" t="s">
        <v>16</v>
      </c>
      <c r="J2522">
        <v>4</v>
      </c>
      <c r="K2522" t="s">
        <v>17</v>
      </c>
      <c r="L2522" t="s">
        <v>18</v>
      </c>
      <c r="M2522" t="str">
        <f>VLOOKUP(D2526,Restaurant_Master!A:B,2,FALSE)</f>
        <v>https://dynamic-media-cdn.tripadvisor.com/media/photo-o/1c/e7/04/0d/front-of-the-local-easily.jpg</v>
      </c>
    </row>
    <row r="2523" spans="1:13" x14ac:dyDescent="0.3">
      <c r="A2523" t="s">
        <v>2553</v>
      </c>
      <c r="B2523" s="1">
        <v>45434</v>
      </c>
      <c r="C2523" t="s">
        <v>34</v>
      </c>
      <c r="D2523" t="s">
        <v>38</v>
      </c>
      <c r="E2523">
        <v>43</v>
      </c>
      <c r="F2523" t="s">
        <v>15</v>
      </c>
      <c r="G2523">
        <v>329.74</v>
      </c>
      <c r="H2523">
        <v>54</v>
      </c>
      <c r="I2523" t="s">
        <v>16</v>
      </c>
      <c r="J2523">
        <v>3.6</v>
      </c>
      <c r="K2523" t="s">
        <v>29</v>
      </c>
      <c r="L2523" t="s">
        <v>18</v>
      </c>
      <c r="M2523" t="str">
        <f>VLOOKUP(D2527,Restaurant_Master!A:B,2,FALSE)</f>
        <v>https://media-cdn.tripadvisor.com/media/photo-s/1c/c7/97/b6/photo6jpg.jpg</v>
      </c>
    </row>
    <row r="2524" spans="1:13" x14ac:dyDescent="0.3">
      <c r="A2524" t="s">
        <v>2554</v>
      </c>
      <c r="B2524" s="1">
        <v>45546</v>
      </c>
      <c r="C2524" t="s">
        <v>13</v>
      </c>
      <c r="D2524" t="s">
        <v>38</v>
      </c>
      <c r="E2524">
        <v>54</v>
      </c>
      <c r="F2524" t="s">
        <v>28</v>
      </c>
      <c r="G2524">
        <v>255.66</v>
      </c>
      <c r="H2524">
        <v>21</v>
      </c>
      <c r="I2524" t="s">
        <v>22</v>
      </c>
      <c r="J2524">
        <v>4</v>
      </c>
      <c r="K2524" t="s">
        <v>41</v>
      </c>
      <c r="L2524" t="s">
        <v>23</v>
      </c>
      <c r="M2524" t="str">
        <f>VLOOKUP(D2528,Restaurant_Master!A:B,2,FALSE)</f>
        <v>https://content.jdmagicbox.com/comp/deoria/g6/9999p5568.5568.200119143033.m4g6/catalogue/biryani-house-deoria-ho-deoria-mktc2xph0o.jpg</v>
      </c>
    </row>
    <row r="2525" spans="1:13" x14ac:dyDescent="0.3">
      <c r="A2525" t="s">
        <v>2555</v>
      </c>
      <c r="B2525" s="1">
        <v>45520</v>
      </c>
      <c r="C2525" t="s">
        <v>43</v>
      </c>
      <c r="D2525" t="s">
        <v>21</v>
      </c>
      <c r="E2525">
        <v>48</v>
      </c>
      <c r="F2525" t="s">
        <v>15</v>
      </c>
      <c r="G2525">
        <v>622.5</v>
      </c>
      <c r="H2525">
        <v>22</v>
      </c>
      <c r="I2525" t="s">
        <v>22</v>
      </c>
      <c r="J2525">
        <v>4</v>
      </c>
      <c r="K2525" t="s">
        <v>17</v>
      </c>
      <c r="L2525" t="s">
        <v>18</v>
      </c>
      <c r="M2525" t="str">
        <f>VLOOKUP(D2529,Restaurant_Master!A:B,2,FALSE)</f>
        <v>https://www.chatswoodinterchange.com/storages/2018/08/Sushi-World_666x448.jpg</v>
      </c>
    </row>
    <row r="2526" spans="1:13" x14ac:dyDescent="0.3">
      <c r="A2526" t="s">
        <v>2556</v>
      </c>
      <c r="B2526" s="1">
        <v>45310</v>
      </c>
      <c r="C2526" t="s">
        <v>20</v>
      </c>
      <c r="D2526" t="s">
        <v>21</v>
      </c>
      <c r="E2526">
        <v>19</v>
      </c>
      <c r="F2526" t="s">
        <v>28</v>
      </c>
      <c r="G2526">
        <v>256.44</v>
      </c>
      <c r="H2526">
        <v>30</v>
      </c>
      <c r="I2526" t="s">
        <v>22</v>
      </c>
      <c r="J2526">
        <v>4.8</v>
      </c>
      <c r="K2526" t="s">
        <v>29</v>
      </c>
      <c r="L2526" t="s">
        <v>18</v>
      </c>
      <c r="M2526" t="str">
        <f>VLOOKUP(D2530,Restaurant_Master!A:B,2,FALSE)</f>
        <v>https://dineout-media-assets.swiggy.com/swiggy/image/upload/fl_lossy,f_auto,q_auto/v1660793737/fdqxvxcxg1wtdwvyv45v.jpg</v>
      </c>
    </row>
    <row r="2527" spans="1:13" x14ac:dyDescent="0.3">
      <c r="A2527" t="s">
        <v>2557</v>
      </c>
      <c r="B2527" s="1">
        <v>45481</v>
      </c>
      <c r="C2527" t="s">
        <v>36</v>
      </c>
      <c r="D2527" t="s">
        <v>25</v>
      </c>
      <c r="E2527">
        <v>38</v>
      </c>
      <c r="F2527" t="s">
        <v>28</v>
      </c>
      <c r="G2527">
        <v>306.91000000000003</v>
      </c>
      <c r="H2527">
        <v>54</v>
      </c>
      <c r="I2527" t="s">
        <v>16</v>
      </c>
      <c r="J2527">
        <v>2.9</v>
      </c>
      <c r="K2527" t="s">
        <v>29</v>
      </c>
      <c r="L2527" t="s">
        <v>23</v>
      </c>
      <c r="M2527" t="str">
        <f>VLOOKUP(D2531,Restaurant_Master!A:B,2,FALSE)</f>
        <v>https://media-cdn.tripadvisor.com/media/photo-s/1c/c7/97/b6/photo6jpg.jpg</v>
      </c>
    </row>
    <row r="2528" spans="1:13" x14ac:dyDescent="0.3">
      <c r="A2528" t="s">
        <v>2558</v>
      </c>
      <c r="B2528" s="1">
        <v>45567</v>
      </c>
      <c r="C2528" t="s">
        <v>20</v>
      </c>
      <c r="D2528" t="s">
        <v>32</v>
      </c>
      <c r="E2528">
        <v>26</v>
      </c>
      <c r="F2528" t="s">
        <v>28</v>
      </c>
      <c r="G2528">
        <v>462.66</v>
      </c>
      <c r="H2528">
        <v>58</v>
      </c>
      <c r="I2528" t="s">
        <v>16</v>
      </c>
      <c r="J2528">
        <v>2.6</v>
      </c>
      <c r="K2528" t="s">
        <v>17</v>
      </c>
      <c r="L2528" t="s">
        <v>18</v>
      </c>
      <c r="M2528" t="str">
        <f>VLOOKUP(D2532,Restaurant_Master!A:B,2,FALSE)</f>
        <v>https://dineout-media-assets.swiggy.com/swiggy/image/upload/fl_lossy,f_auto,q_auto/v1660793737/fdqxvxcxg1wtdwvyv45v.jpg</v>
      </c>
    </row>
    <row r="2529" spans="1:13" x14ac:dyDescent="0.3">
      <c r="A2529" t="s">
        <v>2559</v>
      </c>
      <c r="B2529" s="1">
        <v>45515</v>
      </c>
      <c r="C2529" t="s">
        <v>36</v>
      </c>
      <c r="D2529" t="s">
        <v>38</v>
      </c>
      <c r="E2529">
        <v>39</v>
      </c>
      <c r="F2529" t="s">
        <v>15</v>
      </c>
      <c r="G2529">
        <v>457.09</v>
      </c>
      <c r="H2529">
        <v>29</v>
      </c>
      <c r="I2529" t="s">
        <v>22</v>
      </c>
      <c r="J2529">
        <v>3.4</v>
      </c>
      <c r="K2529" t="s">
        <v>26</v>
      </c>
      <c r="L2529" t="s">
        <v>23</v>
      </c>
      <c r="M2529" t="str">
        <f>VLOOKUP(D2533,Restaurant_Master!A:B,2,FALSE)</f>
        <v>https://dineout-media-assets.swiggy.com/swiggy/image/upload/fl_lossy,f_auto,q_auto/v1660793737/fdqxvxcxg1wtdwvyv45v.jpg</v>
      </c>
    </row>
    <row r="2530" spans="1:13" x14ac:dyDescent="0.3">
      <c r="A2530" t="s">
        <v>2560</v>
      </c>
      <c r="B2530" s="1">
        <v>45322</v>
      </c>
      <c r="C2530" t="s">
        <v>13</v>
      </c>
      <c r="D2530" t="s">
        <v>14</v>
      </c>
      <c r="E2530">
        <v>37</v>
      </c>
      <c r="F2530" t="s">
        <v>28</v>
      </c>
      <c r="G2530">
        <v>212.05</v>
      </c>
      <c r="H2530">
        <v>53</v>
      </c>
      <c r="I2530" t="s">
        <v>16</v>
      </c>
      <c r="J2530">
        <v>3.9</v>
      </c>
      <c r="K2530" t="s">
        <v>41</v>
      </c>
      <c r="L2530" t="s">
        <v>23</v>
      </c>
      <c r="M2530" t="str">
        <f>VLOOKUP(D2534,Restaurant_Master!A:B,2,FALSE)</f>
        <v>https://content.jdmagicbox.com/comp/deoria/g6/9999p5568.5568.200119143033.m4g6/catalogue/biryani-house-deoria-ho-deoria-mktc2xph0o.jpg</v>
      </c>
    </row>
    <row r="2531" spans="1:13" x14ac:dyDescent="0.3">
      <c r="A2531" t="s">
        <v>2561</v>
      </c>
      <c r="B2531" s="1">
        <v>45470</v>
      </c>
      <c r="C2531" t="s">
        <v>20</v>
      </c>
      <c r="D2531" t="s">
        <v>25</v>
      </c>
      <c r="E2531">
        <v>34</v>
      </c>
      <c r="F2531" t="s">
        <v>28</v>
      </c>
      <c r="G2531">
        <v>470.8</v>
      </c>
      <c r="H2531">
        <v>31</v>
      </c>
      <c r="I2531" t="s">
        <v>22</v>
      </c>
      <c r="J2531">
        <v>4.0999999999999996</v>
      </c>
      <c r="K2531" t="s">
        <v>41</v>
      </c>
      <c r="L2531" t="s">
        <v>18</v>
      </c>
      <c r="M2531" t="str">
        <f>VLOOKUP(D2535,Restaurant_Master!A:B,2,FALSE)</f>
        <v>https://www.chatswoodinterchange.com/storages/2018/08/Sushi-World_666x448.jpg</v>
      </c>
    </row>
    <row r="2532" spans="1:13" x14ac:dyDescent="0.3">
      <c r="A2532" t="s">
        <v>2562</v>
      </c>
      <c r="B2532" s="1">
        <v>45521</v>
      </c>
      <c r="C2532" t="s">
        <v>43</v>
      </c>
      <c r="D2532" t="s">
        <v>14</v>
      </c>
      <c r="E2532">
        <v>48</v>
      </c>
      <c r="F2532" t="s">
        <v>15</v>
      </c>
      <c r="G2532">
        <v>890.95</v>
      </c>
      <c r="H2532">
        <v>47</v>
      </c>
      <c r="I2532" t="s">
        <v>16</v>
      </c>
      <c r="J2532">
        <v>4.2</v>
      </c>
      <c r="K2532" t="s">
        <v>41</v>
      </c>
      <c r="L2532" t="s">
        <v>23</v>
      </c>
      <c r="M2532" t="str">
        <f>VLOOKUP(D2536,Restaurant_Master!A:B,2,FALSE)</f>
        <v>https://media-cdn.tripadvisor.com/media/photo-s/1c/c7/97/b6/photo6jpg.jpg</v>
      </c>
    </row>
    <row r="2533" spans="1:13" x14ac:dyDescent="0.3">
      <c r="A2533" t="s">
        <v>2563</v>
      </c>
      <c r="B2533" s="1">
        <v>45543</v>
      </c>
      <c r="C2533" t="s">
        <v>43</v>
      </c>
      <c r="D2533" t="s">
        <v>14</v>
      </c>
      <c r="E2533">
        <v>25</v>
      </c>
      <c r="F2533" t="s">
        <v>15</v>
      </c>
      <c r="G2533">
        <v>785.57</v>
      </c>
      <c r="H2533">
        <v>23</v>
      </c>
      <c r="I2533" t="s">
        <v>22</v>
      </c>
      <c r="J2533">
        <v>4.2</v>
      </c>
      <c r="K2533" t="s">
        <v>17</v>
      </c>
      <c r="L2533" t="s">
        <v>23</v>
      </c>
      <c r="M2533" t="str">
        <f>VLOOKUP(D2537,Restaurant_Master!A:B,2,FALSE)</f>
        <v>https://dynamic-media-cdn.tripadvisor.com/media/photo-o/1c/e7/04/0d/front-of-the-local-easily.jpg</v>
      </c>
    </row>
    <row r="2534" spans="1:13" x14ac:dyDescent="0.3">
      <c r="A2534" t="s">
        <v>2564</v>
      </c>
      <c r="B2534" s="1">
        <v>45313</v>
      </c>
      <c r="C2534" t="s">
        <v>34</v>
      </c>
      <c r="D2534" t="s">
        <v>32</v>
      </c>
      <c r="E2534">
        <v>41</v>
      </c>
      <c r="F2534" t="s">
        <v>28</v>
      </c>
      <c r="G2534">
        <v>773.34</v>
      </c>
      <c r="H2534">
        <v>56</v>
      </c>
      <c r="I2534" t="s">
        <v>16</v>
      </c>
      <c r="J2534">
        <v>2.7</v>
      </c>
      <c r="K2534" t="s">
        <v>41</v>
      </c>
      <c r="L2534" t="s">
        <v>23</v>
      </c>
      <c r="M2534" t="str">
        <f>VLOOKUP(D2538,Restaurant_Master!A:B,2,FALSE)</f>
        <v>https://dineout-media-assets.swiggy.com/swiggy/image/upload/fl_lossy,f_auto,q_auto/v1660793737/fdqxvxcxg1wtdwvyv45v.jpg</v>
      </c>
    </row>
    <row r="2535" spans="1:13" x14ac:dyDescent="0.3">
      <c r="A2535" t="s">
        <v>2565</v>
      </c>
      <c r="B2535" s="1">
        <v>45428</v>
      </c>
      <c r="C2535" t="s">
        <v>34</v>
      </c>
      <c r="D2535" t="s">
        <v>38</v>
      </c>
      <c r="E2535">
        <v>28</v>
      </c>
      <c r="F2535" t="s">
        <v>15</v>
      </c>
      <c r="G2535">
        <v>1047.1199999999999</v>
      </c>
      <c r="H2535">
        <v>53</v>
      </c>
      <c r="I2535" t="s">
        <v>16</v>
      </c>
      <c r="J2535">
        <v>3.9</v>
      </c>
      <c r="K2535" t="s">
        <v>41</v>
      </c>
      <c r="L2535" t="s">
        <v>18</v>
      </c>
      <c r="M2535" t="str">
        <f>VLOOKUP(D2539,Restaurant_Master!A:B,2,FALSE)</f>
        <v>https://dineout-media-assets.swiggy.com/swiggy/image/upload/fl_lossy,f_auto,q_auto/v1660793737/fdqxvxcxg1wtdwvyv45v.jpg</v>
      </c>
    </row>
    <row r="2536" spans="1:13" x14ac:dyDescent="0.3">
      <c r="A2536" t="s">
        <v>2566</v>
      </c>
      <c r="B2536" s="1">
        <v>45399</v>
      </c>
      <c r="C2536" t="s">
        <v>43</v>
      </c>
      <c r="D2536" t="s">
        <v>25</v>
      </c>
      <c r="E2536">
        <v>19</v>
      </c>
      <c r="F2536" t="s">
        <v>15</v>
      </c>
      <c r="G2536">
        <v>717.63</v>
      </c>
      <c r="H2536">
        <v>41</v>
      </c>
      <c r="I2536" t="s">
        <v>16</v>
      </c>
      <c r="J2536">
        <v>4.3</v>
      </c>
      <c r="K2536" t="s">
        <v>41</v>
      </c>
      <c r="L2536" t="s">
        <v>23</v>
      </c>
      <c r="M2536" t="str">
        <f>VLOOKUP(D2540,Restaurant_Master!A:B,2,FALSE)</f>
        <v>https://content.jdmagicbox.com/comp/deoria/g6/9999p5568.5568.200119143033.m4g6/catalogue/biryani-house-deoria-ho-deoria-mktc2xph0o.jpg</v>
      </c>
    </row>
    <row r="2537" spans="1:13" x14ac:dyDescent="0.3">
      <c r="A2537" t="s">
        <v>2567</v>
      </c>
      <c r="B2537" s="1">
        <v>45451</v>
      </c>
      <c r="C2537" t="s">
        <v>13</v>
      </c>
      <c r="D2537" t="s">
        <v>21</v>
      </c>
      <c r="E2537">
        <v>56</v>
      </c>
      <c r="F2537" t="s">
        <v>28</v>
      </c>
      <c r="G2537">
        <v>271.48</v>
      </c>
      <c r="H2537">
        <v>23</v>
      </c>
      <c r="I2537" t="s">
        <v>22</v>
      </c>
      <c r="J2537">
        <v>2.8</v>
      </c>
      <c r="K2537" t="s">
        <v>17</v>
      </c>
      <c r="L2537" t="s">
        <v>18</v>
      </c>
      <c r="M2537" t="str">
        <f>VLOOKUP(D2541,Restaurant_Master!A:B,2,FALSE)</f>
        <v>https://media-cdn.tripadvisor.com/media/photo-s/1c/c7/97/b6/photo6jpg.jpg</v>
      </c>
    </row>
    <row r="2538" spans="1:13" x14ac:dyDescent="0.3">
      <c r="A2538" t="s">
        <v>2568</v>
      </c>
      <c r="B2538" s="1">
        <v>45402</v>
      </c>
      <c r="C2538" t="s">
        <v>34</v>
      </c>
      <c r="D2538" t="s">
        <v>14</v>
      </c>
      <c r="E2538">
        <v>37</v>
      </c>
      <c r="F2538" t="s">
        <v>28</v>
      </c>
      <c r="G2538">
        <v>199.42</v>
      </c>
      <c r="H2538">
        <v>21</v>
      </c>
      <c r="I2538" t="s">
        <v>22</v>
      </c>
      <c r="J2538">
        <v>3.5</v>
      </c>
      <c r="K2538" t="s">
        <v>26</v>
      </c>
      <c r="L2538" t="s">
        <v>18</v>
      </c>
      <c r="M2538" t="str">
        <f>VLOOKUP(D2542,Restaurant_Master!A:B,2,FALSE)</f>
        <v>https://content.jdmagicbox.com/comp/deoria/g6/9999p5568.5568.200119143033.m4g6/catalogue/biryani-house-deoria-ho-deoria-mktc2xph0o.jpg</v>
      </c>
    </row>
    <row r="2539" spans="1:13" x14ac:dyDescent="0.3">
      <c r="A2539" t="s">
        <v>2569</v>
      </c>
      <c r="B2539" s="1">
        <v>45571</v>
      </c>
      <c r="C2539" t="s">
        <v>43</v>
      </c>
      <c r="D2539" t="s">
        <v>14</v>
      </c>
      <c r="E2539">
        <v>48</v>
      </c>
      <c r="F2539" t="s">
        <v>28</v>
      </c>
      <c r="G2539">
        <v>250.28</v>
      </c>
      <c r="H2539">
        <v>25</v>
      </c>
      <c r="I2539" t="s">
        <v>22</v>
      </c>
      <c r="J2539">
        <v>3.7</v>
      </c>
      <c r="K2539" t="s">
        <v>26</v>
      </c>
      <c r="L2539" t="s">
        <v>23</v>
      </c>
      <c r="M2539" t="str">
        <f>VLOOKUP(D2543,Restaurant_Master!A:B,2,FALSE)</f>
        <v>https://dynamic-media-cdn.tripadvisor.com/media/photo-o/1c/e7/04/0d/front-of-the-local-easily.jpg</v>
      </c>
    </row>
    <row r="2540" spans="1:13" x14ac:dyDescent="0.3">
      <c r="A2540" t="s">
        <v>2570</v>
      </c>
      <c r="B2540" s="1">
        <v>45518</v>
      </c>
      <c r="C2540" t="s">
        <v>20</v>
      </c>
      <c r="D2540" t="s">
        <v>32</v>
      </c>
      <c r="E2540">
        <v>35</v>
      </c>
      <c r="F2540" t="s">
        <v>28</v>
      </c>
      <c r="G2540">
        <v>414.77</v>
      </c>
      <c r="H2540">
        <v>40</v>
      </c>
      <c r="I2540" t="s">
        <v>22</v>
      </c>
      <c r="J2540">
        <v>3.8</v>
      </c>
      <c r="K2540" t="s">
        <v>26</v>
      </c>
      <c r="L2540" t="s">
        <v>18</v>
      </c>
      <c r="M2540" t="str">
        <f>VLOOKUP(D2544,Restaurant_Master!A:B,2,FALSE)</f>
        <v>https://media-cdn.tripadvisor.com/media/photo-s/1c/c7/97/b6/photo6jpg.jpg</v>
      </c>
    </row>
    <row r="2541" spans="1:13" x14ac:dyDescent="0.3">
      <c r="A2541" t="s">
        <v>2571</v>
      </c>
      <c r="B2541" s="1">
        <v>45427</v>
      </c>
      <c r="C2541" t="s">
        <v>43</v>
      </c>
      <c r="D2541" t="s">
        <v>25</v>
      </c>
      <c r="E2541">
        <v>56</v>
      </c>
      <c r="F2541" t="s">
        <v>28</v>
      </c>
      <c r="G2541">
        <v>1191.98</v>
      </c>
      <c r="H2541">
        <v>40</v>
      </c>
      <c r="I2541" t="s">
        <v>22</v>
      </c>
      <c r="J2541">
        <v>4.5</v>
      </c>
      <c r="K2541" t="s">
        <v>17</v>
      </c>
      <c r="L2541" t="s">
        <v>23</v>
      </c>
      <c r="M2541" t="str">
        <f>VLOOKUP(D2545,Restaurant_Master!A:B,2,FALSE)</f>
        <v>https://media-cdn.tripadvisor.com/media/photo-s/1c/c7/97/b6/photo6jpg.jpg</v>
      </c>
    </row>
    <row r="2542" spans="1:13" x14ac:dyDescent="0.3">
      <c r="A2542" t="s">
        <v>2572</v>
      </c>
      <c r="B2542" s="1">
        <v>45570</v>
      </c>
      <c r="C2542" t="s">
        <v>20</v>
      </c>
      <c r="D2542" t="s">
        <v>32</v>
      </c>
      <c r="E2542">
        <v>22</v>
      </c>
      <c r="F2542" t="s">
        <v>28</v>
      </c>
      <c r="G2542">
        <v>1128.77</v>
      </c>
      <c r="H2542">
        <v>42</v>
      </c>
      <c r="I2542" t="s">
        <v>16</v>
      </c>
      <c r="J2542">
        <v>3.4</v>
      </c>
      <c r="K2542" t="s">
        <v>29</v>
      </c>
      <c r="L2542" t="s">
        <v>23</v>
      </c>
      <c r="M2542" t="str">
        <f>VLOOKUP(D2546,Restaurant_Master!A:B,2,FALSE)</f>
        <v>https://content.jdmagicbox.com/comp/deoria/g6/9999p5568.5568.200119143033.m4g6/catalogue/biryani-house-deoria-ho-deoria-mktc2xph0o.jpg</v>
      </c>
    </row>
    <row r="2543" spans="1:13" x14ac:dyDescent="0.3">
      <c r="A2543" t="s">
        <v>2573</v>
      </c>
      <c r="B2543" s="1">
        <v>45462</v>
      </c>
      <c r="C2543" t="s">
        <v>34</v>
      </c>
      <c r="D2543" t="s">
        <v>21</v>
      </c>
      <c r="E2543">
        <v>41</v>
      </c>
      <c r="F2543" t="s">
        <v>15</v>
      </c>
      <c r="G2543">
        <v>232.31</v>
      </c>
      <c r="H2543">
        <v>54</v>
      </c>
      <c r="I2543" t="s">
        <v>16</v>
      </c>
      <c r="J2543">
        <v>2.9</v>
      </c>
      <c r="K2543" t="s">
        <v>17</v>
      </c>
      <c r="L2543" t="s">
        <v>23</v>
      </c>
      <c r="M2543" t="str">
        <f>VLOOKUP(D2547,Restaurant_Master!A:B,2,FALSE)</f>
        <v>https://content.jdmagicbox.com/comp/deoria/g6/9999p5568.5568.200119143033.m4g6/catalogue/biryani-house-deoria-ho-deoria-mktc2xph0o.jpg</v>
      </c>
    </row>
    <row r="2544" spans="1:13" x14ac:dyDescent="0.3">
      <c r="A2544" t="s">
        <v>2574</v>
      </c>
      <c r="B2544" s="1">
        <v>45516</v>
      </c>
      <c r="C2544" t="s">
        <v>36</v>
      </c>
      <c r="D2544" t="s">
        <v>25</v>
      </c>
      <c r="E2544">
        <v>42</v>
      </c>
      <c r="F2544" t="s">
        <v>15</v>
      </c>
      <c r="G2544">
        <v>426.56</v>
      </c>
      <c r="H2544">
        <v>60</v>
      </c>
      <c r="I2544" t="s">
        <v>16</v>
      </c>
      <c r="J2544">
        <v>5</v>
      </c>
      <c r="K2544" t="s">
        <v>26</v>
      </c>
      <c r="L2544" t="s">
        <v>18</v>
      </c>
      <c r="M2544" t="str">
        <f>VLOOKUP(D2548,Restaurant_Master!A:B,2,FALSE)</f>
        <v>https://media-cdn.tripadvisor.com/media/photo-s/1c/c7/97/b6/photo6jpg.jpg</v>
      </c>
    </row>
    <row r="2545" spans="1:13" x14ac:dyDescent="0.3">
      <c r="A2545" t="s">
        <v>2575</v>
      </c>
      <c r="B2545" s="1">
        <v>45441</v>
      </c>
      <c r="C2545" t="s">
        <v>36</v>
      </c>
      <c r="D2545" t="s">
        <v>25</v>
      </c>
      <c r="E2545">
        <v>54</v>
      </c>
      <c r="F2545" t="s">
        <v>28</v>
      </c>
      <c r="G2545">
        <v>847.77</v>
      </c>
      <c r="H2545">
        <v>53</v>
      </c>
      <c r="I2545" t="s">
        <v>16</v>
      </c>
      <c r="J2545">
        <v>4.9000000000000004</v>
      </c>
      <c r="K2545" t="s">
        <v>41</v>
      </c>
      <c r="L2545" t="s">
        <v>18</v>
      </c>
      <c r="M2545" t="str">
        <f>VLOOKUP(D2549,Restaurant_Master!A:B,2,FALSE)</f>
        <v>https://dineout-media-assets.swiggy.com/swiggy/image/upload/fl_lossy,f_auto,q_auto/v1660793737/fdqxvxcxg1wtdwvyv45v.jpg</v>
      </c>
    </row>
    <row r="2546" spans="1:13" x14ac:dyDescent="0.3">
      <c r="A2546" t="s">
        <v>2576</v>
      </c>
      <c r="B2546" s="1">
        <v>45338</v>
      </c>
      <c r="C2546" t="s">
        <v>34</v>
      </c>
      <c r="D2546" t="s">
        <v>32</v>
      </c>
      <c r="E2546">
        <v>28</v>
      </c>
      <c r="F2546" t="s">
        <v>15</v>
      </c>
      <c r="G2546">
        <v>186.19</v>
      </c>
      <c r="H2546">
        <v>27</v>
      </c>
      <c r="I2546" t="s">
        <v>22</v>
      </c>
      <c r="J2546">
        <v>3.3</v>
      </c>
      <c r="K2546" t="s">
        <v>29</v>
      </c>
      <c r="L2546" t="s">
        <v>18</v>
      </c>
      <c r="M2546" t="str">
        <f>VLOOKUP(D2550,Restaurant_Master!A:B,2,FALSE)</f>
        <v>https://www.chatswoodinterchange.com/storages/2018/08/Sushi-World_666x448.jpg</v>
      </c>
    </row>
    <row r="2547" spans="1:13" x14ac:dyDescent="0.3">
      <c r="A2547" t="s">
        <v>2577</v>
      </c>
      <c r="B2547" s="1">
        <v>45444</v>
      </c>
      <c r="C2547" t="s">
        <v>34</v>
      </c>
      <c r="D2547" t="s">
        <v>32</v>
      </c>
      <c r="E2547">
        <v>55</v>
      </c>
      <c r="F2547" t="s">
        <v>15</v>
      </c>
      <c r="G2547">
        <v>533.62</v>
      </c>
      <c r="H2547">
        <v>35</v>
      </c>
      <c r="I2547" t="s">
        <v>22</v>
      </c>
      <c r="J2547">
        <v>3.5</v>
      </c>
      <c r="K2547" t="s">
        <v>26</v>
      </c>
      <c r="L2547" t="s">
        <v>23</v>
      </c>
      <c r="M2547" t="str">
        <f>VLOOKUP(D2551,Restaurant_Master!A:B,2,FALSE)</f>
        <v>https://dynamic-media-cdn.tripadvisor.com/media/photo-o/1c/e7/04/0d/front-of-the-local-easily.jpg</v>
      </c>
    </row>
    <row r="2548" spans="1:13" x14ac:dyDescent="0.3">
      <c r="A2548" t="s">
        <v>2578</v>
      </c>
      <c r="B2548" s="1">
        <v>45483</v>
      </c>
      <c r="C2548" t="s">
        <v>13</v>
      </c>
      <c r="D2548" t="s">
        <v>25</v>
      </c>
      <c r="E2548">
        <v>24</v>
      </c>
      <c r="F2548" t="s">
        <v>15</v>
      </c>
      <c r="G2548">
        <v>554.74</v>
      </c>
      <c r="H2548">
        <v>58</v>
      </c>
      <c r="I2548" t="s">
        <v>16</v>
      </c>
      <c r="J2548">
        <v>4.3</v>
      </c>
      <c r="K2548" t="s">
        <v>29</v>
      </c>
      <c r="L2548" t="s">
        <v>18</v>
      </c>
      <c r="M2548" t="str">
        <f>VLOOKUP(D2552,Restaurant_Master!A:B,2,FALSE)</f>
        <v>https://media-cdn.tripadvisor.com/media/photo-s/1c/c7/97/b6/photo6jpg.jpg</v>
      </c>
    </row>
    <row r="2549" spans="1:13" x14ac:dyDescent="0.3">
      <c r="A2549" t="s">
        <v>2579</v>
      </c>
      <c r="B2549" s="1">
        <v>45433</v>
      </c>
      <c r="C2549" t="s">
        <v>34</v>
      </c>
      <c r="D2549" t="s">
        <v>14</v>
      </c>
      <c r="E2549">
        <v>20</v>
      </c>
      <c r="F2549" t="s">
        <v>28</v>
      </c>
      <c r="G2549">
        <v>794.21</v>
      </c>
      <c r="H2549">
        <v>40</v>
      </c>
      <c r="I2549" t="s">
        <v>22</v>
      </c>
      <c r="J2549">
        <v>4.7</v>
      </c>
      <c r="K2549" t="s">
        <v>29</v>
      </c>
      <c r="L2549" t="s">
        <v>23</v>
      </c>
      <c r="M2549" t="str">
        <f>VLOOKUP(D2553,Restaurant_Master!A:B,2,FALSE)</f>
        <v>https://content.jdmagicbox.com/comp/deoria/g6/9999p5568.5568.200119143033.m4g6/catalogue/biryani-house-deoria-ho-deoria-mktc2xph0o.jpg</v>
      </c>
    </row>
    <row r="2550" spans="1:13" x14ac:dyDescent="0.3">
      <c r="A2550" t="s">
        <v>2580</v>
      </c>
      <c r="B2550" s="1">
        <v>45565</v>
      </c>
      <c r="C2550" t="s">
        <v>20</v>
      </c>
      <c r="D2550" t="s">
        <v>38</v>
      </c>
      <c r="E2550">
        <v>31</v>
      </c>
      <c r="F2550" t="s">
        <v>15</v>
      </c>
      <c r="G2550">
        <v>842.97</v>
      </c>
      <c r="H2550">
        <v>28</v>
      </c>
      <c r="I2550" t="s">
        <v>22</v>
      </c>
      <c r="J2550">
        <v>3.5</v>
      </c>
      <c r="K2550" t="s">
        <v>29</v>
      </c>
      <c r="L2550" t="s">
        <v>18</v>
      </c>
      <c r="M2550" t="str">
        <f>VLOOKUP(D2554,Restaurant_Master!A:B,2,FALSE)</f>
        <v>https://content.jdmagicbox.com/comp/deoria/g6/9999p5568.5568.200119143033.m4g6/catalogue/biryani-house-deoria-ho-deoria-mktc2xph0o.jpg</v>
      </c>
    </row>
    <row r="2551" spans="1:13" x14ac:dyDescent="0.3">
      <c r="A2551" t="s">
        <v>2581</v>
      </c>
      <c r="B2551" s="1">
        <v>45640</v>
      </c>
      <c r="C2551" t="s">
        <v>34</v>
      </c>
      <c r="D2551" t="s">
        <v>21</v>
      </c>
      <c r="E2551">
        <v>50</v>
      </c>
      <c r="F2551" t="s">
        <v>15</v>
      </c>
      <c r="G2551">
        <v>284.99</v>
      </c>
      <c r="H2551">
        <v>54</v>
      </c>
      <c r="I2551" t="s">
        <v>16</v>
      </c>
      <c r="J2551">
        <v>4.7</v>
      </c>
      <c r="K2551" t="s">
        <v>26</v>
      </c>
      <c r="L2551" t="s">
        <v>18</v>
      </c>
      <c r="M2551" t="str">
        <f>VLOOKUP(D2555,Restaurant_Master!A:B,2,FALSE)</f>
        <v>https://dynamic-media-cdn.tripadvisor.com/media/photo-o/1c/e7/04/0d/front-of-the-local-easily.jpg</v>
      </c>
    </row>
    <row r="2552" spans="1:13" x14ac:dyDescent="0.3">
      <c r="A2552" t="s">
        <v>2582</v>
      </c>
      <c r="B2552" s="1">
        <v>45524</v>
      </c>
      <c r="C2552" t="s">
        <v>34</v>
      </c>
      <c r="D2552" t="s">
        <v>25</v>
      </c>
      <c r="E2552">
        <v>30</v>
      </c>
      <c r="F2552" t="s">
        <v>28</v>
      </c>
      <c r="G2552">
        <v>802.67</v>
      </c>
      <c r="H2552">
        <v>59</v>
      </c>
      <c r="I2552" t="s">
        <v>16</v>
      </c>
      <c r="J2552">
        <v>2.9</v>
      </c>
      <c r="K2552" t="s">
        <v>29</v>
      </c>
      <c r="L2552" t="s">
        <v>23</v>
      </c>
      <c r="M2552" t="str">
        <f>VLOOKUP(D2556,Restaurant_Master!A:B,2,FALSE)</f>
        <v>https://www.chatswoodinterchange.com/storages/2018/08/Sushi-World_666x448.jpg</v>
      </c>
    </row>
    <row r="2553" spans="1:13" x14ac:dyDescent="0.3">
      <c r="A2553" t="s">
        <v>2583</v>
      </c>
      <c r="B2553" s="1">
        <v>45498</v>
      </c>
      <c r="C2553" t="s">
        <v>20</v>
      </c>
      <c r="D2553" t="s">
        <v>32</v>
      </c>
      <c r="E2553">
        <v>41</v>
      </c>
      <c r="F2553" t="s">
        <v>28</v>
      </c>
      <c r="G2553">
        <v>822.4</v>
      </c>
      <c r="H2553">
        <v>46</v>
      </c>
      <c r="I2553" t="s">
        <v>16</v>
      </c>
      <c r="J2553">
        <v>3.5</v>
      </c>
      <c r="K2553" t="s">
        <v>17</v>
      </c>
      <c r="L2553" t="s">
        <v>18</v>
      </c>
      <c r="M2553" t="str">
        <f>VLOOKUP(D2557,Restaurant_Master!A:B,2,FALSE)</f>
        <v>https://dineout-media-assets.swiggy.com/swiggy/image/upload/fl_lossy,f_auto,q_auto/v1660793737/fdqxvxcxg1wtdwvyv45v.jpg</v>
      </c>
    </row>
    <row r="2554" spans="1:13" x14ac:dyDescent="0.3">
      <c r="A2554" t="s">
        <v>2584</v>
      </c>
      <c r="B2554" s="1">
        <v>45495</v>
      </c>
      <c r="C2554" t="s">
        <v>43</v>
      </c>
      <c r="D2554" t="s">
        <v>32</v>
      </c>
      <c r="E2554">
        <v>30</v>
      </c>
      <c r="F2554" t="s">
        <v>28</v>
      </c>
      <c r="G2554">
        <v>1016.04</v>
      </c>
      <c r="H2554">
        <v>48</v>
      </c>
      <c r="I2554" t="s">
        <v>16</v>
      </c>
      <c r="J2554">
        <v>5</v>
      </c>
      <c r="K2554" t="s">
        <v>26</v>
      </c>
      <c r="L2554" t="s">
        <v>23</v>
      </c>
      <c r="M2554" t="str">
        <f>VLOOKUP(D2558,Restaurant_Master!A:B,2,FALSE)</f>
        <v>https://www.chatswoodinterchange.com/storages/2018/08/Sushi-World_666x448.jpg</v>
      </c>
    </row>
    <row r="2555" spans="1:13" x14ac:dyDescent="0.3">
      <c r="A2555" t="s">
        <v>2585</v>
      </c>
      <c r="B2555" s="1">
        <v>45562</v>
      </c>
      <c r="C2555" t="s">
        <v>13</v>
      </c>
      <c r="D2555" t="s">
        <v>21</v>
      </c>
      <c r="E2555">
        <v>21</v>
      </c>
      <c r="F2555" t="s">
        <v>28</v>
      </c>
      <c r="G2555">
        <v>173.41</v>
      </c>
      <c r="H2555">
        <v>26</v>
      </c>
      <c r="I2555" t="s">
        <v>22</v>
      </c>
      <c r="J2555">
        <v>3.3</v>
      </c>
      <c r="K2555" t="s">
        <v>41</v>
      </c>
      <c r="L2555" t="s">
        <v>23</v>
      </c>
      <c r="M2555" t="str">
        <f>VLOOKUP(D2559,Restaurant_Master!A:B,2,FALSE)</f>
        <v>https://dineout-media-assets.swiggy.com/swiggy/image/upload/fl_lossy,f_auto,q_auto/v1660793737/fdqxvxcxg1wtdwvyv45v.jpg</v>
      </c>
    </row>
    <row r="2556" spans="1:13" x14ac:dyDescent="0.3">
      <c r="A2556" t="s">
        <v>2586</v>
      </c>
      <c r="B2556" s="1">
        <v>45430</v>
      </c>
      <c r="C2556" t="s">
        <v>36</v>
      </c>
      <c r="D2556" t="s">
        <v>38</v>
      </c>
      <c r="E2556">
        <v>24</v>
      </c>
      <c r="F2556" t="s">
        <v>15</v>
      </c>
      <c r="G2556">
        <v>1165.6600000000001</v>
      </c>
      <c r="H2556">
        <v>42</v>
      </c>
      <c r="I2556" t="s">
        <v>16</v>
      </c>
      <c r="J2556">
        <v>3.5</v>
      </c>
      <c r="K2556" t="s">
        <v>17</v>
      </c>
      <c r="L2556" t="s">
        <v>18</v>
      </c>
      <c r="M2556" t="str">
        <f>VLOOKUP(D2560,Restaurant_Master!A:B,2,FALSE)</f>
        <v>https://www.chatswoodinterchange.com/storages/2018/08/Sushi-World_666x448.jpg</v>
      </c>
    </row>
    <row r="2557" spans="1:13" x14ac:dyDescent="0.3">
      <c r="A2557" t="s">
        <v>2587</v>
      </c>
      <c r="B2557" s="1">
        <v>45356</v>
      </c>
      <c r="C2557" t="s">
        <v>36</v>
      </c>
      <c r="D2557" t="s">
        <v>14</v>
      </c>
      <c r="E2557">
        <v>33</v>
      </c>
      <c r="F2557" t="s">
        <v>28</v>
      </c>
      <c r="G2557">
        <v>1087.44</v>
      </c>
      <c r="H2557">
        <v>49</v>
      </c>
      <c r="I2557" t="s">
        <v>16</v>
      </c>
      <c r="J2557">
        <v>3.7</v>
      </c>
      <c r="K2557" t="s">
        <v>26</v>
      </c>
      <c r="L2557" t="s">
        <v>23</v>
      </c>
      <c r="M2557" t="str">
        <f>VLOOKUP(D2561,Restaurant_Master!A:B,2,FALSE)</f>
        <v>https://media-cdn.tripadvisor.com/media/photo-s/1c/c7/97/b6/photo6jpg.jpg</v>
      </c>
    </row>
    <row r="2558" spans="1:13" x14ac:dyDescent="0.3">
      <c r="A2558" t="s">
        <v>2588</v>
      </c>
      <c r="B2558" s="1">
        <v>45556</v>
      </c>
      <c r="C2558" t="s">
        <v>20</v>
      </c>
      <c r="D2558" t="s">
        <v>38</v>
      </c>
      <c r="E2558">
        <v>25</v>
      </c>
      <c r="F2558" t="s">
        <v>15</v>
      </c>
      <c r="G2558">
        <v>189.7</v>
      </c>
      <c r="H2558">
        <v>23</v>
      </c>
      <c r="I2558" t="s">
        <v>22</v>
      </c>
      <c r="J2558">
        <v>2.9</v>
      </c>
      <c r="K2558" t="s">
        <v>17</v>
      </c>
      <c r="L2558" t="s">
        <v>23</v>
      </c>
      <c r="M2558" t="str">
        <f>VLOOKUP(D2562,Restaurant_Master!A:B,2,FALSE)</f>
        <v>https://content.jdmagicbox.com/comp/deoria/g6/9999p5568.5568.200119143033.m4g6/catalogue/biryani-house-deoria-ho-deoria-mktc2xph0o.jpg</v>
      </c>
    </row>
    <row r="2559" spans="1:13" x14ac:dyDescent="0.3">
      <c r="A2559" t="s">
        <v>2589</v>
      </c>
      <c r="B2559" s="1">
        <v>45617</v>
      </c>
      <c r="C2559" t="s">
        <v>36</v>
      </c>
      <c r="D2559" t="s">
        <v>14</v>
      </c>
      <c r="E2559">
        <v>57</v>
      </c>
      <c r="F2559" t="s">
        <v>15</v>
      </c>
      <c r="G2559">
        <v>421.01</v>
      </c>
      <c r="H2559">
        <v>30</v>
      </c>
      <c r="I2559" t="s">
        <v>22</v>
      </c>
      <c r="J2559">
        <v>3</v>
      </c>
      <c r="K2559" t="s">
        <v>26</v>
      </c>
      <c r="L2559" t="s">
        <v>18</v>
      </c>
      <c r="M2559" t="str">
        <f>VLOOKUP(D2563,Restaurant_Master!A:B,2,FALSE)</f>
        <v>https://content.jdmagicbox.com/comp/deoria/g6/9999p5568.5568.200119143033.m4g6/catalogue/biryani-house-deoria-ho-deoria-mktc2xph0o.jpg</v>
      </c>
    </row>
    <row r="2560" spans="1:13" x14ac:dyDescent="0.3">
      <c r="A2560" t="s">
        <v>2590</v>
      </c>
      <c r="B2560" s="1">
        <v>45503</v>
      </c>
      <c r="C2560" t="s">
        <v>34</v>
      </c>
      <c r="D2560" t="s">
        <v>38</v>
      </c>
      <c r="E2560">
        <v>40</v>
      </c>
      <c r="F2560" t="s">
        <v>15</v>
      </c>
      <c r="G2560">
        <v>1122.3699999999999</v>
      </c>
      <c r="H2560">
        <v>34</v>
      </c>
      <c r="I2560" t="s">
        <v>22</v>
      </c>
      <c r="J2560">
        <v>4.3</v>
      </c>
      <c r="K2560" t="s">
        <v>26</v>
      </c>
      <c r="L2560" t="s">
        <v>18</v>
      </c>
      <c r="M2560" t="str">
        <f>VLOOKUP(D2564,Restaurant_Master!A:B,2,FALSE)</f>
        <v>https://dineout-media-assets.swiggy.com/swiggy/image/upload/fl_lossy,f_auto,q_auto/v1660793737/fdqxvxcxg1wtdwvyv45v.jpg</v>
      </c>
    </row>
    <row r="2561" spans="1:13" x14ac:dyDescent="0.3">
      <c r="A2561" t="s">
        <v>2591</v>
      </c>
      <c r="B2561" s="1">
        <v>45389</v>
      </c>
      <c r="C2561" t="s">
        <v>34</v>
      </c>
      <c r="D2561" t="s">
        <v>25</v>
      </c>
      <c r="E2561">
        <v>59</v>
      </c>
      <c r="F2561" t="s">
        <v>28</v>
      </c>
      <c r="G2561">
        <v>658.97</v>
      </c>
      <c r="H2561">
        <v>34</v>
      </c>
      <c r="I2561" t="s">
        <v>22</v>
      </c>
      <c r="J2561">
        <v>4.7</v>
      </c>
      <c r="K2561" t="s">
        <v>29</v>
      </c>
      <c r="L2561" t="s">
        <v>18</v>
      </c>
      <c r="M2561" t="str">
        <f>VLOOKUP(D2565,Restaurant_Master!A:B,2,FALSE)</f>
        <v>https://www.chatswoodinterchange.com/storages/2018/08/Sushi-World_666x448.jpg</v>
      </c>
    </row>
    <row r="2562" spans="1:13" x14ac:dyDescent="0.3">
      <c r="A2562" t="s">
        <v>2592</v>
      </c>
      <c r="B2562" s="1">
        <v>45602</v>
      </c>
      <c r="C2562" t="s">
        <v>34</v>
      </c>
      <c r="D2562" t="s">
        <v>32</v>
      </c>
      <c r="E2562">
        <v>23</v>
      </c>
      <c r="F2562" t="s">
        <v>28</v>
      </c>
      <c r="G2562">
        <v>847.37</v>
      </c>
      <c r="H2562">
        <v>25</v>
      </c>
      <c r="I2562" t="s">
        <v>22</v>
      </c>
      <c r="J2562">
        <v>4.2</v>
      </c>
      <c r="K2562" t="s">
        <v>17</v>
      </c>
      <c r="L2562" t="s">
        <v>23</v>
      </c>
      <c r="M2562" t="str">
        <f>VLOOKUP(D2566,Restaurant_Master!A:B,2,FALSE)</f>
        <v>https://media-cdn.tripadvisor.com/media/photo-s/1c/c7/97/b6/photo6jpg.jpg</v>
      </c>
    </row>
    <row r="2563" spans="1:13" x14ac:dyDescent="0.3">
      <c r="A2563" t="s">
        <v>2593</v>
      </c>
      <c r="B2563" s="1">
        <v>45360</v>
      </c>
      <c r="C2563" t="s">
        <v>34</v>
      </c>
      <c r="D2563" t="s">
        <v>32</v>
      </c>
      <c r="E2563">
        <v>27</v>
      </c>
      <c r="F2563" t="s">
        <v>15</v>
      </c>
      <c r="G2563">
        <v>687.24</v>
      </c>
      <c r="H2563">
        <v>47</v>
      </c>
      <c r="I2563" t="s">
        <v>16</v>
      </c>
      <c r="J2563">
        <v>3.5</v>
      </c>
      <c r="K2563" t="s">
        <v>29</v>
      </c>
      <c r="L2563" t="s">
        <v>18</v>
      </c>
      <c r="M2563" t="str">
        <f>VLOOKUP(D2567,Restaurant_Master!A:B,2,FALSE)</f>
        <v>https://content.jdmagicbox.com/comp/deoria/g6/9999p5568.5568.200119143033.m4g6/catalogue/biryani-house-deoria-ho-deoria-mktc2xph0o.jpg</v>
      </c>
    </row>
    <row r="2564" spans="1:13" x14ac:dyDescent="0.3">
      <c r="A2564" t="s">
        <v>2594</v>
      </c>
      <c r="B2564" s="1">
        <v>45355</v>
      </c>
      <c r="C2564" t="s">
        <v>43</v>
      </c>
      <c r="D2564" t="s">
        <v>14</v>
      </c>
      <c r="E2564">
        <v>28</v>
      </c>
      <c r="F2564" t="s">
        <v>28</v>
      </c>
      <c r="G2564">
        <v>446.68</v>
      </c>
      <c r="H2564">
        <v>35</v>
      </c>
      <c r="I2564" t="s">
        <v>22</v>
      </c>
      <c r="J2564">
        <v>4.0999999999999996</v>
      </c>
      <c r="K2564" t="s">
        <v>26</v>
      </c>
      <c r="L2564" t="s">
        <v>23</v>
      </c>
      <c r="M2564" t="str">
        <f>VLOOKUP(D2568,Restaurant_Master!A:B,2,FALSE)</f>
        <v>https://content.jdmagicbox.com/comp/deoria/g6/9999p5568.5568.200119143033.m4g6/catalogue/biryani-house-deoria-ho-deoria-mktc2xph0o.jpg</v>
      </c>
    </row>
    <row r="2565" spans="1:13" x14ac:dyDescent="0.3">
      <c r="A2565" t="s">
        <v>2595</v>
      </c>
      <c r="B2565" s="1">
        <v>45344</v>
      </c>
      <c r="C2565" t="s">
        <v>20</v>
      </c>
      <c r="D2565" t="s">
        <v>38</v>
      </c>
      <c r="E2565">
        <v>30</v>
      </c>
      <c r="F2565" t="s">
        <v>28</v>
      </c>
      <c r="G2565">
        <v>712.57</v>
      </c>
      <c r="H2565">
        <v>55</v>
      </c>
      <c r="I2565" t="s">
        <v>16</v>
      </c>
      <c r="J2565">
        <v>4.9000000000000004</v>
      </c>
      <c r="K2565" t="s">
        <v>26</v>
      </c>
      <c r="L2565" t="s">
        <v>23</v>
      </c>
      <c r="M2565" t="str">
        <f>VLOOKUP(D2569,Restaurant_Master!A:B,2,FALSE)</f>
        <v>https://www.chatswoodinterchange.com/storages/2018/08/Sushi-World_666x448.jpg</v>
      </c>
    </row>
    <row r="2566" spans="1:13" x14ac:dyDescent="0.3">
      <c r="A2566" t="s">
        <v>2596</v>
      </c>
      <c r="B2566" s="1">
        <v>45641</v>
      </c>
      <c r="C2566" t="s">
        <v>20</v>
      </c>
      <c r="D2566" t="s">
        <v>25</v>
      </c>
      <c r="E2566">
        <v>48</v>
      </c>
      <c r="F2566" t="s">
        <v>15</v>
      </c>
      <c r="G2566">
        <v>847.69</v>
      </c>
      <c r="H2566">
        <v>54</v>
      </c>
      <c r="I2566" t="s">
        <v>16</v>
      </c>
      <c r="J2566">
        <v>2.7</v>
      </c>
      <c r="K2566" t="s">
        <v>41</v>
      </c>
      <c r="L2566" t="s">
        <v>18</v>
      </c>
      <c r="M2566" t="str">
        <f>VLOOKUP(D2570,Restaurant_Master!A:B,2,FALSE)</f>
        <v>https://media-cdn.tripadvisor.com/media/photo-s/1c/c7/97/b6/photo6jpg.jpg</v>
      </c>
    </row>
    <row r="2567" spans="1:13" x14ac:dyDescent="0.3">
      <c r="A2567" t="s">
        <v>2597</v>
      </c>
      <c r="B2567" s="1">
        <v>45520</v>
      </c>
      <c r="C2567" t="s">
        <v>20</v>
      </c>
      <c r="D2567" t="s">
        <v>32</v>
      </c>
      <c r="E2567">
        <v>41</v>
      </c>
      <c r="F2567" t="s">
        <v>28</v>
      </c>
      <c r="G2567">
        <v>649.83000000000004</v>
      </c>
      <c r="H2567">
        <v>45</v>
      </c>
      <c r="I2567" t="s">
        <v>16</v>
      </c>
      <c r="J2567">
        <v>4</v>
      </c>
      <c r="K2567" t="s">
        <v>29</v>
      </c>
      <c r="L2567" t="s">
        <v>18</v>
      </c>
      <c r="M2567" t="str">
        <f>VLOOKUP(D2571,Restaurant_Master!A:B,2,FALSE)</f>
        <v>https://content.jdmagicbox.com/comp/deoria/g6/9999p5568.5568.200119143033.m4g6/catalogue/biryani-house-deoria-ho-deoria-mktc2xph0o.jpg</v>
      </c>
    </row>
    <row r="2568" spans="1:13" x14ac:dyDescent="0.3">
      <c r="A2568" t="s">
        <v>2598</v>
      </c>
      <c r="B2568" s="1">
        <v>45522</v>
      </c>
      <c r="C2568" t="s">
        <v>13</v>
      </c>
      <c r="D2568" t="s">
        <v>32</v>
      </c>
      <c r="E2568">
        <v>42</v>
      </c>
      <c r="F2568" t="s">
        <v>15</v>
      </c>
      <c r="G2568">
        <v>331.1</v>
      </c>
      <c r="H2568">
        <v>39</v>
      </c>
      <c r="I2568" t="s">
        <v>22</v>
      </c>
      <c r="J2568">
        <v>2.6</v>
      </c>
      <c r="K2568" t="s">
        <v>29</v>
      </c>
      <c r="L2568" t="s">
        <v>18</v>
      </c>
      <c r="M2568" t="str">
        <f>VLOOKUP(D2572,Restaurant_Master!A:B,2,FALSE)</f>
        <v>https://dynamic-media-cdn.tripadvisor.com/media/photo-o/1c/e7/04/0d/front-of-the-local-easily.jpg</v>
      </c>
    </row>
    <row r="2569" spans="1:13" x14ac:dyDescent="0.3">
      <c r="A2569" t="s">
        <v>2599</v>
      </c>
      <c r="B2569" s="1">
        <v>45608</v>
      </c>
      <c r="C2569" t="s">
        <v>43</v>
      </c>
      <c r="D2569" t="s">
        <v>38</v>
      </c>
      <c r="E2569">
        <v>40</v>
      </c>
      <c r="F2569" t="s">
        <v>15</v>
      </c>
      <c r="G2569">
        <v>1138.08</v>
      </c>
      <c r="H2569">
        <v>34</v>
      </c>
      <c r="I2569" t="s">
        <v>22</v>
      </c>
      <c r="J2569">
        <v>2.8</v>
      </c>
      <c r="K2569" t="s">
        <v>41</v>
      </c>
      <c r="L2569" t="s">
        <v>18</v>
      </c>
      <c r="M2569" t="str">
        <f>VLOOKUP(D2573,Restaurant_Master!A:B,2,FALSE)</f>
        <v>https://dineout-media-assets.swiggy.com/swiggy/image/upload/fl_lossy,f_auto,q_auto/v1660793737/fdqxvxcxg1wtdwvyv45v.jpg</v>
      </c>
    </row>
    <row r="2570" spans="1:13" x14ac:dyDescent="0.3">
      <c r="A2570" t="s">
        <v>2600</v>
      </c>
      <c r="B2570" s="1">
        <v>45613</v>
      </c>
      <c r="C2570" t="s">
        <v>43</v>
      </c>
      <c r="D2570" t="s">
        <v>25</v>
      </c>
      <c r="E2570">
        <v>46</v>
      </c>
      <c r="F2570" t="s">
        <v>15</v>
      </c>
      <c r="G2570">
        <v>1093.42</v>
      </c>
      <c r="H2570">
        <v>21</v>
      </c>
      <c r="I2570" t="s">
        <v>22</v>
      </c>
      <c r="J2570">
        <v>2.5</v>
      </c>
      <c r="K2570" t="s">
        <v>29</v>
      </c>
      <c r="L2570" t="s">
        <v>23</v>
      </c>
      <c r="M2570" t="str">
        <f>VLOOKUP(D2574,Restaurant_Master!A:B,2,FALSE)</f>
        <v>https://www.chatswoodinterchange.com/storages/2018/08/Sushi-World_666x448.jpg</v>
      </c>
    </row>
    <row r="2571" spans="1:13" x14ac:dyDescent="0.3">
      <c r="A2571" t="s">
        <v>2601</v>
      </c>
      <c r="B2571" s="1">
        <v>45587</v>
      </c>
      <c r="C2571" t="s">
        <v>20</v>
      </c>
      <c r="D2571" t="s">
        <v>32</v>
      </c>
      <c r="E2571">
        <v>25</v>
      </c>
      <c r="F2571" t="s">
        <v>15</v>
      </c>
      <c r="G2571">
        <v>215.56</v>
      </c>
      <c r="H2571">
        <v>55</v>
      </c>
      <c r="I2571" t="s">
        <v>16</v>
      </c>
      <c r="J2571">
        <v>4.4000000000000004</v>
      </c>
      <c r="K2571" t="s">
        <v>29</v>
      </c>
      <c r="L2571" t="s">
        <v>23</v>
      </c>
      <c r="M2571" t="str">
        <f>VLOOKUP(D2575,Restaurant_Master!A:B,2,FALSE)</f>
        <v>https://media-cdn.tripadvisor.com/media/photo-s/1c/c7/97/b6/photo6jpg.jpg</v>
      </c>
    </row>
    <row r="2572" spans="1:13" x14ac:dyDescent="0.3">
      <c r="A2572" t="s">
        <v>2602</v>
      </c>
      <c r="B2572" s="1">
        <v>45324</v>
      </c>
      <c r="C2572" t="s">
        <v>43</v>
      </c>
      <c r="D2572" t="s">
        <v>21</v>
      </c>
      <c r="E2572">
        <v>31</v>
      </c>
      <c r="F2572" t="s">
        <v>15</v>
      </c>
      <c r="G2572">
        <v>278.73</v>
      </c>
      <c r="H2572">
        <v>57</v>
      </c>
      <c r="I2572" t="s">
        <v>16</v>
      </c>
      <c r="J2572">
        <v>4.3</v>
      </c>
      <c r="K2572" t="s">
        <v>41</v>
      </c>
      <c r="L2572" t="s">
        <v>18</v>
      </c>
      <c r="M2572" t="str">
        <f>VLOOKUP(D2576,Restaurant_Master!A:B,2,FALSE)</f>
        <v>https://content.jdmagicbox.com/comp/deoria/g6/9999p5568.5568.200119143033.m4g6/catalogue/biryani-house-deoria-ho-deoria-mktc2xph0o.jpg</v>
      </c>
    </row>
    <row r="2573" spans="1:13" x14ac:dyDescent="0.3">
      <c r="A2573" t="s">
        <v>2603</v>
      </c>
      <c r="B2573" s="1">
        <v>45649</v>
      </c>
      <c r="C2573" t="s">
        <v>36</v>
      </c>
      <c r="D2573" t="s">
        <v>14</v>
      </c>
      <c r="E2573">
        <v>29</v>
      </c>
      <c r="F2573" t="s">
        <v>28</v>
      </c>
      <c r="G2573">
        <v>230.33</v>
      </c>
      <c r="H2573">
        <v>60</v>
      </c>
      <c r="I2573" t="s">
        <v>16</v>
      </c>
      <c r="J2573">
        <v>4.7</v>
      </c>
      <c r="K2573" t="s">
        <v>41</v>
      </c>
      <c r="L2573" t="s">
        <v>18</v>
      </c>
      <c r="M2573" t="str">
        <f>VLOOKUP(D2577,Restaurant_Master!A:B,2,FALSE)</f>
        <v>https://www.chatswoodinterchange.com/storages/2018/08/Sushi-World_666x448.jpg</v>
      </c>
    </row>
    <row r="2574" spans="1:13" x14ac:dyDescent="0.3">
      <c r="A2574" t="s">
        <v>2604</v>
      </c>
      <c r="B2574" s="1">
        <v>45299</v>
      </c>
      <c r="C2574" t="s">
        <v>20</v>
      </c>
      <c r="D2574" t="s">
        <v>38</v>
      </c>
      <c r="E2574">
        <v>33</v>
      </c>
      <c r="F2574" t="s">
        <v>15</v>
      </c>
      <c r="G2574">
        <v>1035.92</v>
      </c>
      <c r="H2574">
        <v>42</v>
      </c>
      <c r="I2574" t="s">
        <v>16</v>
      </c>
      <c r="J2574">
        <v>3.9</v>
      </c>
      <c r="K2574" t="s">
        <v>26</v>
      </c>
      <c r="L2574" t="s">
        <v>23</v>
      </c>
      <c r="M2574" t="str">
        <f>VLOOKUP(D2578,Restaurant_Master!A:B,2,FALSE)</f>
        <v>https://content.jdmagicbox.com/comp/deoria/g6/9999p5568.5568.200119143033.m4g6/catalogue/biryani-house-deoria-ho-deoria-mktc2xph0o.jpg</v>
      </c>
    </row>
    <row r="2575" spans="1:13" x14ac:dyDescent="0.3">
      <c r="A2575" t="s">
        <v>2605</v>
      </c>
      <c r="B2575" s="1">
        <v>45498</v>
      </c>
      <c r="C2575" t="s">
        <v>34</v>
      </c>
      <c r="D2575" t="s">
        <v>25</v>
      </c>
      <c r="E2575">
        <v>24</v>
      </c>
      <c r="F2575" t="s">
        <v>15</v>
      </c>
      <c r="G2575">
        <v>618.62</v>
      </c>
      <c r="H2575">
        <v>22</v>
      </c>
      <c r="I2575" t="s">
        <v>22</v>
      </c>
      <c r="J2575">
        <v>4</v>
      </c>
      <c r="K2575" t="s">
        <v>26</v>
      </c>
      <c r="L2575" t="s">
        <v>18</v>
      </c>
      <c r="M2575" t="str">
        <f>VLOOKUP(D2579,Restaurant_Master!A:B,2,FALSE)</f>
        <v>https://dynamic-media-cdn.tripadvisor.com/media/photo-o/1c/e7/04/0d/front-of-the-local-easily.jpg</v>
      </c>
    </row>
    <row r="2576" spans="1:13" x14ac:dyDescent="0.3">
      <c r="A2576" t="s">
        <v>2606</v>
      </c>
      <c r="B2576" s="1">
        <v>45488</v>
      </c>
      <c r="C2576" t="s">
        <v>20</v>
      </c>
      <c r="D2576" t="s">
        <v>32</v>
      </c>
      <c r="E2576">
        <v>32</v>
      </c>
      <c r="F2576" t="s">
        <v>28</v>
      </c>
      <c r="G2576">
        <v>627.83000000000004</v>
      </c>
      <c r="H2576">
        <v>24</v>
      </c>
      <c r="I2576" t="s">
        <v>22</v>
      </c>
      <c r="J2576">
        <v>2.9</v>
      </c>
      <c r="K2576" t="s">
        <v>29</v>
      </c>
      <c r="L2576" t="s">
        <v>23</v>
      </c>
      <c r="M2576" t="str">
        <f>VLOOKUP(D2580,Restaurant_Master!A:B,2,FALSE)</f>
        <v>https://dineout-media-assets.swiggy.com/swiggy/image/upload/fl_lossy,f_auto,q_auto/v1660793737/fdqxvxcxg1wtdwvyv45v.jpg</v>
      </c>
    </row>
    <row r="2577" spans="1:13" x14ac:dyDescent="0.3">
      <c r="A2577" t="s">
        <v>2607</v>
      </c>
      <c r="B2577" s="1">
        <v>45440</v>
      </c>
      <c r="C2577" t="s">
        <v>34</v>
      </c>
      <c r="D2577" t="s">
        <v>38</v>
      </c>
      <c r="E2577">
        <v>29</v>
      </c>
      <c r="F2577" t="s">
        <v>15</v>
      </c>
      <c r="G2577">
        <v>803.84</v>
      </c>
      <c r="H2577">
        <v>39</v>
      </c>
      <c r="I2577" t="s">
        <v>22</v>
      </c>
      <c r="J2577">
        <v>4.0999999999999996</v>
      </c>
      <c r="K2577" t="s">
        <v>17</v>
      </c>
      <c r="L2577" t="s">
        <v>23</v>
      </c>
      <c r="M2577" t="str">
        <f>VLOOKUP(D2581,Restaurant_Master!A:B,2,FALSE)</f>
        <v>https://dineout-media-assets.swiggy.com/swiggy/image/upload/fl_lossy,f_auto,q_auto/v1660793737/fdqxvxcxg1wtdwvyv45v.jpg</v>
      </c>
    </row>
    <row r="2578" spans="1:13" x14ac:dyDescent="0.3">
      <c r="A2578" t="s">
        <v>2608</v>
      </c>
      <c r="B2578" s="1">
        <v>45615</v>
      </c>
      <c r="C2578" t="s">
        <v>34</v>
      </c>
      <c r="D2578" t="s">
        <v>32</v>
      </c>
      <c r="E2578">
        <v>58</v>
      </c>
      <c r="F2578" t="s">
        <v>28</v>
      </c>
      <c r="G2578">
        <v>1076.07</v>
      </c>
      <c r="H2578">
        <v>40</v>
      </c>
      <c r="I2578" t="s">
        <v>22</v>
      </c>
      <c r="J2578">
        <v>4.7</v>
      </c>
      <c r="K2578" t="s">
        <v>41</v>
      </c>
      <c r="L2578" t="s">
        <v>23</v>
      </c>
      <c r="M2578" t="str">
        <f>VLOOKUP(D2582,Restaurant_Master!A:B,2,FALSE)</f>
        <v>https://www.chatswoodinterchange.com/storages/2018/08/Sushi-World_666x448.jpg</v>
      </c>
    </row>
    <row r="2579" spans="1:13" x14ac:dyDescent="0.3">
      <c r="A2579" t="s">
        <v>2609</v>
      </c>
      <c r="B2579" s="1">
        <v>45509</v>
      </c>
      <c r="C2579" t="s">
        <v>34</v>
      </c>
      <c r="D2579" t="s">
        <v>21</v>
      </c>
      <c r="E2579">
        <v>28</v>
      </c>
      <c r="F2579" t="s">
        <v>15</v>
      </c>
      <c r="G2579">
        <v>1114.25</v>
      </c>
      <c r="H2579">
        <v>47</v>
      </c>
      <c r="I2579" t="s">
        <v>16</v>
      </c>
      <c r="J2579">
        <v>3.7</v>
      </c>
      <c r="K2579" t="s">
        <v>41</v>
      </c>
      <c r="L2579" t="s">
        <v>18</v>
      </c>
      <c r="M2579" t="str">
        <f>VLOOKUP(D2583,Restaurant_Master!A:B,2,FALSE)</f>
        <v>https://dynamic-media-cdn.tripadvisor.com/media/photo-o/1c/e7/04/0d/front-of-the-local-easily.jpg</v>
      </c>
    </row>
    <row r="2580" spans="1:13" x14ac:dyDescent="0.3">
      <c r="A2580" t="s">
        <v>2610</v>
      </c>
      <c r="B2580" s="1">
        <v>45432</v>
      </c>
      <c r="C2580" t="s">
        <v>36</v>
      </c>
      <c r="D2580" t="s">
        <v>14</v>
      </c>
      <c r="E2580">
        <v>29</v>
      </c>
      <c r="F2580" t="s">
        <v>28</v>
      </c>
      <c r="G2580">
        <v>523.32000000000005</v>
      </c>
      <c r="H2580">
        <v>26</v>
      </c>
      <c r="I2580" t="s">
        <v>22</v>
      </c>
      <c r="J2580">
        <v>4.3</v>
      </c>
      <c r="K2580" t="s">
        <v>29</v>
      </c>
      <c r="L2580" t="s">
        <v>23</v>
      </c>
      <c r="M2580" t="str">
        <f>VLOOKUP(D2584,Restaurant_Master!A:B,2,FALSE)</f>
        <v>https://dynamic-media-cdn.tripadvisor.com/media/photo-o/1c/e7/04/0d/front-of-the-local-easily.jpg</v>
      </c>
    </row>
    <row r="2581" spans="1:13" x14ac:dyDescent="0.3">
      <c r="A2581" t="s">
        <v>2611</v>
      </c>
      <c r="B2581" s="1">
        <v>45574</v>
      </c>
      <c r="C2581" t="s">
        <v>43</v>
      </c>
      <c r="D2581" t="s">
        <v>14</v>
      </c>
      <c r="E2581">
        <v>45</v>
      </c>
      <c r="F2581" t="s">
        <v>15</v>
      </c>
      <c r="G2581">
        <v>1067.23</v>
      </c>
      <c r="H2581">
        <v>34</v>
      </c>
      <c r="I2581" t="s">
        <v>22</v>
      </c>
      <c r="J2581">
        <v>3.6</v>
      </c>
      <c r="K2581" t="s">
        <v>41</v>
      </c>
      <c r="L2581" t="s">
        <v>23</v>
      </c>
      <c r="M2581" t="str">
        <f>VLOOKUP(D2585,Restaurant_Master!A:B,2,FALSE)</f>
        <v>https://dynamic-media-cdn.tripadvisor.com/media/photo-o/1c/e7/04/0d/front-of-the-local-easily.jpg</v>
      </c>
    </row>
    <row r="2582" spans="1:13" x14ac:dyDescent="0.3">
      <c r="A2582" t="s">
        <v>2612</v>
      </c>
      <c r="B2582" s="1">
        <v>45434</v>
      </c>
      <c r="C2582" t="s">
        <v>43</v>
      </c>
      <c r="D2582" t="s">
        <v>38</v>
      </c>
      <c r="E2582">
        <v>55</v>
      </c>
      <c r="F2582" t="s">
        <v>15</v>
      </c>
      <c r="G2582">
        <v>1032.0899999999999</v>
      </c>
      <c r="H2582">
        <v>55</v>
      </c>
      <c r="I2582" t="s">
        <v>16</v>
      </c>
      <c r="J2582">
        <v>3.8</v>
      </c>
      <c r="K2582" t="s">
        <v>41</v>
      </c>
      <c r="L2582" t="s">
        <v>23</v>
      </c>
      <c r="M2582" t="str">
        <f>VLOOKUP(D2586,Restaurant_Master!A:B,2,FALSE)</f>
        <v>https://www.chatswoodinterchange.com/storages/2018/08/Sushi-World_666x448.jpg</v>
      </c>
    </row>
    <row r="2583" spans="1:13" x14ac:dyDescent="0.3">
      <c r="A2583" t="s">
        <v>2613</v>
      </c>
      <c r="B2583" s="1">
        <v>45474</v>
      </c>
      <c r="C2583" t="s">
        <v>13</v>
      </c>
      <c r="D2583" t="s">
        <v>21</v>
      </c>
      <c r="E2583">
        <v>35</v>
      </c>
      <c r="F2583" t="s">
        <v>15</v>
      </c>
      <c r="G2583">
        <v>430.94</v>
      </c>
      <c r="H2583">
        <v>55</v>
      </c>
      <c r="I2583" t="s">
        <v>16</v>
      </c>
      <c r="J2583">
        <v>3.2</v>
      </c>
      <c r="K2583" t="s">
        <v>26</v>
      </c>
      <c r="L2583" t="s">
        <v>23</v>
      </c>
      <c r="M2583" t="str">
        <f>VLOOKUP(D2587,Restaurant_Master!A:B,2,FALSE)</f>
        <v>https://content.jdmagicbox.com/comp/deoria/g6/9999p5568.5568.200119143033.m4g6/catalogue/biryani-house-deoria-ho-deoria-mktc2xph0o.jpg</v>
      </c>
    </row>
    <row r="2584" spans="1:13" x14ac:dyDescent="0.3">
      <c r="A2584" t="s">
        <v>2614</v>
      </c>
      <c r="B2584" s="1">
        <v>45367</v>
      </c>
      <c r="C2584" t="s">
        <v>13</v>
      </c>
      <c r="D2584" t="s">
        <v>21</v>
      </c>
      <c r="E2584">
        <v>39</v>
      </c>
      <c r="F2584" t="s">
        <v>28</v>
      </c>
      <c r="G2584">
        <v>1003.08</v>
      </c>
      <c r="H2584">
        <v>51</v>
      </c>
      <c r="I2584" t="s">
        <v>16</v>
      </c>
      <c r="J2584">
        <v>3</v>
      </c>
      <c r="K2584" t="s">
        <v>29</v>
      </c>
      <c r="L2584" t="s">
        <v>23</v>
      </c>
      <c r="M2584" t="str">
        <f>VLOOKUP(D2588,Restaurant_Master!A:B,2,FALSE)</f>
        <v>https://media-cdn.tripadvisor.com/media/photo-s/1c/c7/97/b6/photo6jpg.jpg</v>
      </c>
    </row>
    <row r="2585" spans="1:13" x14ac:dyDescent="0.3">
      <c r="A2585" t="s">
        <v>2615</v>
      </c>
      <c r="B2585" s="1">
        <v>45339</v>
      </c>
      <c r="C2585" t="s">
        <v>13</v>
      </c>
      <c r="D2585" t="s">
        <v>21</v>
      </c>
      <c r="E2585">
        <v>28</v>
      </c>
      <c r="F2585" t="s">
        <v>28</v>
      </c>
      <c r="G2585">
        <v>490.74</v>
      </c>
      <c r="H2585">
        <v>39</v>
      </c>
      <c r="I2585" t="s">
        <v>22</v>
      </c>
      <c r="J2585">
        <v>5</v>
      </c>
      <c r="K2585" t="s">
        <v>41</v>
      </c>
      <c r="L2585" t="s">
        <v>23</v>
      </c>
      <c r="M2585" t="str">
        <f>VLOOKUP(D2589,Restaurant_Master!A:B,2,FALSE)</f>
        <v>https://dynamic-media-cdn.tripadvisor.com/media/photo-o/1c/e7/04/0d/front-of-the-local-easily.jpg</v>
      </c>
    </row>
    <row r="2586" spans="1:13" x14ac:dyDescent="0.3">
      <c r="A2586" t="s">
        <v>2616</v>
      </c>
      <c r="B2586" s="1">
        <v>45573</v>
      </c>
      <c r="C2586" t="s">
        <v>36</v>
      </c>
      <c r="D2586" t="s">
        <v>38</v>
      </c>
      <c r="E2586">
        <v>35</v>
      </c>
      <c r="F2586" t="s">
        <v>28</v>
      </c>
      <c r="G2586">
        <v>473.28</v>
      </c>
      <c r="H2586">
        <v>42</v>
      </c>
      <c r="I2586" t="s">
        <v>16</v>
      </c>
      <c r="J2586">
        <v>3.3</v>
      </c>
      <c r="K2586" t="s">
        <v>41</v>
      </c>
      <c r="L2586" t="s">
        <v>18</v>
      </c>
      <c r="M2586" t="str">
        <f>VLOOKUP(D2590,Restaurant_Master!A:B,2,FALSE)</f>
        <v>https://dynamic-media-cdn.tripadvisor.com/media/photo-o/1c/e7/04/0d/front-of-the-local-easily.jpg</v>
      </c>
    </row>
    <row r="2587" spans="1:13" x14ac:dyDescent="0.3">
      <c r="A2587" t="s">
        <v>2617</v>
      </c>
      <c r="B2587" s="1">
        <v>45424</v>
      </c>
      <c r="C2587" t="s">
        <v>13</v>
      </c>
      <c r="D2587" t="s">
        <v>32</v>
      </c>
      <c r="E2587">
        <v>25</v>
      </c>
      <c r="F2587" t="s">
        <v>15</v>
      </c>
      <c r="G2587">
        <v>489.29</v>
      </c>
      <c r="H2587">
        <v>55</v>
      </c>
      <c r="I2587" t="s">
        <v>16</v>
      </c>
      <c r="J2587">
        <v>2.8</v>
      </c>
      <c r="K2587" t="s">
        <v>17</v>
      </c>
      <c r="L2587" t="s">
        <v>18</v>
      </c>
      <c r="M2587" t="str">
        <f>VLOOKUP(D2591,Restaurant_Master!A:B,2,FALSE)</f>
        <v>https://dynamic-media-cdn.tripadvisor.com/media/photo-o/1c/e7/04/0d/front-of-the-local-easily.jpg</v>
      </c>
    </row>
    <row r="2588" spans="1:13" x14ac:dyDescent="0.3">
      <c r="A2588" t="s">
        <v>2618</v>
      </c>
      <c r="B2588" s="1">
        <v>45498</v>
      </c>
      <c r="C2588" t="s">
        <v>20</v>
      </c>
      <c r="D2588" t="s">
        <v>25</v>
      </c>
      <c r="E2588">
        <v>51</v>
      </c>
      <c r="F2588" t="s">
        <v>28</v>
      </c>
      <c r="G2588">
        <v>227.64</v>
      </c>
      <c r="H2588">
        <v>56</v>
      </c>
      <c r="I2588" t="s">
        <v>16</v>
      </c>
      <c r="J2588">
        <v>3.2</v>
      </c>
      <c r="K2588" t="s">
        <v>17</v>
      </c>
      <c r="L2588" t="s">
        <v>23</v>
      </c>
      <c r="M2588" t="str">
        <f>VLOOKUP(D2592,Restaurant_Master!A:B,2,FALSE)</f>
        <v>https://www.chatswoodinterchange.com/storages/2018/08/Sushi-World_666x448.jpg</v>
      </c>
    </row>
    <row r="2589" spans="1:13" x14ac:dyDescent="0.3">
      <c r="A2589" t="s">
        <v>2619</v>
      </c>
      <c r="B2589" s="1">
        <v>45539</v>
      </c>
      <c r="C2589" t="s">
        <v>20</v>
      </c>
      <c r="D2589" t="s">
        <v>21</v>
      </c>
      <c r="E2589">
        <v>23</v>
      </c>
      <c r="F2589" t="s">
        <v>28</v>
      </c>
      <c r="G2589">
        <v>297.14</v>
      </c>
      <c r="H2589">
        <v>34</v>
      </c>
      <c r="I2589" t="s">
        <v>22</v>
      </c>
      <c r="J2589">
        <v>4.8</v>
      </c>
      <c r="K2589" t="s">
        <v>17</v>
      </c>
      <c r="L2589" t="s">
        <v>18</v>
      </c>
      <c r="M2589" t="str">
        <f>VLOOKUP(D2593,Restaurant_Master!A:B,2,FALSE)</f>
        <v>https://dineout-media-assets.swiggy.com/swiggy/image/upload/fl_lossy,f_auto,q_auto/v1660793737/fdqxvxcxg1wtdwvyv45v.jpg</v>
      </c>
    </row>
    <row r="2590" spans="1:13" x14ac:dyDescent="0.3">
      <c r="A2590" t="s">
        <v>2620</v>
      </c>
      <c r="B2590" s="1">
        <v>45553</v>
      </c>
      <c r="C2590" t="s">
        <v>43</v>
      </c>
      <c r="D2590" t="s">
        <v>21</v>
      </c>
      <c r="E2590">
        <v>45</v>
      </c>
      <c r="F2590" t="s">
        <v>28</v>
      </c>
      <c r="G2590">
        <v>629.12</v>
      </c>
      <c r="H2590">
        <v>23</v>
      </c>
      <c r="I2590" t="s">
        <v>22</v>
      </c>
      <c r="J2590">
        <v>3.5</v>
      </c>
      <c r="K2590" t="s">
        <v>26</v>
      </c>
      <c r="L2590" t="s">
        <v>23</v>
      </c>
      <c r="M2590" t="str">
        <f>VLOOKUP(D2594,Restaurant_Master!A:B,2,FALSE)</f>
        <v>https://media-cdn.tripadvisor.com/media/photo-s/1c/c7/97/b6/photo6jpg.jpg</v>
      </c>
    </row>
    <row r="2591" spans="1:13" x14ac:dyDescent="0.3">
      <c r="A2591" t="s">
        <v>2621</v>
      </c>
      <c r="B2591" s="1">
        <v>45321</v>
      </c>
      <c r="C2591" t="s">
        <v>20</v>
      </c>
      <c r="D2591" t="s">
        <v>21</v>
      </c>
      <c r="E2591">
        <v>26</v>
      </c>
      <c r="F2591" t="s">
        <v>15</v>
      </c>
      <c r="G2591">
        <v>288.88</v>
      </c>
      <c r="H2591">
        <v>21</v>
      </c>
      <c r="I2591" t="s">
        <v>22</v>
      </c>
      <c r="J2591">
        <v>3.6</v>
      </c>
      <c r="K2591" t="s">
        <v>41</v>
      </c>
      <c r="L2591" t="s">
        <v>23</v>
      </c>
      <c r="M2591" t="str">
        <f>VLOOKUP(D2595,Restaurant_Master!A:B,2,FALSE)</f>
        <v>https://dynamic-media-cdn.tripadvisor.com/media/photo-o/1c/e7/04/0d/front-of-the-local-easily.jpg</v>
      </c>
    </row>
    <row r="2592" spans="1:13" x14ac:dyDescent="0.3">
      <c r="A2592" t="s">
        <v>2622</v>
      </c>
      <c r="B2592" s="1">
        <v>45359</v>
      </c>
      <c r="C2592" t="s">
        <v>34</v>
      </c>
      <c r="D2592" t="s">
        <v>38</v>
      </c>
      <c r="E2592">
        <v>38</v>
      </c>
      <c r="F2592" t="s">
        <v>15</v>
      </c>
      <c r="G2592">
        <v>1124.46</v>
      </c>
      <c r="H2592">
        <v>47</v>
      </c>
      <c r="I2592" t="s">
        <v>16</v>
      </c>
      <c r="J2592">
        <v>4.4000000000000004</v>
      </c>
      <c r="K2592" t="s">
        <v>41</v>
      </c>
      <c r="L2592" t="s">
        <v>23</v>
      </c>
      <c r="M2592" t="str">
        <f>VLOOKUP(D2596,Restaurant_Master!A:B,2,FALSE)</f>
        <v>https://content.jdmagicbox.com/comp/deoria/g6/9999p5568.5568.200119143033.m4g6/catalogue/biryani-house-deoria-ho-deoria-mktc2xph0o.jpg</v>
      </c>
    </row>
    <row r="2593" spans="1:13" x14ac:dyDescent="0.3">
      <c r="A2593" t="s">
        <v>2623</v>
      </c>
      <c r="B2593" s="1">
        <v>45478</v>
      </c>
      <c r="C2593" t="s">
        <v>43</v>
      </c>
      <c r="D2593" t="s">
        <v>14</v>
      </c>
      <c r="E2593">
        <v>41</v>
      </c>
      <c r="F2593" t="s">
        <v>15</v>
      </c>
      <c r="G2593">
        <v>254.33</v>
      </c>
      <c r="H2593">
        <v>55</v>
      </c>
      <c r="I2593" t="s">
        <v>16</v>
      </c>
      <c r="J2593">
        <v>3.3</v>
      </c>
      <c r="K2593" t="s">
        <v>41</v>
      </c>
      <c r="L2593" t="s">
        <v>18</v>
      </c>
      <c r="M2593" t="str">
        <f>VLOOKUP(D2597,Restaurant_Master!A:B,2,FALSE)</f>
        <v>https://dineout-media-assets.swiggy.com/swiggy/image/upload/fl_lossy,f_auto,q_auto/v1660793737/fdqxvxcxg1wtdwvyv45v.jpg</v>
      </c>
    </row>
    <row r="2594" spans="1:13" x14ac:dyDescent="0.3">
      <c r="A2594" t="s">
        <v>2624</v>
      </c>
      <c r="B2594" s="1">
        <v>45435</v>
      </c>
      <c r="C2594" t="s">
        <v>20</v>
      </c>
      <c r="D2594" t="s">
        <v>25</v>
      </c>
      <c r="E2594">
        <v>45</v>
      </c>
      <c r="F2594" t="s">
        <v>28</v>
      </c>
      <c r="G2594">
        <v>716.47</v>
      </c>
      <c r="H2594">
        <v>38</v>
      </c>
      <c r="I2594" t="s">
        <v>22</v>
      </c>
      <c r="J2594">
        <v>4.5</v>
      </c>
      <c r="K2594" t="s">
        <v>41</v>
      </c>
      <c r="L2594" t="s">
        <v>18</v>
      </c>
      <c r="M2594" t="str">
        <f>VLOOKUP(D2598,Restaurant_Master!A:B,2,FALSE)</f>
        <v>https://dineout-media-assets.swiggy.com/swiggy/image/upload/fl_lossy,f_auto,q_auto/v1660793737/fdqxvxcxg1wtdwvyv45v.jpg</v>
      </c>
    </row>
    <row r="2595" spans="1:13" x14ac:dyDescent="0.3">
      <c r="A2595" t="s">
        <v>2625</v>
      </c>
      <c r="B2595" s="1">
        <v>45423</v>
      </c>
      <c r="C2595" t="s">
        <v>13</v>
      </c>
      <c r="D2595" t="s">
        <v>21</v>
      </c>
      <c r="E2595">
        <v>53</v>
      </c>
      <c r="F2595" t="s">
        <v>15</v>
      </c>
      <c r="G2595">
        <v>588.24</v>
      </c>
      <c r="H2595">
        <v>25</v>
      </c>
      <c r="I2595" t="s">
        <v>22</v>
      </c>
      <c r="J2595">
        <v>4.5</v>
      </c>
      <c r="K2595" t="s">
        <v>41</v>
      </c>
      <c r="L2595" t="s">
        <v>23</v>
      </c>
      <c r="M2595" t="str">
        <f>VLOOKUP(D2599,Restaurant_Master!A:B,2,FALSE)</f>
        <v>https://www.chatswoodinterchange.com/storages/2018/08/Sushi-World_666x448.jpg</v>
      </c>
    </row>
    <row r="2596" spans="1:13" x14ac:dyDescent="0.3">
      <c r="A2596" t="s">
        <v>2626</v>
      </c>
      <c r="B2596" s="1">
        <v>45595</v>
      </c>
      <c r="C2596" t="s">
        <v>20</v>
      </c>
      <c r="D2596" t="s">
        <v>32</v>
      </c>
      <c r="E2596">
        <v>33</v>
      </c>
      <c r="F2596" t="s">
        <v>28</v>
      </c>
      <c r="G2596">
        <v>697.92</v>
      </c>
      <c r="H2596">
        <v>26</v>
      </c>
      <c r="I2596" t="s">
        <v>22</v>
      </c>
      <c r="J2596">
        <v>4.3</v>
      </c>
      <c r="K2596" t="s">
        <v>41</v>
      </c>
      <c r="L2596" t="s">
        <v>23</v>
      </c>
      <c r="M2596" t="str">
        <f>VLOOKUP(D2600,Restaurant_Master!A:B,2,FALSE)</f>
        <v>https://content.jdmagicbox.com/comp/deoria/g6/9999p5568.5568.200119143033.m4g6/catalogue/biryani-house-deoria-ho-deoria-mktc2xph0o.jpg</v>
      </c>
    </row>
    <row r="2597" spans="1:13" x14ac:dyDescent="0.3">
      <c r="A2597" t="s">
        <v>2627</v>
      </c>
      <c r="B2597" s="1">
        <v>45470</v>
      </c>
      <c r="C2597" t="s">
        <v>13</v>
      </c>
      <c r="D2597" t="s">
        <v>14</v>
      </c>
      <c r="E2597">
        <v>28</v>
      </c>
      <c r="F2597" t="s">
        <v>15</v>
      </c>
      <c r="G2597">
        <v>372.65</v>
      </c>
      <c r="H2597">
        <v>49</v>
      </c>
      <c r="I2597" t="s">
        <v>16</v>
      </c>
      <c r="J2597">
        <v>4.0999999999999996</v>
      </c>
      <c r="K2597" t="s">
        <v>17</v>
      </c>
      <c r="L2597" t="s">
        <v>23</v>
      </c>
      <c r="M2597" t="str">
        <f>VLOOKUP(D2601,Restaurant_Master!A:B,2,FALSE)</f>
        <v>https://www.chatswoodinterchange.com/storages/2018/08/Sushi-World_666x448.jpg</v>
      </c>
    </row>
    <row r="2598" spans="1:13" x14ac:dyDescent="0.3">
      <c r="A2598" t="s">
        <v>2628</v>
      </c>
      <c r="B2598" s="1">
        <v>45521</v>
      </c>
      <c r="C2598" t="s">
        <v>43</v>
      </c>
      <c r="D2598" t="s">
        <v>14</v>
      </c>
      <c r="E2598">
        <v>39</v>
      </c>
      <c r="F2598" t="s">
        <v>15</v>
      </c>
      <c r="G2598">
        <v>1000.41</v>
      </c>
      <c r="H2598">
        <v>37</v>
      </c>
      <c r="I2598" t="s">
        <v>22</v>
      </c>
      <c r="J2598">
        <v>4.0999999999999996</v>
      </c>
      <c r="K2598" t="s">
        <v>26</v>
      </c>
      <c r="L2598" t="s">
        <v>23</v>
      </c>
      <c r="M2598" t="str">
        <f>VLOOKUP(D2602,Restaurant_Master!A:B,2,FALSE)</f>
        <v>https://content.jdmagicbox.com/comp/deoria/g6/9999p5568.5568.200119143033.m4g6/catalogue/biryani-house-deoria-ho-deoria-mktc2xph0o.jpg</v>
      </c>
    </row>
    <row r="2599" spans="1:13" x14ac:dyDescent="0.3">
      <c r="A2599" t="s">
        <v>2629</v>
      </c>
      <c r="B2599" s="1">
        <v>45368</v>
      </c>
      <c r="C2599" t="s">
        <v>43</v>
      </c>
      <c r="D2599" t="s">
        <v>38</v>
      </c>
      <c r="E2599">
        <v>28</v>
      </c>
      <c r="F2599" t="s">
        <v>15</v>
      </c>
      <c r="G2599">
        <v>1072.3399999999999</v>
      </c>
      <c r="H2599">
        <v>35</v>
      </c>
      <c r="I2599" t="s">
        <v>22</v>
      </c>
      <c r="J2599">
        <v>4</v>
      </c>
      <c r="K2599" t="s">
        <v>17</v>
      </c>
      <c r="L2599" t="s">
        <v>18</v>
      </c>
      <c r="M2599" t="str">
        <f>VLOOKUP(D2603,Restaurant_Master!A:B,2,FALSE)</f>
        <v>https://media-cdn.tripadvisor.com/media/photo-s/1c/c7/97/b6/photo6jpg.jpg</v>
      </c>
    </row>
    <row r="2600" spans="1:13" x14ac:dyDescent="0.3">
      <c r="A2600" t="s">
        <v>2630</v>
      </c>
      <c r="B2600" s="1">
        <v>45452</v>
      </c>
      <c r="C2600" t="s">
        <v>36</v>
      </c>
      <c r="D2600" t="s">
        <v>32</v>
      </c>
      <c r="E2600">
        <v>57</v>
      </c>
      <c r="F2600" t="s">
        <v>28</v>
      </c>
      <c r="G2600">
        <v>305.35000000000002</v>
      </c>
      <c r="H2600">
        <v>52</v>
      </c>
      <c r="I2600" t="s">
        <v>16</v>
      </c>
      <c r="J2600">
        <v>3.5</v>
      </c>
      <c r="K2600" t="s">
        <v>17</v>
      </c>
      <c r="L2600" t="s">
        <v>18</v>
      </c>
      <c r="M2600" t="str">
        <f>VLOOKUP(D2604,Restaurant_Master!A:B,2,FALSE)</f>
        <v>https://dynamic-media-cdn.tripadvisor.com/media/photo-o/1c/e7/04/0d/front-of-the-local-easily.jpg</v>
      </c>
    </row>
    <row r="2601" spans="1:13" x14ac:dyDescent="0.3">
      <c r="A2601" t="s">
        <v>2631</v>
      </c>
      <c r="B2601" s="1">
        <v>45463</v>
      </c>
      <c r="C2601" t="s">
        <v>13</v>
      </c>
      <c r="D2601" t="s">
        <v>38</v>
      </c>
      <c r="E2601">
        <v>39</v>
      </c>
      <c r="F2601" t="s">
        <v>15</v>
      </c>
      <c r="G2601">
        <v>417.96</v>
      </c>
      <c r="H2601">
        <v>49</v>
      </c>
      <c r="I2601" t="s">
        <v>16</v>
      </c>
      <c r="J2601">
        <v>4.3</v>
      </c>
      <c r="K2601" t="s">
        <v>26</v>
      </c>
      <c r="L2601" t="s">
        <v>23</v>
      </c>
      <c r="M2601" t="str">
        <f>VLOOKUP(D2605,Restaurant_Master!A:B,2,FALSE)</f>
        <v>https://dineout-media-assets.swiggy.com/swiggy/image/upload/fl_lossy,f_auto,q_auto/v1660793737/fdqxvxcxg1wtdwvyv45v.jpg</v>
      </c>
    </row>
    <row r="2602" spans="1:13" x14ac:dyDescent="0.3">
      <c r="A2602" t="s">
        <v>2632</v>
      </c>
      <c r="B2602" s="1">
        <v>45469</v>
      </c>
      <c r="C2602" t="s">
        <v>43</v>
      </c>
      <c r="D2602" t="s">
        <v>32</v>
      </c>
      <c r="E2602">
        <v>18</v>
      </c>
      <c r="F2602" t="s">
        <v>15</v>
      </c>
      <c r="G2602">
        <v>837.01</v>
      </c>
      <c r="H2602">
        <v>48</v>
      </c>
      <c r="I2602" t="s">
        <v>16</v>
      </c>
      <c r="J2602">
        <v>2.8</v>
      </c>
      <c r="K2602" t="s">
        <v>17</v>
      </c>
      <c r="L2602" t="s">
        <v>18</v>
      </c>
      <c r="M2602" t="str">
        <f>VLOOKUP(D2606,Restaurant_Master!A:B,2,FALSE)</f>
        <v>https://dynamic-media-cdn.tripadvisor.com/media/photo-o/1c/e7/04/0d/front-of-the-local-easily.jpg</v>
      </c>
    </row>
    <row r="2603" spans="1:13" x14ac:dyDescent="0.3">
      <c r="A2603" t="s">
        <v>2633</v>
      </c>
      <c r="B2603" s="1">
        <v>45434</v>
      </c>
      <c r="C2603" t="s">
        <v>34</v>
      </c>
      <c r="D2603" t="s">
        <v>25</v>
      </c>
      <c r="E2603">
        <v>41</v>
      </c>
      <c r="F2603" t="s">
        <v>28</v>
      </c>
      <c r="G2603">
        <v>478.78</v>
      </c>
      <c r="H2603">
        <v>53</v>
      </c>
      <c r="I2603" t="s">
        <v>16</v>
      </c>
      <c r="J2603">
        <v>2.9</v>
      </c>
      <c r="K2603" t="s">
        <v>29</v>
      </c>
      <c r="L2603" t="s">
        <v>18</v>
      </c>
      <c r="M2603" t="str">
        <f>VLOOKUP(D2607,Restaurant_Master!A:B,2,FALSE)</f>
        <v>https://content.jdmagicbox.com/comp/deoria/g6/9999p5568.5568.200119143033.m4g6/catalogue/biryani-house-deoria-ho-deoria-mktc2xph0o.jpg</v>
      </c>
    </row>
    <row r="2604" spans="1:13" x14ac:dyDescent="0.3">
      <c r="A2604" t="s">
        <v>2634</v>
      </c>
      <c r="B2604" s="1">
        <v>45464</v>
      </c>
      <c r="C2604" t="s">
        <v>13</v>
      </c>
      <c r="D2604" t="s">
        <v>21</v>
      </c>
      <c r="E2604">
        <v>59</v>
      </c>
      <c r="F2604" t="s">
        <v>28</v>
      </c>
      <c r="G2604">
        <v>798.6</v>
      </c>
      <c r="H2604">
        <v>55</v>
      </c>
      <c r="I2604" t="s">
        <v>16</v>
      </c>
      <c r="J2604">
        <v>4.5</v>
      </c>
      <c r="K2604" t="s">
        <v>41</v>
      </c>
      <c r="L2604" t="s">
        <v>23</v>
      </c>
      <c r="M2604" t="str">
        <f>VLOOKUP(D2608,Restaurant_Master!A:B,2,FALSE)</f>
        <v>https://content.jdmagicbox.com/comp/deoria/g6/9999p5568.5568.200119143033.m4g6/catalogue/biryani-house-deoria-ho-deoria-mktc2xph0o.jpg</v>
      </c>
    </row>
    <row r="2605" spans="1:13" x14ac:dyDescent="0.3">
      <c r="A2605" t="s">
        <v>2635</v>
      </c>
      <c r="B2605" s="1">
        <v>45310</v>
      </c>
      <c r="C2605" t="s">
        <v>34</v>
      </c>
      <c r="D2605" t="s">
        <v>14</v>
      </c>
      <c r="E2605">
        <v>22</v>
      </c>
      <c r="F2605" t="s">
        <v>15</v>
      </c>
      <c r="G2605">
        <v>923.43</v>
      </c>
      <c r="H2605">
        <v>21</v>
      </c>
      <c r="I2605" t="s">
        <v>22</v>
      </c>
      <c r="J2605">
        <v>3.6</v>
      </c>
      <c r="K2605" t="s">
        <v>26</v>
      </c>
      <c r="L2605" t="s">
        <v>18</v>
      </c>
      <c r="M2605" t="str">
        <f>VLOOKUP(D2609,Restaurant_Master!A:B,2,FALSE)</f>
        <v>https://dineout-media-assets.swiggy.com/swiggy/image/upload/fl_lossy,f_auto,q_auto/v1660793737/fdqxvxcxg1wtdwvyv45v.jpg</v>
      </c>
    </row>
    <row r="2606" spans="1:13" x14ac:dyDescent="0.3">
      <c r="A2606" t="s">
        <v>2636</v>
      </c>
      <c r="B2606" s="1">
        <v>45375</v>
      </c>
      <c r="C2606" t="s">
        <v>20</v>
      </c>
      <c r="D2606" t="s">
        <v>21</v>
      </c>
      <c r="E2606">
        <v>41</v>
      </c>
      <c r="F2606" t="s">
        <v>15</v>
      </c>
      <c r="G2606">
        <v>857.72</v>
      </c>
      <c r="H2606">
        <v>55</v>
      </c>
      <c r="I2606" t="s">
        <v>16</v>
      </c>
      <c r="J2606">
        <v>4.8</v>
      </c>
      <c r="K2606" t="s">
        <v>17</v>
      </c>
      <c r="L2606" t="s">
        <v>23</v>
      </c>
      <c r="M2606" t="str">
        <f>VLOOKUP(D2610,Restaurant_Master!A:B,2,FALSE)</f>
        <v>https://dynamic-media-cdn.tripadvisor.com/media/photo-o/1c/e7/04/0d/front-of-the-local-easily.jpg</v>
      </c>
    </row>
    <row r="2607" spans="1:13" x14ac:dyDescent="0.3">
      <c r="A2607" t="s">
        <v>2637</v>
      </c>
      <c r="B2607" s="1">
        <v>45610</v>
      </c>
      <c r="C2607" t="s">
        <v>34</v>
      </c>
      <c r="D2607" t="s">
        <v>32</v>
      </c>
      <c r="E2607">
        <v>51</v>
      </c>
      <c r="F2607" t="s">
        <v>15</v>
      </c>
      <c r="G2607">
        <v>1185.43</v>
      </c>
      <c r="H2607">
        <v>34</v>
      </c>
      <c r="I2607" t="s">
        <v>22</v>
      </c>
      <c r="J2607">
        <v>2.7</v>
      </c>
      <c r="K2607" t="s">
        <v>26</v>
      </c>
      <c r="L2607" t="s">
        <v>18</v>
      </c>
      <c r="M2607" t="str">
        <f>VLOOKUP(D2611,Restaurant_Master!A:B,2,FALSE)</f>
        <v>https://content.jdmagicbox.com/comp/deoria/g6/9999p5568.5568.200119143033.m4g6/catalogue/biryani-house-deoria-ho-deoria-mktc2xph0o.jpg</v>
      </c>
    </row>
    <row r="2608" spans="1:13" x14ac:dyDescent="0.3">
      <c r="A2608" t="s">
        <v>2638</v>
      </c>
      <c r="B2608" s="1">
        <v>45570</v>
      </c>
      <c r="C2608" t="s">
        <v>34</v>
      </c>
      <c r="D2608" t="s">
        <v>32</v>
      </c>
      <c r="E2608">
        <v>44</v>
      </c>
      <c r="F2608" t="s">
        <v>28</v>
      </c>
      <c r="G2608">
        <v>855.48</v>
      </c>
      <c r="H2608">
        <v>35</v>
      </c>
      <c r="I2608" t="s">
        <v>22</v>
      </c>
      <c r="J2608">
        <v>4.5999999999999996</v>
      </c>
      <c r="K2608" t="s">
        <v>17</v>
      </c>
      <c r="L2608" t="s">
        <v>18</v>
      </c>
      <c r="M2608" t="str">
        <f>VLOOKUP(D2612,Restaurant_Master!A:B,2,FALSE)</f>
        <v>https://www.chatswoodinterchange.com/storages/2018/08/Sushi-World_666x448.jpg</v>
      </c>
    </row>
    <row r="2609" spans="1:13" x14ac:dyDescent="0.3">
      <c r="A2609" t="s">
        <v>2639</v>
      </c>
      <c r="B2609" s="1">
        <v>45408</v>
      </c>
      <c r="C2609" t="s">
        <v>20</v>
      </c>
      <c r="D2609" t="s">
        <v>14</v>
      </c>
      <c r="E2609">
        <v>38</v>
      </c>
      <c r="F2609" t="s">
        <v>15</v>
      </c>
      <c r="G2609">
        <v>625.29999999999995</v>
      </c>
      <c r="H2609">
        <v>44</v>
      </c>
      <c r="I2609" t="s">
        <v>16</v>
      </c>
      <c r="J2609">
        <v>4.9000000000000004</v>
      </c>
      <c r="K2609" t="s">
        <v>17</v>
      </c>
      <c r="L2609" t="s">
        <v>18</v>
      </c>
      <c r="M2609" t="str">
        <f>VLOOKUP(D2613,Restaurant_Master!A:B,2,FALSE)</f>
        <v>https://www.chatswoodinterchange.com/storages/2018/08/Sushi-World_666x448.jpg</v>
      </c>
    </row>
    <row r="2610" spans="1:13" x14ac:dyDescent="0.3">
      <c r="A2610" t="s">
        <v>2640</v>
      </c>
      <c r="B2610" s="1">
        <v>45371</v>
      </c>
      <c r="C2610" t="s">
        <v>36</v>
      </c>
      <c r="D2610" t="s">
        <v>21</v>
      </c>
      <c r="E2610">
        <v>21</v>
      </c>
      <c r="F2610" t="s">
        <v>28</v>
      </c>
      <c r="G2610">
        <v>278.11</v>
      </c>
      <c r="H2610">
        <v>49</v>
      </c>
      <c r="I2610" t="s">
        <v>16</v>
      </c>
      <c r="J2610">
        <v>4.0999999999999996</v>
      </c>
      <c r="K2610" t="s">
        <v>41</v>
      </c>
      <c r="L2610" t="s">
        <v>23</v>
      </c>
      <c r="M2610" t="str">
        <f>VLOOKUP(D2614,Restaurant_Master!A:B,2,FALSE)</f>
        <v>https://media-cdn.tripadvisor.com/media/photo-s/1c/c7/97/b6/photo6jpg.jpg</v>
      </c>
    </row>
    <row r="2611" spans="1:13" x14ac:dyDescent="0.3">
      <c r="A2611" t="s">
        <v>2641</v>
      </c>
      <c r="B2611" s="1">
        <v>45652</v>
      </c>
      <c r="C2611" t="s">
        <v>36</v>
      </c>
      <c r="D2611" t="s">
        <v>32</v>
      </c>
      <c r="E2611">
        <v>47</v>
      </c>
      <c r="F2611" t="s">
        <v>15</v>
      </c>
      <c r="G2611">
        <v>592.76</v>
      </c>
      <c r="H2611">
        <v>52</v>
      </c>
      <c r="I2611" t="s">
        <v>16</v>
      </c>
      <c r="J2611">
        <v>4.8</v>
      </c>
      <c r="K2611" t="s">
        <v>29</v>
      </c>
      <c r="L2611" t="s">
        <v>23</v>
      </c>
      <c r="M2611" t="str">
        <f>VLOOKUP(D2615,Restaurant_Master!A:B,2,FALSE)</f>
        <v>https://www.chatswoodinterchange.com/storages/2018/08/Sushi-World_666x448.jpg</v>
      </c>
    </row>
    <row r="2612" spans="1:13" x14ac:dyDescent="0.3">
      <c r="A2612" t="s">
        <v>2642</v>
      </c>
      <c r="B2612" s="1">
        <v>45401</v>
      </c>
      <c r="C2612" t="s">
        <v>13</v>
      </c>
      <c r="D2612" t="s">
        <v>38</v>
      </c>
      <c r="E2612">
        <v>39</v>
      </c>
      <c r="F2612" t="s">
        <v>28</v>
      </c>
      <c r="G2612">
        <v>553.63</v>
      </c>
      <c r="H2612">
        <v>57</v>
      </c>
      <c r="I2612" t="s">
        <v>16</v>
      </c>
      <c r="J2612">
        <v>3.2</v>
      </c>
      <c r="K2612" t="s">
        <v>17</v>
      </c>
      <c r="L2612" t="s">
        <v>18</v>
      </c>
      <c r="M2612" t="str">
        <f>VLOOKUP(D2616,Restaurant_Master!A:B,2,FALSE)</f>
        <v>https://www.chatswoodinterchange.com/storages/2018/08/Sushi-World_666x448.jpg</v>
      </c>
    </row>
    <row r="2613" spans="1:13" x14ac:dyDescent="0.3">
      <c r="A2613" t="s">
        <v>2643</v>
      </c>
      <c r="B2613" s="1">
        <v>45322</v>
      </c>
      <c r="C2613" t="s">
        <v>13</v>
      </c>
      <c r="D2613" t="s">
        <v>38</v>
      </c>
      <c r="E2613">
        <v>30</v>
      </c>
      <c r="F2613" t="s">
        <v>28</v>
      </c>
      <c r="G2613">
        <v>835.46</v>
      </c>
      <c r="H2613">
        <v>45</v>
      </c>
      <c r="I2613" t="s">
        <v>16</v>
      </c>
      <c r="J2613">
        <v>3.5</v>
      </c>
      <c r="K2613" t="s">
        <v>29</v>
      </c>
      <c r="L2613" t="s">
        <v>23</v>
      </c>
      <c r="M2613" t="str">
        <f>VLOOKUP(D2617,Restaurant_Master!A:B,2,FALSE)</f>
        <v>https://dineout-media-assets.swiggy.com/swiggy/image/upload/fl_lossy,f_auto,q_auto/v1660793737/fdqxvxcxg1wtdwvyv45v.jpg</v>
      </c>
    </row>
    <row r="2614" spans="1:13" x14ac:dyDescent="0.3">
      <c r="A2614" t="s">
        <v>2644</v>
      </c>
      <c r="B2614" s="1">
        <v>45395</v>
      </c>
      <c r="C2614" t="s">
        <v>34</v>
      </c>
      <c r="D2614" t="s">
        <v>25</v>
      </c>
      <c r="E2614">
        <v>60</v>
      </c>
      <c r="F2614" t="s">
        <v>28</v>
      </c>
      <c r="G2614">
        <v>534.49</v>
      </c>
      <c r="H2614">
        <v>57</v>
      </c>
      <c r="I2614" t="s">
        <v>16</v>
      </c>
      <c r="J2614">
        <v>2.9</v>
      </c>
      <c r="K2614" t="s">
        <v>29</v>
      </c>
      <c r="L2614" t="s">
        <v>23</v>
      </c>
      <c r="M2614" t="str">
        <f>VLOOKUP(D2618,Restaurant_Master!A:B,2,FALSE)</f>
        <v>https://www.chatswoodinterchange.com/storages/2018/08/Sushi-World_666x448.jpg</v>
      </c>
    </row>
    <row r="2615" spans="1:13" x14ac:dyDescent="0.3">
      <c r="A2615" t="s">
        <v>2645</v>
      </c>
      <c r="B2615" s="1">
        <v>45377</v>
      </c>
      <c r="C2615" t="s">
        <v>36</v>
      </c>
      <c r="D2615" t="s">
        <v>38</v>
      </c>
      <c r="E2615">
        <v>55</v>
      </c>
      <c r="F2615" t="s">
        <v>15</v>
      </c>
      <c r="G2615">
        <v>1021.85</v>
      </c>
      <c r="H2615">
        <v>33</v>
      </c>
      <c r="I2615" t="s">
        <v>22</v>
      </c>
      <c r="J2615">
        <v>4.5</v>
      </c>
      <c r="K2615" t="s">
        <v>29</v>
      </c>
      <c r="L2615" t="s">
        <v>23</v>
      </c>
      <c r="M2615" t="str">
        <f>VLOOKUP(D2619,Restaurant_Master!A:B,2,FALSE)</f>
        <v>https://dineout-media-assets.swiggy.com/swiggy/image/upload/fl_lossy,f_auto,q_auto/v1660793737/fdqxvxcxg1wtdwvyv45v.jpg</v>
      </c>
    </row>
    <row r="2616" spans="1:13" x14ac:dyDescent="0.3">
      <c r="A2616" t="s">
        <v>2646</v>
      </c>
      <c r="B2616" s="1">
        <v>45404</v>
      </c>
      <c r="C2616" t="s">
        <v>34</v>
      </c>
      <c r="D2616" t="s">
        <v>38</v>
      </c>
      <c r="E2616">
        <v>30</v>
      </c>
      <c r="F2616" t="s">
        <v>28</v>
      </c>
      <c r="G2616">
        <v>1035.1500000000001</v>
      </c>
      <c r="H2616">
        <v>55</v>
      </c>
      <c r="I2616" t="s">
        <v>16</v>
      </c>
      <c r="J2616">
        <v>4.4000000000000004</v>
      </c>
      <c r="K2616" t="s">
        <v>29</v>
      </c>
      <c r="L2616" t="s">
        <v>23</v>
      </c>
      <c r="M2616" t="str">
        <f>VLOOKUP(D2620,Restaurant_Master!A:B,2,FALSE)</f>
        <v>https://dineout-media-assets.swiggy.com/swiggy/image/upload/fl_lossy,f_auto,q_auto/v1660793737/fdqxvxcxg1wtdwvyv45v.jpg</v>
      </c>
    </row>
    <row r="2617" spans="1:13" x14ac:dyDescent="0.3">
      <c r="A2617" t="s">
        <v>2647</v>
      </c>
      <c r="B2617" s="1">
        <v>45629</v>
      </c>
      <c r="C2617" t="s">
        <v>36</v>
      </c>
      <c r="D2617" t="s">
        <v>14</v>
      </c>
      <c r="E2617">
        <v>40</v>
      </c>
      <c r="F2617" t="s">
        <v>28</v>
      </c>
      <c r="G2617">
        <v>316.14999999999998</v>
      </c>
      <c r="H2617">
        <v>27</v>
      </c>
      <c r="I2617" t="s">
        <v>22</v>
      </c>
      <c r="J2617">
        <v>3</v>
      </c>
      <c r="K2617" t="s">
        <v>26</v>
      </c>
      <c r="L2617" t="s">
        <v>23</v>
      </c>
      <c r="M2617" t="str">
        <f>VLOOKUP(D2621,Restaurant_Master!A:B,2,FALSE)</f>
        <v>https://content.jdmagicbox.com/comp/deoria/g6/9999p5568.5568.200119143033.m4g6/catalogue/biryani-house-deoria-ho-deoria-mktc2xph0o.jpg</v>
      </c>
    </row>
    <row r="2618" spans="1:13" x14ac:dyDescent="0.3">
      <c r="A2618" t="s">
        <v>2648</v>
      </c>
      <c r="B2618" s="1">
        <v>45431</v>
      </c>
      <c r="C2618" t="s">
        <v>34</v>
      </c>
      <c r="D2618" t="s">
        <v>38</v>
      </c>
      <c r="E2618">
        <v>55</v>
      </c>
      <c r="F2618" t="s">
        <v>28</v>
      </c>
      <c r="G2618">
        <v>1022.32</v>
      </c>
      <c r="H2618">
        <v>49</v>
      </c>
      <c r="I2618" t="s">
        <v>16</v>
      </c>
      <c r="J2618">
        <v>3.7</v>
      </c>
      <c r="K2618" t="s">
        <v>26</v>
      </c>
      <c r="L2618" t="s">
        <v>18</v>
      </c>
      <c r="M2618" t="str">
        <f>VLOOKUP(D2622,Restaurant_Master!A:B,2,FALSE)</f>
        <v>https://content.jdmagicbox.com/comp/deoria/g6/9999p5568.5568.200119143033.m4g6/catalogue/biryani-house-deoria-ho-deoria-mktc2xph0o.jpg</v>
      </c>
    </row>
    <row r="2619" spans="1:13" x14ac:dyDescent="0.3">
      <c r="A2619" t="s">
        <v>2649</v>
      </c>
      <c r="B2619" s="1">
        <v>45557</v>
      </c>
      <c r="C2619" t="s">
        <v>34</v>
      </c>
      <c r="D2619" t="s">
        <v>14</v>
      </c>
      <c r="E2619">
        <v>20</v>
      </c>
      <c r="F2619" t="s">
        <v>15</v>
      </c>
      <c r="G2619">
        <v>1032.76</v>
      </c>
      <c r="H2619">
        <v>26</v>
      </c>
      <c r="I2619" t="s">
        <v>22</v>
      </c>
      <c r="J2619">
        <v>3.8</v>
      </c>
      <c r="K2619" t="s">
        <v>41</v>
      </c>
      <c r="L2619" t="s">
        <v>23</v>
      </c>
      <c r="M2619" t="str">
        <f>VLOOKUP(D2623,Restaurant_Master!A:B,2,FALSE)</f>
        <v>https://dynamic-media-cdn.tripadvisor.com/media/photo-o/1c/e7/04/0d/front-of-the-local-easily.jpg</v>
      </c>
    </row>
    <row r="2620" spans="1:13" x14ac:dyDescent="0.3">
      <c r="A2620" t="s">
        <v>2650</v>
      </c>
      <c r="B2620" s="1">
        <v>45573</v>
      </c>
      <c r="C2620" t="s">
        <v>43</v>
      </c>
      <c r="D2620" t="s">
        <v>14</v>
      </c>
      <c r="E2620">
        <v>33</v>
      </c>
      <c r="F2620" t="s">
        <v>28</v>
      </c>
      <c r="G2620">
        <v>614.88</v>
      </c>
      <c r="H2620">
        <v>60</v>
      </c>
      <c r="I2620" t="s">
        <v>16</v>
      </c>
      <c r="J2620">
        <v>4.0999999999999996</v>
      </c>
      <c r="K2620" t="s">
        <v>26</v>
      </c>
      <c r="L2620" t="s">
        <v>18</v>
      </c>
      <c r="M2620" t="str">
        <f>VLOOKUP(D2624,Restaurant_Master!A:B,2,FALSE)</f>
        <v>https://content.jdmagicbox.com/comp/deoria/g6/9999p5568.5568.200119143033.m4g6/catalogue/biryani-house-deoria-ho-deoria-mktc2xph0o.jpg</v>
      </c>
    </row>
    <row r="2621" spans="1:13" x14ac:dyDescent="0.3">
      <c r="A2621" t="s">
        <v>2651</v>
      </c>
      <c r="B2621" s="1">
        <v>45473</v>
      </c>
      <c r="C2621" t="s">
        <v>34</v>
      </c>
      <c r="D2621" t="s">
        <v>32</v>
      </c>
      <c r="E2621">
        <v>18</v>
      </c>
      <c r="F2621" t="s">
        <v>15</v>
      </c>
      <c r="G2621">
        <v>403.64</v>
      </c>
      <c r="H2621">
        <v>31</v>
      </c>
      <c r="I2621" t="s">
        <v>22</v>
      </c>
      <c r="J2621">
        <v>4.2</v>
      </c>
      <c r="K2621" t="s">
        <v>29</v>
      </c>
      <c r="L2621" t="s">
        <v>18</v>
      </c>
      <c r="M2621" t="str">
        <f>VLOOKUP(D2625,Restaurant_Master!A:B,2,FALSE)</f>
        <v>https://dynamic-media-cdn.tripadvisor.com/media/photo-o/1c/e7/04/0d/front-of-the-local-easily.jpg</v>
      </c>
    </row>
    <row r="2622" spans="1:13" x14ac:dyDescent="0.3">
      <c r="A2622" t="s">
        <v>2652</v>
      </c>
      <c r="B2622" s="1">
        <v>45356</v>
      </c>
      <c r="C2622" t="s">
        <v>36</v>
      </c>
      <c r="D2622" t="s">
        <v>32</v>
      </c>
      <c r="E2622">
        <v>50</v>
      </c>
      <c r="F2622" t="s">
        <v>15</v>
      </c>
      <c r="G2622">
        <v>372.46</v>
      </c>
      <c r="H2622">
        <v>60</v>
      </c>
      <c r="I2622" t="s">
        <v>16</v>
      </c>
      <c r="J2622">
        <v>4.5</v>
      </c>
      <c r="K2622" t="s">
        <v>41</v>
      </c>
      <c r="L2622" t="s">
        <v>18</v>
      </c>
      <c r="M2622" t="str">
        <f>VLOOKUP(D2626,Restaurant_Master!A:B,2,FALSE)</f>
        <v>https://dynamic-media-cdn.tripadvisor.com/media/photo-o/1c/e7/04/0d/front-of-the-local-easily.jpg</v>
      </c>
    </row>
    <row r="2623" spans="1:13" x14ac:dyDescent="0.3">
      <c r="A2623" t="s">
        <v>2653</v>
      </c>
      <c r="B2623" s="1">
        <v>45587</v>
      </c>
      <c r="C2623" t="s">
        <v>34</v>
      </c>
      <c r="D2623" t="s">
        <v>21</v>
      </c>
      <c r="E2623">
        <v>48</v>
      </c>
      <c r="F2623" t="s">
        <v>15</v>
      </c>
      <c r="G2623">
        <v>1031.46</v>
      </c>
      <c r="H2623">
        <v>30</v>
      </c>
      <c r="I2623" t="s">
        <v>22</v>
      </c>
      <c r="J2623">
        <v>4.9000000000000004</v>
      </c>
      <c r="K2623" t="s">
        <v>26</v>
      </c>
      <c r="L2623" t="s">
        <v>18</v>
      </c>
      <c r="M2623" t="str">
        <f>VLOOKUP(D2627,Restaurant_Master!A:B,2,FALSE)</f>
        <v>https://dineout-media-assets.swiggy.com/swiggy/image/upload/fl_lossy,f_auto,q_auto/v1660793737/fdqxvxcxg1wtdwvyv45v.jpg</v>
      </c>
    </row>
    <row r="2624" spans="1:13" x14ac:dyDescent="0.3">
      <c r="A2624" t="s">
        <v>2654</v>
      </c>
      <c r="B2624" s="1">
        <v>45464</v>
      </c>
      <c r="C2624" t="s">
        <v>20</v>
      </c>
      <c r="D2624" t="s">
        <v>32</v>
      </c>
      <c r="E2624">
        <v>46</v>
      </c>
      <c r="F2624" t="s">
        <v>15</v>
      </c>
      <c r="G2624">
        <v>728.87</v>
      </c>
      <c r="H2624">
        <v>27</v>
      </c>
      <c r="I2624" t="s">
        <v>22</v>
      </c>
      <c r="J2624">
        <v>4.5</v>
      </c>
      <c r="K2624" t="s">
        <v>41</v>
      </c>
      <c r="L2624" t="s">
        <v>23</v>
      </c>
      <c r="M2624" t="str">
        <f>VLOOKUP(D2628,Restaurant_Master!A:B,2,FALSE)</f>
        <v>https://dineout-media-assets.swiggy.com/swiggy/image/upload/fl_lossy,f_auto,q_auto/v1660793737/fdqxvxcxg1wtdwvyv45v.jpg</v>
      </c>
    </row>
    <row r="2625" spans="1:13" x14ac:dyDescent="0.3">
      <c r="A2625" t="s">
        <v>2655</v>
      </c>
      <c r="B2625" s="1">
        <v>45521</v>
      </c>
      <c r="C2625" t="s">
        <v>20</v>
      </c>
      <c r="D2625" t="s">
        <v>21</v>
      </c>
      <c r="E2625">
        <v>46</v>
      </c>
      <c r="F2625" t="s">
        <v>28</v>
      </c>
      <c r="G2625">
        <v>1019.45</v>
      </c>
      <c r="H2625">
        <v>38</v>
      </c>
      <c r="I2625" t="s">
        <v>22</v>
      </c>
      <c r="J2625">
        <v>2.9</v>
      </c>
      <c r="K2625" t="s">
        <v>41</v>
      </c>
      <c r="L2625" t="s">
        <v>18</v>
      </c>
      <c r="M2625" t="str">
        <f>VLOOKUP(D2629,Restaurant_Master!A:B,2,FALSE)</f>
        <v>https://dineout-media-assets.swiggy.com/swiggy/image/upload/fl_lossy,f_auto,q_auto/v1660793737/fdqxvxcxg1wtdwvyv45v.jpg</v>
      </c>
    </row>
    <row r="2626" spans="1:13" x14ac:dyDescent="0.3">
      <c r="A2626" t="s">
        <v>2656</v>
      </c>
      <c r="B2626" s="1">
        <v>45551</v>
      </c>
      <c r="C2626" t="s">
        <v>34</v>
      </c>
      <c r="D2626" t="s">
        <v>21</v>
      </c>
      <c r="E2626">
        <v>53</v>
      </c>
      <c r="F2626" t="s">
        <v>28</v>
      </c>
      <c r="G2626">
        <v>675.64</v>
      </c>
      <c r="H2626">
        <v>28</v>
      </c>
      <c r="I2626" t="s">
        <v>22</v>
      </c>
      <c r="J2626">
        <v>2.7</v>
      </c>
      <c r="K2626" t="s">
        <v>29</v>
      </c>
      <c r="L2626" t="s">
        <v>18</v>
      </c>
      <c r="M2626" t="str">
        <f>VLOOKUP(D2630,Restaurant_Master!A:B,2,FALSE)</f>
        <v>https://dineout-media-assets.swiggy.com/swiggy/image/upload/fl_lossy,f_auto,q_auto/v1660793737/fdqxvxcxg1wtdwvyv45v.jpg</v>
      </c>
    </row>
    <row r="2627" spans="1:13" x14ac:dyDescent="0.3">
      <c r="A2627" t="s">
        <v>2657</v>
      </c>
      <c r="B2627" s="1">
        <v>45581</v>
      </c>
      <c r="C2627" t="s">
        <v>13</v>
      </c>
      <c r="D2627" t="s">
        <v>14</v>
      </c>
      <c r="E2627">
        <v>42</v>
      </c>
      <c r="F2627" t="s">
        <v>28</v>
      </c>
      <c r="G2627">
        <v>923.23</v>
      </c>
      <c r="H2627">
        <v>55</v>
      </c>
      <c r="I2627" t="s">
        <v>16</v>
      </c>
      <c r="J2627">
        <v>2.6</v>
      </c>
      <c r="K2627" t="s">
        <v>26</v>
      </c>
      <c r="L2627" t="s">
        <v>18</v>
      </c>
      <c r="M2627" t="str">
        <f>VLOOKUP(D2631,Restaurant_Master!A:B,2,FALSE)</f>
        <v>https://www.chatswoodinterchange.com/storages/2018/08/Sushi-World_666x448.jpg</v>
      </c>
    </row>
    <row r="2628" spans="1:13" x14ac:dyDescent="0.3">
      <c r="A2628" t="s">
        <v>2658</v>
      </c>
      <c r="B2628" s="1">
        <v>45372</v>
      </c>
      <c r="C2628" t="s">
        <v>43</v>
      </c>
      <c r="D2628" t="s">
        <v>14</v>
      </c>
      <c r="E2628">
        <v>60</v>
      </c>
      <c r="F2628" t="s">
        <v>28</v>
      </c>
      <c r="G2628">
        <v>585.08000000000004</v>
      </c>
      <c r="H2628">
        <v>57</v>
      </c>
      <c r="I2628" t="s">
        <v>16</v>
      </c>
      <c r="J2628">
        <v>3</v>
      </c>
      <c r="K2628" t="s">
        <v>17</v>
      </c>
      <c r="L2628" t="s">
        <v>18</v>
      </c>
      <c r="M2628" t="str">
        <f>VLOOKUP(D2632,Restaurant_Master!A:B,2,FALSE)</f>
        <v>https://content.jdmagicbox.com/comp/deoria/g6/9999p5568.5568.200119143033.m4g6/catalogue/biryani-house-deoria-ho-deoria-mktc2xph0o.jpg</v>
      </c>
    </row>
    <row r="2629" spans="1:13" x14ac:dyDescent="0.3">
      <c r="A2629" t="s">
        <v>2659</v>
      </c>
      <c r="B2629" s="1">
        <v>45537</v>
      </c>
      <c r="C2629" t="s">
        <v>20</v>
      </c>
      <c r="D2629" t="s">
        <v>14</v>
      </c>
      <c r="E2629">
        <v>31</v>
      </c>
      <c r="F2629" t="s">
        <v>28</v>
      </c>
      <c r="G2629">
        <v>604.09</v>
      </c>
      <c r="H2629">
        <v>60</v>
      </c>
      <c r="I2629" t="s">
        <v>16</v>
      </c>
      <c r="J2629">
        <v>3.5</v>
      </c>
      <c r="K2629" t="s">
        <v>41</v>
      </c>
      <c r="L2629" t="s">
        <v>23</v>
      </c>
      <c r="M2629" t="str">
        <f>VLOOKUP(D2633,Restaurant_Master!A:B,2,FALSE)</f>
        <v>https://dynamic-media-cdn.tripadvisor.com/media/photo-o/1c/e7/04/0d/front-of-the-local-easily.jpg</v>
      </c>
    </row>
    <row r="2630" spans="1:13" x14ac:dyDescent="0.3">
      <c r="A2630" t="s">
        <v>2660</v>
      </c>
      <c r="B2630" s="1">
        <v>45353</v>
      </c>
      <c r="C2630" t="s">
        <v>36</v>
      </c>
      <c r="D2630" t="s">
        <v>14</v>
      </c>
      <c r="E2630">
        <v>21</v>
      </c>
      <c r="F2630" t="s">
        <v>28</v>
      </c>
      <c r="G2630">
        <v>957.36</v>
      </c>
      <c r="H2630">
        <v>34</v>
      </c>
      <c r="I2630" t="s">
        <v>22</v>
      </c>
      <c r="J2630">
        <v>3.2</v>
      </c>
      <c r="K2630" t="s">
        <v>26</v>
      </c>
      <c r="L2630" t="s">
        <v>18</v>
      </c>
      <c r="M2630" t="str">
        <f>VLOOKUP(D2634,Restaurant_Master!A:B,2,FALSE)</f>
        <v>https://dynamic-media-cdn.tripadvisor.com/media/photo-o/1c/e7/04/0d/front-of-the-local-easily.jpg</v>
      </c>
    </row>
    <row r="2631" spans="1:13" x14ac:dyDescent="0.3">
      <c r="A2631" t="s">
        <v>2661</v>
      </c>
      <c r="B2631" s="1">
        <v>45485</v>
      </c>
      <c r="C2631" t="s">
        <v>13</v>
      </c>
      <c r="D2631" t="s">
        <v>38</v>
      </c>
      <c r="E2631">
        <v>26</v>
      </c>
      <c r="F2631" t="s">
        <v>28</v>
      </c>
      <c r="G2631">
        <v>798.66</v>
      </c>
      <c r="H2631">
        <v>24</v>
      </c>
      <c r="I2631" t="s">
        <v>22</v>
      </c>
      <c r="J2631">
        <v>3.4</v>
      </c>
      <c r="K2631" t="s">
        <v>17</v>
      </c>
      <c r="L2631" t="s">
        <v>23</v>
      </c>
      <c r="M2631" t="str">
        <f>VLOOKUP(D2635,Restaurant_Master!A:B,2,FALSE)</f>
        <v>https://www.chatswoodinterchange.com/storages/2018/08/Sushi-World_666x448.jpg</v>
      </c>
    </row>
    <row r="2632" spans="1:13" x14ac:dyDescent="0.3">
      <c r="A2632" t="s">
        <v>2662</v>
      </c>
      <c r="B2632" s="1">
        <v>45542</v>
      </c>
      <c r="C2632" t="s">
        <v>36</v>
      </c>
      <c r="D2632" t="s">
        <v>32</v>
      </c>
      <c r="E2632">
        <v>39</v>
      </c>
      <c r="F2632" t="s">
        <v>28</v>
      </c>
      <c r="G2632">
        <v>855.83</v>
      </c>
      <c r="H2632">
        <v>34</v>
      </c>
      <c r="I2632" t="s">
        <v>22</v>
      </c>
      <c r="J2632">
        <v>3.1</v>
      </c>
      <c r="K2632" t="s">
        <v>26</v>
      </c>
      <c r="L2632" t="s">
        <v>18</v>
      </c>
      <c r="M2632" t="str">
        <f>VLOOKUP(D2636,Restaurant_Master!A:B,2,FALSE)</f>
        <v>https://dineout-media-assets.swiggy.com/swiggy/image/upload/fl_lossy,f_auto,q_auto/v1660793737/fdqxvxcxg1wtdwvyv45v.jpg</v>
      </c>
    </row>
    <row r="2633" spans="1:13" x14ac:dyDescent="0.3">
      <c r="A2633" t="s">
        <v>2663</v>
      </c>
      <c r="B2633" s="1">
        <v>45538</v>
      </c>
      <c r="C2633" t="s">
        <v>20</v>
      </c>
      <c r="D2633" t="s">
        <v>21</v>
      </c>
      <c r="E2633">
        <v>54</v>
      </c>
      <c r="F2633" t="s">
        <v>15</v>
      </c>
      <c r="G2633">
        <v>773.4</v>
      </c>
      <c r="H2633">
        <v>45</v>
      </c>
      <c r="I2633" t="s">
        <v>16</v>
      </c>
      <c r="J2633">
        <v>2.6</v>
      </c>
      <c r="K2633" t="s">
        <v>41</v>
      </c>
      <c r="L2633" t="s">
        <v>23</v>
      </c>
      <c r="M2633" t="str">
        <f>VLOOKUP(D2637,Restaurant_Master!A:B,2,FALSE)</f>
        <v>https://dineout-media-assets.swiggy.com/swiggy/image/upload/fl_lossy,f_auto,q_auto/v1660793737/fdqxvxcxg1wtdwvyv45v.jpg</v>
      </c>
    </row>
    <row r="2634" spans="1:13" x14ac:dyDescent="0.3">
      <c r="A2634" t="s">
        <v>2664</v>
      </c>
      <c r="B2634" s="1">
        <v>45294</v>
      </c>
      <c r="C2634" t="s">
        <v>43</v>
      </c>
      <c r="D2634" t="s">
        <v>21</v>
      </c>
      <c r="E2634">
        <v>37</v>
      </c>
      <c r="F2634" t="s">
        <v>28</v>
      </c>
      <c r="G2634">
        <v>706.81</v>
      </c>
      <c r="H2634">
        <v>52</v>
      </c>
      <c r="I2634" t="s">
        <v>16</v>
      </c>
      <c r="J2634">
        <v>4.5999999999999996</v>
      </c>
      <c r="K2634" t="s">
        <v>17</v>
      </c>
      <c r="L2634" t="s">
        <v>18</v>
      </c>
      <c r="M2634" t="str">
        <f>VLOOKUP(D2638,Restaurant_Master!A:B,2,FALSE)</f>
        <v>https://www.chatswoodinterchange.com/storages/2018/08/Sushi-World_666x448.jpg</v>
      </c>
    </row>
    <row r="2635" spans="1:13" x14ac:dyDescent="0.3">
      <c r="A2635" t="s">
        <v>2665</v>
      </c>
      <c r="B2635" s="1">
        <v>45422</v>
      </c>
      <c r="C2635" t="s">
        <v>13</v>
      </c>
      <c r="D2635" t="s">
        <v>38</v>
      </c>
      <c r="E2635">
        <v>43</v>
      </c>
      <c r="F2635" t="s">
        <v>28</v>
      </c>
      <c r="G2635">
        <v>408.95</v>
      </c>
      <c r="H2635">
        <v>39</v>
      </c>
      <c r="I2635" t="s">
        <v>22</v>
      </c>
      <c r="J2635">
        <v>3.9</v>
      </c>
      <c r="K2635" t="s">
        <v>29</v>
      </c>
      <c r="L2635" t="s">
        <v>18</v>
      </c>
      <c r="M2635" t="str">
        <f>VLOOKUP(D2639,Restaurant_Master!A:B,2,FALSE)</f>
        <v>https://content.jdmagicbox.com/comp/deoria/g6/9999p5568.5568.200119143033.m4g6/catalogue/biryani-house-deoria-ho-deoria-mktc2xph0o.jpg</v>
      </c>
    </row>
    <row r="2636" spans="1:13" x14ac:dyDescent="0.3">
      <c r="A2636" t="s">
        <v>2666</v>
      </c>
      <c r="B2636" s="1">
        <v>45450</v>
      </c>
      <c r="C2636" t="s">
        <v>13</v>
      </c>
      <c r="D2636" t="s">
        <v>14</v>
      </c>
      <c r="E2636">
        <v>26</v>
      </c>
      <c r="F2636" t="s">
        <v>15</v>
      </c>
      <c r="G2636">
        <v>812.61</v>
      </c>
      <c r="H2636">
        <v>24</v>
      </c>
      <c r="I2636" t="s">
        <v>22</v>
      </c>
      <c r="J2636">
        <v>2.9</v>
      </c>
      <c r="K2636" t="s">
        <v>29</v>
      </c>
      <c r="L2636" t="s">
        <v>18</v>
      </c>
      <c r="M2636" t="str">
        <f>VLOOKUP(D2640,Restaurant_Master!A:B,2,FALSE)</f>
        <v>https://content.jdmagicbox.com/comp/deoria/g6/9999p5568.5568.200119143033.m4g6/catalogue/biryani-house-deoria-ho-deoria-mktc2xph0o.jpg</v>
      </c>
    </row>
    <row r="2637" spans="1:13" x14ac:dyDescent="0.3">
      <c r="A2637" t="s">
        <v>2667</v>
      </c>
      <c r="B2637" s="1">
        <v>45295</v>
      </c>
      <c r="C2637" t="s">
        <v>20</v>
      </c>
      <c r="D2637" t="s">
        <v>14</v>
      </c>
      <c r="E2637">
        <v>27</v>
      </c>
      <c r="F2637" t="s">
        <v>15</v>
      </c>
      <c r="G2637">
        <v>1043.69</v>
      </c>
      <c r="H2637">
        <v>35</v>
      </c>
      <c r="I2637" t="s">
        <v>22</v>
      </c>
      <c r="J2637">
        <v>2.8</v>
      </c>
      <c r="K2637" t="s">
        <v>17</v>
      </c>
      <c r="L2637" t="s">
        <v>18</v>
      </c>
      <c r="M2637" t="str">
        <f>VLOOKUP(D2641,Restaurant_Master!A:B,2,FALSE)</f>
        <v>https://dynamic-media-cdn.tripadvisor.com/media/photo-o/1c/e7/04/0d/front-of-the-local-easily.jpg</v>
      </c>
    </row>
    <row r="2638" spans="1:13" x14ac:dyDescent="0.3">
      <c r="A2638" t="s">
        <v>2668</v>
      </c>
      <c r="B2638" s="1">
        <v>45560</v>
      </c>
      <c r="C2638" t="s">
        <v>20</v>
      </c>
      <c r="D2638" t="s">
        <v>38</v>
      </c>
      <c r="E2638">
        <v>22</v>
      </c>
      <c r="F2638" t="s">
        <v>15</v>
      </c>
      <c r="G2638">
        <v>716.63</v>
      </c>
      <c r="H2638">
        <v>21</v>
      </c>
      <c r="I2638" t="s">
        <v>22</v>
      </c>
      <c r="J2638">
        <v>4.2</v>
      </c>
      <c r="K2638" t="s">
        <v>41</v>
      </c>
      <c r="L2638" t="s">
        <v>23</v>
      </c>
      <c r="M2638" t="str">
        <f>VLOOKUP(D2642,Restaurant_Master!A:B,2,FALSE)</f>
        <v>https://www.chatswoodinterchange.com/storages/2018/08/Sushi-World_666x448.jpg</v>
      </c>
    </row>
    <row r="2639" spans="1:13" x14ac:dyDescent="0.3">
      <c r="A2639" t="s">
        <v>2669</v>
      </c>
      <c r="B2639" s="1">
        <v>45524</v>
      </c>
      <c r="C2639" t="s">
        <v>43</v>
      </c>
      <c r="D2639" t="s">
        <v>32</v>
      </c>
      <c r="E2639">
        <v>42</v>
      </c>
      <c r="F2639" t="s">
        <v>15</v>
      </c>
      <c r="G2639">
        <v>993.92</v>
      </c>
      <c r="H2639">
        <v>47</v>
      </c>
      <c r="I2639" t="s">
        <v>16</v>
      </c>
      <c r="J2639">
        <v>2.5</v>
      </c>
      <c r="K2639" t="s">
        <v>26</v>
      </c>
      <c r="L2639" t="s">
        <v>18</v>
      </c>
      <c r="M2639" t="str">
        <f>VLOOKUP(D2643,Restaurant_Master!A:B,2,FALSE)</f>
        <v>https://media-cdn.tripadvisor.com/media/photo-s/1c/c7/97/b6/photo6jpg.jpg</v>
      </c>
    </row>
    <row r="2640" spans="1:13" x14ac:dyDescent="0.3">
      <c r="A2640" t="s">
        <v>2670</v>
      </c>
      <c r="B2640" s="1">
        <v>45649</v>
      </c>
      <c r="C2640" t="s">
        <v>13</v>
      </c>
      <c r="D2640" t="s">
        <v>32</v>
      </c>
      <c r="E2640">
        <v>50</v>
      </c>
      <c r="F2640" t="s">
        <v>15</v>
      </c>
      <c r="G2640">
        <v>1117.8699999999999</v>
      </c>
      <c r="H2640">
        <v>57</v>
      </c>
      <c r="I2640" t="s">
        <v>16</v>
      </c>
      <c r="J2640">
        <v>3.6</v>
      </c>
      <c r="K2640" t="s">
        <v>26</v>
      </c>
      <c r="L2640" t="s">
        <v>23</v>
      </c>
      <c r="M2640" t="str">
        <f>VLOOKUP(D2644,Restaurant_Master!A:B,2,FALSE)</f>
        <v>https://media-cdn.tripadvisor.com/media/photo-s/1c/c7/97/b6/photo6jpg.jpg</v>
      </c>
    </row>
    <row r="2641" spans="1:13" x14ac:dyDescent="0.3">
      <c r="A2641" t="s">
        <v>2671</v>
      </c>
      <c r="B2641" s="1">
        <v>45408</v>
      </c>
      <c r="C2641" t="s">
        <v>13</v>
      </c>
      <c r="D2641" t="s">
        <v>21</v>
      </c>
      <c r="E2641">
        <v>33</v>
      </c>
      <c r="F2641" t="s">
        <v>28</v>
      </c>
      <c r="G2641">
        <v>223.9</v>
      </c>
      <c r="H2641">
        <v>20</v>
      </c>
      <c r="I2641" t="s">
        <v>22</v>
      </c>
      <c r="J2641">
        <v>4.4000000000000004</v>
      </c>
      <c r="K2641" t="s">
        <v>41</v>
      </c>
      <c r="L2641" t="s">
        <v>18</v>
      </c>
      <c r="M2641" t="str">
        <f>VLOOKUP(D2645,Restaurant_Master!A:B,2,FALSE)</f>
        <v>https://media-cdn.tripadvisor.com/media/photo-s/1c/c7/97/b6/photo6jpg.jpg</v>
      </c>
    </row>
    <row r="2642" spans="1:13" x14ac:dyDescent="0.3">
      <c r="A2642" t="s">
        <v>2672</v>
      </c>
      <c r="B2642" s="1">
        <v>45474</v>
      </c>
      <c r="C2642" t="s">
        <v>36</v>
      </c>
      <c r="D2642" t="s">
        <v>38</v>
      </c>
      <c r="E2642">
        <v>41</v>
      </c>
      <c r="F2642" t="s">
        <v>28</v>
      </c>
      <c r="G2642">
        <v>681.9</v>
      </c>
      <c r="H2642">
        <v>39</v>
      </c>
      <c r="I2642" t="s">
        <v>22</v>
      </c>
      <c r="J2642">
        <v>4.8</v>
      </c>
      <c r="K2642" t="s">
        <v>26</v>
      </c>
      <c r="L2642" t="s">
        <v>18</v>
      </c>
      <c r="M2642" t="str">
        <f>VLOOKUP(D2646,Restaurant_Master!A:B,2,FALSE)</f>
        <v>https://content.jdmagicbox.com/comp/deoria/g6/9999p5568.5568.200119143033.m4g6/catalogue/biryani-house-deoria-ho-deoria-mktc2xph0o.jpg</v>
      </c>
    </row>
    <row r="2643" spans="1:13" x14ac:dyDescent="0.3">
      <c r="A2643" t="s">
        <v>2673</v>
      </c>
      <c r="B2643" s="1">
        <v>45325</v>
      </c>
      <c r="C2643" t="s">
        <v>43</v>
      </c>
      <c r="D2643" t="s">
        <v>25</v>
      </c>
      <c r="E2643">
        <v>21</v>
      </c>
      <c r="F2643" t="s">
        <v>28</v>
      </c>
      <c r="G2643">
        <v>653.38</v>
      </c>
      <c r="H2643">
        <v>47</v>
      </c>
      <c r="I2643" t="s">
        <v>16</v>
      </c>
      <c r="J2643">
        <v>3.5</v>
      </c>
      <c r="K2643" t="s">
        <v>41</v>
      </c>
      <c r="L2643" t="s">
        <v>18</v>
      </c>
      <c r="M2643" t="str">
        <f>VLOOKUP(D2647,Restaurant_Master!A:B,2,FALSE)</f>
        <v>https://media-cdn.tripadvisor.com/media/photo-s/1c/c7/97/b6/photo6jpg.jpg</v>
      </c>
    </row>
    <row r="2644" spans="1:13" x14ac:dyDescent="0.3">
      <c r="A2644" t="s">
        <v>2674</v>
      </c>
      <c r="B2644" s="1">
        <v>45330</v>
      </c>
      <c r="C2644" t="s">
        <v>36</v>
      </c>
      <c r="D2644" t="s">
        <v>25</v>
      </c>
      <c r="E2644">
        <v>55</v>
      </c>
      <c r="F2644" t="s">
        <v>28</v>
      </c>
      <c r="G2644">
        <v>575.41</v>
      </c>
      <c r="H2644">
        <v>49</v>
      </c>
      <c r="I2644" t="s">
        <v>16</v>
      </c>
      <c r="J2644">
        <v>5</v>
      </c>
      <c r="K2644" t="s">
        <v>26</v>
      </c>
      <c r="L2644" t="s">
        <v>18</v>
      </c>
      <c r="M2644" t="str">
        <f>VLOOKUP(D2648,Restaurant_Master!A:B,2,FALSE)</f>
        <v>https://www.chatswoodinterchange.com/storages/2018/08/Sushi-World_666x448.jpg</v>
      </c>
    </row>
    <row r="2645" spans="1:13" x14ac:dyDescent="0.3">
      <c r="A2645" t="s">
        <v>2675</v>
      </c>
      <c r="B2645" s="1">
        <v>45357</v>
      </c>
      <c r="C2645" t="s">
        <v>36</v>
      </c>
      <c r="D2645" t="s">
        <v>25</v>
      </c>
      <c r="E2645">
        <v>26</v>
      </c>
      <c r="F2645" t="s">
        <v>28</v>
      </c>
      <c r="G2645">
        <v>503.02</v>
      </c>
      <c r="H2645">
        <v>45</v>
      </c>
      <c r="I2645" t="s">
        <v>16</v>
      </c>
      <c r="J2645">
        <v>3.2</v>
      </c>
      <c r="K2645" t="s">
        <v>41</v>
      </c>
      <c r="L2645" t="s">
        <v>23</v>
      </c>
      <c r="M2645" t="str">
        <f>VLOOKUP(D2649,Restaurant_Master!A:B,2,FALSE)</f>
        <v>https://www.chatswoodinterchange.com/storages/2018/08/Sushi-World_666x448.jpg</v>
      </c>
    </row>
    <row r="2646" spans="1:13" x14ac:dyDescent="0.3">
      <c r="A2646" t="s">
        <v>2676</v>
      </c>
      <c r="B2646" s="1">
        <v>45340</v>
      </c>
      <c r="C2646" t="s">
        <v>34</v>
      </c>
      <c r="D2646" t="s">
        <v>32</v>
      </c>
      <c r="E2646">
        <v>59</v>
      </c>
      <c r="F2646" t="s">
        <v>15</v>
      </c>
      <c r="G2646">
        <v>783.53</v>
      </c>
      <c r="H2646">
        <v>28</v>
      </c>
      <c r="I2646" t="s">
        <v>22</v>
      </c>
      <c r="J2646">
        <v>3.7</v>
      </c>
      <c r="K2646" t="s">
        <v>17</v>
      </c>
      <c r="L2646" t="s">
        <v>23</v>
      </c>
      <c r="M2646" t="str">
        <f>VLOOKUP(D2650,Restaurant_Master!A:B,2,FALSE)</f>
        <v>https://media-cdn.tripadvisor.com/media/photo-s/1c/c7/97/b6/photo6jpg.jpg</v>
      </c>
    </row>
    <row r="2647" spans="1:13" x14ac:dyDescent="0.3">
      <c r="A2647" t="s">
        <v>2677</v>
      </c>
      <c r="B2647" s="1">
        <v>45350</v>
      </c>
      <c r="C2647" t="s">
        <v>43</v>
      </c>
      <c r="D2647" t="s">
        <v>25</v>
      </c>
      <c r="E2647">
        <v>53</v>
      </c>
      <c r="F2647" t="s">
        <v>28</v>
      </c>
      <c r="G2647">
        <v>1070.83</v>
      </c>
      <c r="H2647">
        <v>25</v>
      </c>
      <c r="I2647" t="s">
        <v>22</v>
      </c>
      <c r="J2647">
        <v>4.4000000000000004</v>
      </c>
      <c r="K2647" t="s">
        <v>41</v>
      </c>
      <c r="L2647" t="s">
        <v>18</v>
      </c>
      <c r="M2647" t="str">
        <f>VLOOKUP(D2651,Restaurant_Master!A:B,2,FALSE)</f>
        <v>https://dineout-media-assets.swiggy.com/swiggy/image/upload/fl_lossy,f_auto,q_auto/v1660793737/fdqxvxcxg1wtdwvyv45v.jpg</v>
      </c>
    </row>
    <row r="2648" spans="1:13" x14ac:dyDescent="0.3">
      <c r="A2648" t="s">
        <v>2678</v>
      </c>
      <c r="B2648" s="1">
        <v>45486</v>
      </c>
      <c r="C2648" t="s">
        <v>34</v>
      </c>
      <c r="D2648" t="s">
        <v>38</v>
      </c>
      <c r="E2648">
        <v>31</v>
      </c>
      <c r="F2648" t="s">
        <v>15</v>
      </c>
      <c r="G2648">
        <v>606.4</v>
      </c>
      <c r="H2648">
        <v>40</v>
      </c>
      <c r="I2648" t="s">
        <v>22</v>
      </c>
      <c r="J2648">
        <v>3.1</v>
      </c>
      <c r="K2648" t="s">
        <v>17</v>
      </c>
      <c r="L2648" t="s">
        <v>23</v>
      </c>
      <c r="M2648" t="str">
        <f>VLOOKUP(D2652,Restaurant_Master!A:B,2,FALSE)</f>
        <v>https://www.chatswoodinterchange.com/storages/2018/08/Sushi-World_666x448.jpg</v>
      </c>
    </row>
    <row r="2649" spans="1:13" x14ac:dyDescent="0.3">
      <c r="A2649" t="s">
        <v>2679</v>
      </c>
      <c r="B2649" s="1">
        <v>45299</v>
      </c>
      <c r="C2649" t="s">
        <v>13</v>
      </c>
      <c r="D2649" t="s">
        <v>38</v>
      </c>
      <c r="E2649">
        <v>32</v>
      </c>
      <c r="F2649" t="s">
        <v>15</v>
      </c>
      <c r="G2649">
        <v>1096.3</v>
      </c>
      <c r="H2649">
        <v>55</v>
      </c>
      <c r="I2649" t="s">
        <v>16</v>
      </c>
      <c r="J2649">
        <v>3</v>
      </c>
      <c r="K2649" t="s">
        <v>29</v>
      </c>
      <c r="L2649" t="s">
        <v>18</v>
      </c>
      <c r="M2649" t="str">
        <f>VLOOKUP(D2653,Restaurant_Master!A:B,2,FALSE)</f>
        <v>https://www.chatswoodinterchange.com/storages/2018/08/Sushi-World_666x448.jpg</v>
      </c>
    </row>
    <row r="2650" spans="1:13" x14ac:dyDescent="0.3">
      <c r="A2650" t="s">
        <v>2680</v>
      </c>
      <c r="B2650" s="1">
        <v>45411</v>
      </c>
      <c r="C2650" t="s">
        <v>43</v>
      </c>
      <c r="D2650" t="s">
        <v>25</v>
      </c>
      <c r="E2650">
        <v>31</v>
      </c>
      <c r="F2650" t="s">
        <v>15</v>
      </c>
      <c r="G2650">
        <v>480.6</v>
      </c>
      <c r="H2650">
        <v>53</v>
      </c>
      <c r="I2650" t="s">
        <v>16</v>
      </c>
      <c r="J2650">
        <v>2.5</v>
      </c>
      <c r="K2650" t="s">
        <v>17</v>
      </c>
      <c r="L2650" t="s">
        <v>23</v>
      </c>
      <c r="M2650" t="str">
        <f>VLOOKUP(D2654,Restaurant_Master!A:B,2,FALSE)</f>
        <v>https://media-cdn.tripadvisor.com/media/photo-s/1c/c7/97/b6/photo6jpg.jpg</v>
      </c>
    </row>
    <row r="2651" spans="1:13" x14ac:dyDescent="0.3">
      <c r="A2651" t="s">
        <v>2681</v>
      </c>
      <c r="B2651" s="1">
        <v>45609</v>
      </c>
      <c r="C2651" t="s">
        <v>43</v>
      </c>
      <c r="D2651" t="s">
        <v>14</v>
      </c>
      <c r="E2651">
        <v>31</v>
      </c>
      <c r="F2651" t="s">
        <v>28</v>
      </c>
      <c r="G2651">
        <v>903.42</v>
      </c>
      <c r="H2651">
        <v>60</v>
      </c>
      <c r="I2651" t="s">
        <v>16</v>
      </c>
      <c r="J2651">
        <v>4.2</v>
      </c>
      <c r="K2651" t="s">
        <v>26</v>
      </c>
      <c r="L2651" t="s">
        <v>18</v>
      </c>
      <c r="M2651" t="str">
        <f>VLOOKUP(D2655,Restaurant_Master!A:B,2,FALSE)</f>
        <v>https://dynamic-media-cdn.tripadvisor.com/media/photo-o/1c/e7/04/0d/front-of-the-local-easily.jpg</v>
      </c>
    </row>
    <row r="2652" spans="1:13" x14ac:dyDescent="0.3">
      <c r="A2652" t="s">
        <v>2682</v>
      </c>
      <c r="B2652" s="1">
        <v>45609</v>
      </c>
      <c r="C2652" t="s">
        <v>20</v>
      </c>
      <c r="D2652" t="s">
        <v>38</v>
      </c>
      <c r="E2652">
        <v>33</v>
      </c>
      <c r="F2652" t="s">
        <v>28</v>
      </c>
      <c r="G2652">
        <v>991.32</v>
      </c>
      <c r="H2652">
        <v>32</v>
      </c>
      <c r="I2652" t="s">
        <v>22</v>
      </c>
      <c r="J2652">
        <v>4.2</v>
      </c>
      <c r="K2652" t="s">
        <v>26</v>
      </c>
      <c r="L2652" t="s">
        <v>23</v>
      </c>
      <c r="M2652" t="str">
        <f>VLOOKUP(D2656,Restaurant_Master!A:B,2,FALSE)</f>
        <v>https://www.chatswoodinterchange.com/storages/2018/08/Sushi-World_666x448.jpg</v>
      </c>
    </row>
    <row r="2653" spans="1:13" x14ac:dyDescent="0.3">
      <c r="A2653" t="s">
        <v>2683</v>
      </c>
      <c r="B2653" s="1">
        <v>45599</v>
      </c>
      <c r="C2653" t="s">
        <v>20</v>
      </c>
      <c r="D2653" t="s">
        <v>38</v>
      </c>
      <c r="E2653">
        <v>33</v>
      </c>
      <c r="F2653" t="s">
        <v>28</v>
      </c>
      <c r="G2653">
        <v>1177.31</v>
      </c>
      <c r="H2653">
        <v>37</v>
      </c>
      <c r="I2653" t="s">
        <v>22</v>
      </c>
      <c r="J2653">
        <v>4.3</v>
      </c>
      <c r="K2653" t="s">
        <v>26</v>
      </c>
      <c r="L2653" t="s">
        <v>23</v>
      </c>
      <c r="M2653" t="str">
        <f>VLOOKUP(D2657,Restaurant_Master!A:B,2,FALSE)</f>
        <v>https://media-cdn.tripadvisor.com/media/photo-s/1c/c7/97/b6/photo6jpg.jpg</v>
      </c>
    </row>
    <row r="2654" spans="1:13" x14ac:dyDescent="0.3">
      <c r="A2654" t="s">
        <v>2684</v>
      </c>
      <c r="B2654" s="1">
        <v>45561</v>
      </c>
      <c r="C2654" t="s">
        <v>20</v>
      </c>
      <c r="D2654" t="s">
        <v>25</v>
      </c>
      <c r="E2654">
        <v>45</v>
      </c>
      <c r="F2654" t="s">
        <v>15</v>
      </c>
      <c r="G2654">
        <v>496.23</v>
      </c>
      <c r="H2654">
        <v>40</v>
      </c>
      <c r="I2654" t="s">
        <v>22</v>
      </c>
      <c r="J2654">
        <v>3.1</v>
      </c>
      <c r="K2654" t="s">
        <v>17</v>
      </c>
      <c r="L2654" t="s">
        <v>18</v>
      </c>
      <c r="M2654" t="str">
        <f>VLOOKUP(D2658,Restaurant_Master!A:B,2,FALSE)</f>
        <v>https://content.jdmagicbox.com/comp/deoria/g6/9999p5568.5568.200119143033.m4g6/catalogue/biryani-house-deoria-ho-deoria-mktc2xph0o.jpg</v>
      </c>
    </row>
    <row r="2655" spans="1:13" x14ac:dyDescent="0.3">
      <c r="A2655" t="s">
        <v>2685</v>
      </c>
      <c r="B2655" s="1">
        <v>45413</v>
      </c>
      <c r="C2655" t="s">
        <v>20</v>
      </c>
      <c r="D2655" t="s">
        <v>21</v>
      </c>
      <c r="E2655">
        <v>44</v>
      </c>
      <c r="F2655" t="s">
        <v>15</v>
      </c>
      <c r="G2655">
        <v>675.35</v>
      </c>
      <c r="H2655">
        <v>57</v>
      </c>
      <c r="I2655" t="s">
        <v>16</v>
      </c>
      <c r="J2655">
        <v>3.2</v>
      </c>
      <c r="K2655" t="s">
        <v>26</v>
      </c>
      <c r="L2655" t="s">
        <v>23</v>
      </c>
      <c r="M2655" t="str">
        <f>VLOOKUP(D2659,Restaurant_Master!A:B,2,FALSE)</f>
        <v>https://content.jdmagicbox.com/comp/deoria/g6/9999p5568.5568.200119143033.m4g6/catalogue/biryani-house-deoria-ho-deoria-mktc2xph0o.jpg</v>
      </c>
    </row>
    <row r="2656" spans="1:13" x14ac:dyDescent="0.3">
      <c r="A2656" t="s">
        <v>2686</v>
      </c>
      <c r="B2656" s="1">
        <v>45300</v>
      </c>
      <c r="C2656" t="s">
        <v>20</v>
      </c>
      <c r="D2656" t="s">
        <v>38</v>
      </c>
      <c r="E2656">
        <v>19</v>
      </c>
      <c r="F2656" t="s">
        <v>15</v>
      </c>
      <c r="G2656">
        <v>1028.1199999999999</v>
      </c>
      <c r="H2656">
        <v>55</v>
      </c>
      <c r="I2656" t="s">
        <v>16</v>
      </c>
      <c r="J2656">
        <v>4.7</v>
      </c>
      <c r="K2656" t="s">
        <v>41</v>
      </c>
      <c r="L2656" t="s">
        <v>23</v>
      </c>
      <c r="M2656" t="str">
        <f>VLOOKUP(D2660,Restaurant_Master!A:B,2,FALSE)</f>
        <v>https://dynamic-media-cdn.tripadvisor.com/media/photo-o/1c/e7/04/0d/front-of-the-local-easily.jpg</v>
      </c>
    </row>
    <row r="2657" spans="1:13" x14ac:dyDescent="0.3">
      <c r="A2657" t="s">
        <v>2687</v>
      </c>
      <c r="B2657" s="1">
        <v>45449</v>
      </c>
      <c r="C2657" t="s">
        <v>34</v>
      </c>
      <c r="D2657" t="s">
        <v>25</v>
      </c>
      <c r="E2657">
        <v>34</v>
      </c>
      <c r="F2657" t="s">
        <v>28</v>
      </c>
      <c r="G2657">
        <v>1181.92</v>
      </c>
      <c r="H2657">
        <v>44</v>
      </c>
      <c r="I2657" t="s">
        <v>16</v>
      </c>
      <c r="J2657">
        <v>2.8</v>
      </c>
      <c r="K2657" t="s">
        <v>41</v>
      </c>
      <c r="L2657" t="s">
        <v>18</v>
      </c>
      <c r="M2657" t="str">
        <f>VLOOKUP(D2661,Restaurant_Master!A:B,2,FALSE)</f>
        <v>https://dynamic-media-cdn.tripadvisor.com/media/photo-o/1c/e7/04/0d/front-of-the-local-easily.jpg</v>
      </c>
    </row>
    <row r="2658" spans="1:13" x14ac:dyDescent="0.3">
      <c r="A2658" t="s">
        <v>2688</v>
      </c>
      <c r="B2658" s="1">
        <v>45593</v>
      </c>
      <c r="C2658" t="s">
        <v>20</v>
      </c>
      <c r="D2658" t="s">
        <v>32</v>
      </c>
      <c r="E2658">
        <v>18</v>
      </c>
      <c r="F2658" t="s">
        <v>28</v>
      </c>
      <c r="G2658">
        <v>235.25</v>
      </c>
      <c r="H2658">
        <v>45</v>
      </c>
      <c r="I2658" t="s">
        <v>16</v>
      </c>
      <c r="J2658">
        <v>3.3</v>
      </c>
      <c r="K2658" t="s">
        <v>17</v>
      </c>
      <c r="L2658" t="s">
        <v>23</v>
      </c>
      <c r="M2658" t="str">
        <f>VLOOKUP(D2662,Restaurant_Master!A:B,2,FALSE)</f>
        <v>https://dynamic-media-cdn.tripadvisor.com/media/photo-o/1c/e7/04/0d/front-of-the-local-easily.jpg</v>
      </c>
    </row>
    <row r="2659" spans="1:13" x14ac:dyDescent="0.3">
      <c r="A2659" t="s">
        <v>2689</v>
      </c>
      <c r="B2659" s="1">
        <v>45651</v>
      </c>
      <c r="C2659" t="s">
        <v>36</v>
      </c>
      <c r="D2659" t="s">
        <v>32</v>
      </c>
      <c r="E2659">
        <v>44</v>
      </c>
      <c r="F2659" t="s">
        <v>28</v>
      </c>
      <c r="G2659">
        <v>934.93</v>
      </c>
      <c r="H2659">
        <v>27</v>
      </c>
      <c r="I2659" t="s">
        <v>22</v>
      </c>
      <c r="J2659">
        <v>3.9</v>
      </c>
      <c r="K2659" t="s">
        <v>41</v>
      </c>
      <c r="L2659" t="s">
        <v>23</v>
      </c>
      <c r="M2659" t="str">
        <f>VLOOKUP(D2663,Restaurant_Master!A:B,2,FALSE)</f>
        <v>https://www.chatswoodinterchange.com/storages/2018/08/Sushi-World_666x448.jpg</v>
      </c>
    </row>
    <row r="2660" spans="1:13" x14ac:dyDescent="0.3">
      <c r="A2660" t="s">
        <v>2690</v>
      </c>
      <c r="B2660" s="1">
        <v>45375</v>
      </c>
      <c r="C2660" t="s">
        <v>36</v>
      </c>
      <c r="D2660" t="s">
        <v>21</v>
      </c>
      <c r="E2660">
        <v>51</v>
      </c>
      <c r="F2660" t="s">
        <v>15</v>
      </c>
      <c r="G2660">
        <v>775.59</v>
      </c>
      <c r="H2660">
        <v>22</v>
      </c>
      <c r="I2660" t="s">
        <v>22</v>
      </c>
      <c r="J2660">
        <v>3.2</v>
      </c>
      <c r="K2660" t="s">
        <v>29</v>
      </c>
      <c r="L2660" t="s">
        <v>23</v>
      </c>
      <c r="M2660" t="str">
        <f>VLOOKUP(D2664,Restaurant_Master!A:B,2,FALSE)</f>
        <v>https://content.jdmagicbox.com/comp/deoria/g6/9999p5568.5568.200119143033.m4g6/catalogue/biryani-house-deoria-ho-deoria-mktc2xph0o.jpg</v>
      </c>
    </row>
    <row r="2661" spans="1:13" x14ac:dyDescent="0.3">
      <c r="A2661" t="s">
        <v>2691</v>
      </c>
      <c r="B2661" s="1">
        <v>45453</v>
      </c>
      <c r="C2661" t="s">
        <v>20</v>
      </c>
      <c r="D2661" t="s">
        <v>21</v>
      </c>
      <c r="E2661">
        <v>49</v>
      </c>
      <c r="F2661" t="s">
        <v>15</v>
      </c>
      <c r="G2661">
        <v>997.53</v>
      </c>
      <c r="H2661">
        <v>38</v>
      </c>
      <c r="I2661" t="s">
        <v>22</v>
      </c>
      <c r="J2661">
        <v>3.3</v>
      </c>
      <c r="K2661" t="s">
        <v>17</v>
      </c>
      <c r="L2661" t="s">
        <v>23</v>
      </c>
      <c r="M2661" t="str">
        <f>VLOOKUP(D2665,Restaurant_Master!A:B,2,FALSE)</f>
        <v>https://www.chatswoodinterchange.com/storages/2018/08/Sushi-World_666x448.jpg</v>
      </c>
    </row>
    <row r="2662" spans="1:13" x14ac:dyDescent="0.3">
      <c r="A2662" t="s">
        <v>2692</v>
      </c>
      <c r="B2662" s="1">
        <v>45616</v>
      </c>
      <c r="C2662" t="s">
        <v>20</v>
      </c>
      <c r="D2662" t="s">
        <v>21</v>
      </c>
      <c r="E2662">
        <v>33</v>
      </c>
      <c r="F2662" t="s">
        <v>15</v>
      </c>
      <c r="G2662">
        <v>1115.23</v>
      </c>
      <c r="H2662">
        <v>58</v>
      </c>
      <c r="I2662" t="s">
        <v>16</v>
      </c>
      <c r="J2662">
        <v>3.5</v>
      </c>
      <c r="K2662" t="s">
        <v>26</v>
      </c>
      <c r="L2662" t="s">
        <v>23</v>
      </c>
      <c r="M2662" t="str">
        <f>VLOOKUP(D2666,Restaurant_Master!A:B,2,FALSE)</f>
        <v>https://media-cdn.tripadvisor.com/media/photo-s/1c/c7/97/b6/photo6jpg.jpg</v>
      </c>
    </row>
    <row r="2663" spans="1:13" x14ac:dyDescent="0.3">
      <c r="A2663" t="s">
        <v>2693</v>
      </c>
      <c r="B2663" s="1">
        <v>45499</v>
      </c>
      <c r="C2663" t="s">
        <v>36</v>
      </c>
      <c r="D2663" t="s">
        <v>38</v>
      </c>
      <c r="E2663">
        <v>30</v>
      </c>
      <c r="F2663" t="s">
        <v>15</v>
      </c>
      <c r="G2663">
        <v>1130.8</v>
      </c>
      <c r="H2663">
        <v>37</v>
      </c>
      <c r="I2663" t="s">
        <v>22</v>
      </c>
      <c r="J2663">
        <v>3.3</v>
      </c>
      <c r="K2663" t="s">
        <v>41</v>
      </c>
      <c r="L2663" t="s">
        <v>23</v>
      </c>
      <c r="M2663" t="str">
        <f>VLOOKUP(D2667,Restaurant_Master!A:B,2,FALSE)</f>
        <v>https://dineout-media-assets.swiggy.com/swiggy/image/upload/fl_lossy,f_auto,q_auto/v1660793737/fdqxvxcxg1wtdwvyv45v.jpg</v>
      </c>
    </row>
    <row r="2664" spans="1:13" x14ac:dyDescent="0.3">
      <c r="A2664" t="s">
        <v>2694</v>
      </c>
      <c r="B2664" s="1">
        <v>45334</v>
      </c>
      <c r="C2664" t="s">
        <v>13</v>
      </c>
      <c r="D2664" t="s">
        <v>32</v>
      </c>
      <c r="E2664">
        <v>28</v>
      </c>
      <c r="F2664" t="s">
        <v>15</v>
      </c>
      <c r="G2664">
        <v>1108.3399999999999</v>
      </c>
      <c r="H2664">
        <v>29</v>
      </c>
      <c r="I2664" t="s">
        <v>22</v>
      </c>
      <c r="J2664">
        <v>3.6</v>
      </c>
      <c r="K2664" t="s">
        <v>41</v>
      </c>
      <c r="L2664" t="s">
        <v>18</v>
      </c>
      <c r="M2664" t="str">
        <f>VLOOKUP(D2668,Restaurant_Master!A:B,2,FALSE)</f>
        <v>https://dineout-media-assets.swiggy.com/swiggy/image/upload/fl_lossy,f_auto,q_auto/v1660793737/fdqxvxcxg1wtdwvyv45v.jpg</v>
      </c>
    </row>
    <row r="2665" spans="1:13" x14ac:dyDescent="0.3">
      <c r="A2665" t="s">
        <v>2695</v>
      </c>
      <c r="B2665" s="1">
        <v>45342</v>
      </c>
      <c r="C2665" t="s">
        <v>13</v>
      </c>
      <c r="D2665" t="s">
        <v>38</v>
      </c>
      <c r="E2665">
        <v>56</v>
      </c>
      <c r="F2665" t="s">
        <v>28</v>
      </c>
      <c r="G2665">
        <v>1192.1300000000001</v>
      </c>
      <c r="H2665">
        <v>24</v>
      </c>
      <c r="I2665" t="s">
        <v>22</v>
      </c>
      <c r="J2665">
        <v>3.5</v>
      </c>
      <c r="K2665" t="s">
        <v>41</v>
      </c>
      <c r="L2665" t="s">
        <v>23</v>
      </c>
      <c r="M2665" t="str">
        <f>VLOOKUP(D2669,Restaurant_Master!A:B,2,FALSE)</f>
        <v>https://dynamic-media-cdn.tripadvisor.com/media/photo-o/1c/e7/04/0d/front-of-the-local-easily.jpg</v>
      </c>
    </row>
    <row r="2666" spans="1:13" x14ac:dyDescent="0.3">
      <c r="A2666" t="s">
        <v>2696</v>
      </c>
      <c r="B2666" s="1">
        <v>45415</v>
      </c>
      <c r="C2666" t="s">
        <v>43</v>
      </c>
      <c r="D2666" t="s">
        <v>25</v>
      </c>
      <c r="E2666">
        <v>45</v>
      </c>
      <c r="F2666" t="s">
        <v>28</v>
      </c>
      <c r="G2666">
        <v>473.67</v>
      </c>
      <c r="H2666">
        <v>55</v>
      </c>
      <c r="I2666" t="s">
        <v>16</v>
      </c>
      <c r="J2666">
        <v>4.4000000000000004</v>
      </c>
      <c r="K2666" t="s">
        <v>26</v>
      </c>
      <c r="L2666" t="s">
        <v>23</v>
      </c>
      <c r="M2666" t="str">
        <f>VLOOKUP(D2670,Restaurant_Master!A:B,2,FALSE)</f>
        <v>https://content.jdmagicbox.com/comp/deoria/g6/9999p5568.5568.200119143033.m4g6/catalogue/biryani-house-deoria-ho-deoria-mktc2xph0o.jpg</v>
      </c>
    </row>
    <row r="2667" spans="1:13" x14ac:dyDescent="0.3">
      <c r="A2667" t="s">
        <v>2697</v>
      </c>
      <c r="B2667" s="1">
        <v>45440</v>
      </c>
      <c r="C2667" t="s">
        <v>43</v>
      </c>
      <c r="D2667" t="s">
        <v>14</v>
      </c>
      <c r="E2667">
        <v>51</v>
      </c>
      <c r="F2667" t="s">
        <v>15</v>
      </c>
      <c r="G2667">
        <v>789.78</v>
      </c>
      <c r="H2667">
        <v>41</v>
      </c>
      <c r="I2667" t="s">
        <v>16</v>
      </c>
      <c r="J2667">
        <v>4.4000000000000004</v>
      </c>
      <c r="K2667" t="s">
        <v>29</v>
      </c>
      <c r="L2667" t="s">
        <v>23</v>
      </c>
      <c r="M2667" t="str">
        <f>VLOOKUP(D2671,Restaurant_Master!A:B,2,FALSE)</f>
        <v>https://content.jdmagicbox.com/comp/deoria/g6/9999p5568.5568.200119143033.m4g6/catalogue/biryani-house-deoria-ho-deoria-mktc2xph0o.jpg</v>
      </c>
    </row>
    <row r="2668" spans="1:13" x14ac:dyDescent="0.3">
      <c r="A2668" t="s">
        <v>2698</v>
      </c>
      <c r="B2668" s="1">
        <v>45534</v>
      </c>
      <c r="C2668" t="s">
        <v>36</v>
      </c>
      <c r="D2668" t="s">
        <v>14</v>
      </c>
      <c r="E2668">
        <v>43</v>
      </c>
      <c r="F2668" t="s">
        <v>28</v>
      </c>
      <c r="G2668">
        <v>1130.25</v>
      </c>
      <c r="H2668">
        <v>28</v>
      </c>
      <c r="I2668" t="s">
        <v>22</v>
      </c>
      <c r="J2668">
        <v>3.3</v>
      </c>
      <c r="K2668" t="s">
        <v>26</v>
      </c>
      <c r="L2668" t="s">
        <v>23</v>
      </c>
      <c r="M2668" t="str">
        <f>VLOOKUP(D2672,Restaurant_Master!A:B,2,FALSE)</f>
        <v>https://dineout-media-assets.swiggy.com/swiggy/image/upload/fl_lossy,f_auto,q_auto/v1660793737/fdqxvxcxg1wtdwvyv45v.jpg</v>
      </c>
    </row>
    <row r="2669" spans="1:13" x14ac:dyDescent="0.3">
      <c r="A2669" t="s">
        <v>2699</v>
      </c>
      <c r="B2669" s="1">
        <v>45546</v>
      </c>
      <c r="C2669" t="s">
        <v>43</v>
      </c>
      <c r="D2669" t="s">
        <v>21</v>
      </c>
      <c r="E2669">
        <v>42</v>
      </c>
      <c r="F2669" t="s">
        <v>15</v>
      </c>
      <c r="G2669">
        <v>592.91999999999996</v>
      </c>
      <c r="H2669">
        <v>38</v>
      </c>
      <c r="I2669" t="s">
        <v>22</v>
      </c>
      <c r="J2669">
        <v>3.4</v>
      </c>
      <c r="K2669" t="s">
        <v>26</v>
      </c>
      <c r="L2669" t="s">
        <v>23</v>
      </c>
      <c r="M2669" t="str">
        <f>VLOOKUP(D2673,Restaurant_Master!A:B,2,FALSE)</f>
        <v>https://www.chatswoodinterchange.com/storages/2018/08/Sushi-World_666x448.jpg</v>
      </c>
    </row>
    <row r="2670" spans="1:13" x14ac:dyDescent="0.3">
      <c r="A2670" t="s">
        <v>2700</v>
      </c>
      <c r="B2670" s="1">
        <v>45351</v>
      </c>
      <c r="C2670" t="s">
        <v>36</v>
      </c>
      <c r="D2670" t="s">
        <v>32</v>
      </c>
      <c r="E2670">
        <v>36</v>
      </c>
      <c r="F2670" t="s">
        <v>15</v>
      </c>
      <c r="G2670">
        <v>1070.21</v>
      </c>
      <c r="H2670">
        <v>38</v>
      </c>
      <c r="I2670" t="s">
        <v>22</v>
      </c>
      <c r="J2670">
        <v>3.2</v>
      </c>
      <c r="K2670" t="s">
        <v>29</v>
      </c>
      <c r="L2670" t="s">
        <v>18</v>
      </c>
      <c r="M2670" t="str">
        <f>VLOOKUP(D2674,Restaurant_Master!A:B,2,FALSE)</f>
        <v>https://content.jdmagicbox.com/comp/deoria/g6/9999p5568.5568.200119143033.m4g6/catalogue/biryani-house-deoria-ho-deoria-mktc2xph0o.jpg</v>
      </c>
    </row>
    <row r="2671" spans="1:13" x14ac:dyDescent="0.3">
      <c r="A2671" t="s">
        <v>2701</v>
      </c>
      <c r="B2671" s="1">
        <v>45623</v>
      </c>
      <c r="C2671" t="s">
        <v>34</v>
      </c>
      <c r="D2671" t="s">
        <v>32</v>
      </c>
      <c r="E2671">
        <v>35</v>
      </c>
      <c r="F2671" t="s">
        <v>15</v>
      </c>
      <c r="G2671">
        <v>1051.44</v>
      </c>
      <c r="H2671">
        <v>30</v>
      </c>
      <c r="I2671" t="s">
        <v>22</v>
      </c>
      <c r="J2671">
        <v>3.4</v>
      </c>
      <c r="K2671" t="s">
        <v>26</v>
      </c>
      <c r="L2671" t="s">
        <v>23</v>
      </c>
      <c r="M2671" t="str">
        <f>VLOOKUP(D2675,Restaurant_Master!A:B,2,FALSE)</f>
        <v>https://content.jdmagicbox.com/comp/deoria/g6/9999p5568.5568.200119143033.m4g6/catalogue/biryani-house-deoria-ho-deoria-mktc2xph0o.jpg</v>
      </c>
    </row>
    <row r="2672" spans="1:13" x14ac:dyDescent="0.3">
      <c r="A2672" t="s">
        <v>2702</v>
      </c>
      <c r="B2672" s="1">
        <v>45545</v>
      </c>
      <c r="C2672" t="s">
        <v>43</v>
      </c>
      <c r="D2672" t="s">
        <v>14</v>
      </c>
      <c r="E2672">
        <v>54</v>
      </c>
      <c r="F2672" t="s">
        <v>28</v>
      </c>
      <c r="G2672">
        <v>291.06</v>
      </c>
      <c r="H2672">
        <v>44</v>
      </c>
      <c r="I2672" t="s">
        <v>16</v>
      </c>
      <c r="J2672">
        <v>4.5</v>
      </c>
      <c r="K2672" t="s">
        <v>26</v>
      </c>
      <c r="L2672" t="s">
        <v>23</v>
      </c>
      <c r="M2672" t="str">
        <f>VLOOKUP(D2676,Restaurant_Master!A:B,2,FALSE)</f>
        <v>https://dineout-media-assets.swiggy.com/swiggy/image/upload/fl_lossy,f_auto,q_auto/v1660793737/fdqxvxcxg1wtdwvyv45v.jpg</v>
      </c>
    </row>
    <row r="2673" spans="1:13" x14ac:dyDescent="0.3">
      <c r="A2673" t="s">
        <v>2703</v>
      </c>
      <c r="B2673" s="1">
        <v>45303</v>
      </c>
      <c r="C2673" t="s">
        <v>13</v>
      </c>
      <c r="D2673" t="s">
        <v>38</v>
      </c>
      <c r="E2673">
        <v>35</v>
      </c>
      <c r="F2673" t="s">
        <v>28</v>
      </c>
      <c r="G2673">
        <v>939.75</v>
      </c>
      <c r="H2673">
        <v>58</v>
      </c>
      <c r="I2673" t="s">
        <v>16</v>
      </c>
      <c r="J2673">
        <v>4.3</v>
      </c>
      <c r="K2673" t="s">
        <v>17</v>
      </c>
      <c r="L2673" t="s">
        <v>18</v>
      </c>
      <c r="M2673" t="str">
        <f>VLOOKUP(D2677,Restaurant_Master!A:B,2,FALSE)</f>
        <v>https://dineout-media-assets.swiggy.com/swiggy/image/upload/fl_lossy,f_auto,q_auto/v1660793737/fdqxvxcxg1wtdwvyv45v.jpg</v>
      </c>
    </row>
    <row r="2674" spans="1:13" x14ac:dyDescent="0.3">
      <c r="A2674" t="s">
        <v>2704</v>
      </c>
      <c r="B2674" s="1">
        <v>45438</v>
      </c>
      <c r="C2674" t="s">
        <v>20</v>
      </c>
      <c r="D2674" t="s">
        <v>32</v>
      </c>
      <c r="E2674">
        <v>39</v>
      </c>
      <c r="F2674" t="s">
        <v>15</v>
      </c>
      <c r="G2674">
        <v>412.79</v>
      </c>
      <c r="H2674">
        <v>34</v>
      </c>
      <c r="I2674" t="s">
        <v>22</v>
      </c>
      <c r="J2674">
        <v>3.8</v>
      </c>
      <c r="K2674" t="s">
        <v>26</v>
      </c>
      <c r="L2674" t="s">
        <v>23</v>
      </c>
      <c r="M2674" t="str">
        <f>VLOOKUP(D2678,Restaurant_Master!A:B,2,FALSE)</f>
        <v>https://media-cdn.tripadvisor.com/media/photo-s/1c/c7/97/b6/photo6jpg.jpg</v>
      </c>
    </row>
    <row r="2675" spans="1:13" x14ac:dyDescent="0.3">
      <c r="A2675" t="s">
        <v>2705</v>
      </c>
      <c r="B2675" s="1">
        <v>45349</v>
      </c>
      <c r="C2675" t="s">
        <v>43</v>
      </c>
      <c r="D2675" t="s">
        <v>32</v>
      </c>
      <c r="E2675">
        <v>30</v>
      </c>
      <c r="F2675" t="s">
        <v>15</v>
      </c>
      <c r="G2675">
        <v>914.97</v>
      </c>
      <c r="H2675">
        <v>34</v>
      </c>
      <c r="I2675" t="s">
        <v>22</v>
      </c>
      <c r="J2675">
        <v>3.9</v>
      </c>
      <c r="K2675" t="s">
        <v>26</v>
      </c>
      <c r="L2675" t="s">
        <v>23</v>
      </c>
      <c r="M2675" t="str">
        <f>VLOOKUP(D2679,Restaurant_Master!A:B,2,FALSE)</f>
        <v>https://dineout-media-assets.swiggy.com/swiggy/image/upload/fl_lossy,f_auto,q_auto/v1660793737/fdqxvxcxg1wtdwvyv45v.jpg</v>
      </c>
    </row>
    <row r="2676" spans="1:13" x14ac:dyDescent="0.3">
      <c r="A2676" t="s">
        <v>2706</v>
      </c>
      <c r="B2676" s="1">
        <v>45516</v>
      </c>
      <c r="C2676" t="s">
        <v>34</v>
      </c>
      <c r="D2676" t="s">
        <v>14</v>
      </c>
      <c r="E2676">
        <v>27</v>
      </c>
      <c r="F2676" t="s">
        <v>15</v>
      </c>
      <c r="G2676">
        <v>679.93</v>
      </c>
      <c r="H2676">
        <v>34</v>
      </c>
      <c r="I2676" t="s">
        <v>22</v>
      </c>
      <c r="J2676">
        <v>2.5</v>
      </c>
      <c r="K2676" t="s">
        <v>29</v>
      </c>
      <c r="L2676" t="s">
        <v>23</v>
      </c>
      <c r="M2676" t="str">
        <f>VLOOKUP(D2680,Restaurant_Master!A:B,2,FALSE)</f>
        <v>https://content.jdmagicbox.com/comp/deoria/g6/9999p5568.5568.200119143033.m4g6/catalogue/biryani-house-deoria-ho-deoria-mktc2xph0o.jpg</v>
      </c>
    </row>
    <row r="2677" spans="1:13" x14ac:dyDescent="0.3">
      <c r="A2677" t="s">
        <v>2707</v>
      </c>
      <c r="B2677" s="1">
        <v>45313</v>
      </c>
      <c r="C2677" t="s">
        <v>13</v>
      </c>
      <c r="D2677" t="s">
        <v>14</v>
      </c>
      <c r="E2677">
        <v>38</v>
      </c>
      <c r="F2677" t="s">
        <v>28</v>
      </c>
      <c r="G2677">
        <v>714.53</v>
      </c>
      <c r="H2677">
        <v>34</v>
      </c>
      <c r="I2677" t="s">
        <v>22</v>
      </c>
      <c r="J2677">
        <v>4</v>
      </c>
      <c r="K2677" t="s">
        <v>17</v>
      </c>
      <c r="L2677" t="s">
        <v>23</v>
      </c>
      <c r="M2677" t="str">
        <f>VLOOKUP(D2681,Restaurant_Master!A:B,2,FALSE)</f>
        <v>https://dynamic-media-cdn.tripadvisor.com/media/photo-o/1c/e7/04/0d/front-of-the-local-easily.jpg</v>
      </c>
    </row>
    <row r="2678" spans="1:13" x14ac:dyDescent="0.3">
      <c r="A2678" t="s">
        <v>2708</v>
      </c>
      <c r="B2678" s="1">
        <v>45566</v>
      </c>
      <c r="C2678" t="s">
        <v>43</v>
      </c>
      <c r="D2678" t="s">
        <v>25</v>
      </c>
      <c r="E2678">
        <v>60</v>
      </c>
      <c r="F2678" t="s">
        <v>28</v>
      </c>
      <c r="G2678">
        <v>1039</v>
      </c>
      <c r="H2678">
        <v>49</v>
      </c>
      <c r="I2678" t="s">
        <v>16</v>
      </c>
      <c r="J2678">
        <v>4.7</v>
      </c>
      <c r="K2678" t="s">
        <v>26</v>
      </c>
      <c r="L2678" t="s">
        <v>18</v>
      </c>
      <c r="M2678" t="str">
        <f>VLOOKUP(D2682,Restaurant_Master!A:B,2,FALSE)</f>
        <v>https://dineout-media-assets.swiggy.com/swiggy/image/upload/fl_lossy,f_auto,q_auto/v1660793737/fdqxvxcxg1wtdwvyv45v.jpg</v>
      </c>
    </row>
    <row r="2679" spans="1:13" x14ac:dyDescent="0.3">
      <c r="A2679" t="s">
        <v>2709</v>
      </c>
      <c r="B2679" s="1">
        <v>45363</v>
      </c>
      <c r="C2679" t="s">
        <v>36</v>
      </c>
      <c r="D2679" t="s">
        <v>14</v>
      </c>
      <c r="E2679">
        <v>30</v>
      </c>
      <c r="F2679" t="s">
        <v>15</v>
      </c>
      <c r="G2679">
        <v>828.54</v>
      </c>
      <c r="H2679">
        <v>30</v>
      </c>
      <c r="I2679" t="s">
        <v>22</v>
      </c>
      <c r="J2679">
        <v>4.7</v>
      </c>
      <c r="K2679" t="s">
        <v>17</v>
      </c>
      <c r="L2679" t="s">
        <v>18</v>
      </c>
      <c r="M2679" t="str">
        <f>VLOOKUP(D2683,Restaurant_Master!A:B,2,FALSE)</f>
        <v>https://www.chatswoodinterchange.com/storages/2018/08/Sushi-World_666x448.jpg</v>
      </c>
    </row>
    <row r="2680" spans="1:13" x14ac:dyDescent="0.3">
      <c r="A2680" t="s">
        <v>2710</v>
      </c>
      <c r="B2680" s="1">
        <v>45436</v>
      </c>
      <c r="C2680" t="s">
        <v>34</v>
      </c>
      <c r="D2680" t="s">
        <v>32</v>
      </c>
      <c r="E2680">
        <v>51</v>
      </c>
      <c r="F2680" t="s">
        <v>28</v>
      </c>
      <c r="G2680">
        <v>632.70000000000005</v>
      </c>
      <c r="H2680">
        <v>50</v>
      </c>
      <c r="I2680" t="s">
        <v>16</v>
      </c>
      <c r="J2680">
        <v>2.5</v>
      </c>
      <c r="K2680" t="s">
        <v>41</v>
      </c>
      <c r="L2680" t="s">
        <v>18</v>
      </c>
      <c r="M2680" t="str">
        <f>VLOOKUP(D2684,Restaurant_Master!A:B,2,FALSE)</f>
        <v>https://content.jdmagicbox.com/comp/deoria/g6/9999p5568.5568.200119143033.m4g6/catalogue/biryani-house-deoria-ho-deoria-mktc2xph0o.jpg</v>
      </c>
    </row>
    <row r="2681" spans="1:13" x14ac:dyDescent="0.3">
      <c r="A2681" t="s">
        <v>2711</v>
      </c>
      <c r="B2681" s="1">
        <v>45432</v>
      </c>
      <c r="C2681" t="s">
        <v>43</v>
      </c>
      <c r="D2681" t="s">
        <v>21</v>
      </c>
      <c r="E2681">
        <v>56</v>
      </c>
      <c r="F2681" t="s">
        <v>15</v>
      </c>
      <c r="G2681">
        <v>972.74</v>
      </c>
      <c r="H2681">
        <v>50</v>
      </c>
      <c r="I2681" t="s">
        <v>16</v>
      </c>
      <c r="J2681">
        <v>4.3</v>
      </c>
      <c r="K2681" t="s">
        <v>17</v>
      </c>
      <c r="L2681" t="s">
        <v>23</v>
      </c>
      <c r="M2681" t="str">
        <f>VLOOKUP(D2685,Restaurant_Master!A:B,2,FALSE)</f>
        <v>https://dineout-media-assets.swiggy.com/swiggy/image/upload/fl_lossy,f_auto,q_auto/v1660793737/fdqxvxcxg1wtdwvyv45v.jpg</v>
      </c>
    </row>
    <row r="2682" spans="1:13" x14ac:dyDescent="0.3">
      <c r="A2682" t="s">
        <v>2712</v>
      </c>
      <c r="B2682" s="1">
        <v>45589</v>
      </c>
      <c r="C2682" t="s">
        <v>43</v>
      </c>
      <c r="D2682" t="s">
        <v>14</v>
      </c>
      <c r="E2682">
        <v>34</v>
      </c>
      <c r="F2682" t="s">
        <v>28</v>
      </c>
      <c r="G2682">
        <v>527.88</v>
      </c>
      <c r="H2682">
        <v>42</v>
      </c>
      <c r="I2682" t="s">
        <v>16</v>
      </c>
      <c r="J2682">
        <v>2.9</v>
      </c>
      <c r="K2682" t="s">
        <v>41</v>
      </c>
      <c r="L2682" t="s">
        <v>18</v>
      </c>
      <c r="M2682" t="str">
        <f>VLOOKUP(D2686,Restaurant_Master!A:B,2,FALSE)</f>
        <v>https://www.chatswoodinterchange.com/storages/2018/08/Sushi-World_666x448.jpg</v>
      </c>
    </row>
    <row r="2683" spans="1:13" x14ac:dyDescent="0.3">
      <c r="A2683" t="s">
        <v>2713</v>
      </c>
      <c r="B2683" s="1">
        <v>45608</v>
      </c>
      <c r="C2683" t="s">
        <v>36</v>
      </c>
      <c r="D2683" t="s">
        <v>38</v>
      </c>
      <c r="E2683">
        <v>60</v>
      </c>
      <c r="F2683" t="s">
        <v>15</v>
      </c>
      <c r="G2683">
        <v>258.70999999999998</v>
      </c>
      <c r="H2683">
        <v>23</v>
      </c>
      <c r="I2683" t="s">
        <v>22</v>
      </c>
      <c r="J2683">
        <v>2.9</v>
      </c>
      <c r="K2683" t="s">
        <v>17</v>
      </c>
      <c r="L2683" t="s">
        <v>18</v>
      </c>
      <c r="M2683" t="str">
        <f>VLOOKUP(D2687,Restaurant_Master!A:B,2,FALSE)</f>
        <v>https://media-cdn.tripadvisor.com/media/photo-s/1c/c7/97/b6/photo6jpg.jpg</v>
      </c>
    </row>
    <row r="2684" spans="1:13" x14ac:dyDescent="0.3">
      <c r="A2684" t="s">
        <v>2714</v>
      </c>
      <c r="B2684" s="1">
        <v>45465</v>
      </c>
      <c r="C2684" t="s">
        <v>34</v>
      </c>
      <c r="D2684" t="s">
        <v>32</v>
      </c>
      <c r="E2684">
        <v>42</v>
      </c>
      <c r="F2684" t="s">
        <v>28</v>
      </c>
      <c r="G2684">
        <v>610.84</v>
      </c>
      <c r="H2684">
        <v>36</v>
      </c>
      <c r="I2684" t="s">
        <v>22</v>
      </c>
      <c r="J2684">
        <v>3.8</v>
      </c>
      <c r="K2684" t="s">
        <v>29</v>
      </c>
      <c r="L2684" t="s">
        <v>23</v>
      </c>
      <c r="M2684" t="str">
        <f>VLOOKUP(D2688,Restaurant_Master!A:B,2,FALSE)</f>
        <v>https://content.jdmagicbox.com/comp/deoria/g6/9999p5568.5568.200119143033.m4g6/catalogue/biryani-house-deoria-ho-deoria-mktc2xph0o.jpg</v>
      </c>
    </row>
    <row r="2685" spans="1:13" x14ac:dyDescent="0.3">
      <c r="A2685" t="s">
        <v>2715</v>
      </c>
      <c r="B2685" s="1">
        <v>45454</v>
      </c>
      <c r="C2685" t="s">
        <v>34</v>
      </c>
      <c r="D2685" t="s">
        <v>14</v>
      </c>
      <c r="E2685">
        <v>42</v>
      </c>
      <c r="F2685" t="s">
        <v>15</v>
      </c>
      <c r="G2685">
        <v>713.01</v>
      </c>
      <c r="H2685">
        <v>27</v>
      </c>
      <c r="I2685" t="s">
        <v>22</v>
      </c>
      <c r="J2685">
        <v>2.8</v>
      </c>
      <c r="K2685" t="s">
        <v>29</v>
      </c>
      <c r="L2685" t="s">
        <v>18</v>
      </c>
      <c r="M2685" t="str">
        <f>VLOOKUP(D2689,Restaurant_Master!A:B,2,FALSE)</f>
        <v>https://dynamic-media-cdn.tripadvisor.com/media/photo-o/1c/e7/04/0d/front-of-the-local-easily.jpg</v>
      </c>
    </row>
    <row r="2686" spans="1:13" x14ac:dyDescent="0.3">
      <c r="A2686" t="s">
        <v>2716</v>
      </c>
      <c r="B2686" s="1">
        <v>45515</v>
      </c>
      <c r="C2686" t="s">
        <v>34</v>
      </c>
      <c r="D2686" t="s">
        <v>38</v>
      </c>
      <c r="E2686">
        <v>19</v>
      </c>
      <c r="F2686" t="s">
        <v>28</v>
      </c>
      <c r="G2686">
        <v>231.48</v>
      </c>
      <c r="H2686">
        <v>21</v>
      </c>
      <c r="I2686" t="s">
        <v>22</v>
      </c>
      <c r="J2686">
        <v>4.9000000000000004</v>
      </c>
      <c r="K2686" t="s">
        <v>29</v>
      </c>
      <c r="L2686" t="s">
        <v>23</v>
      </c>
      <c r="M2686" t="str">
        <f>VLOOKUP(D2690,Restaurant_Master!A:B,2,FALSE)</f>
        <v>https://dineout-media-assets.swiggy.com/swiggy/image/upload/fl_lossy,f_auto,q_auto/v1660793737/fdqxvxcxg1wtdwvyv45v.jpg</v>
      </c>
    </row>
    <row r="2687" spans="1:13" x14ac:dyDescent="0.3">
      <c r="A2687" t="s">
        <v>2717</v>
      </c>
      <c r="B2687" s="1">
        <v>45421</v>
      </c>
      <c r="C2687" t="s">
        <v>43</v>
      </c>
      <c r="D2687" t="s">
        <v>25</v>
      </c>
      <c r="E2687">
        <v>45</v>
      </c>
      <c r="F2687" t="s">
        <v>28</v>
      </c>
      <c r="G2687">
        <v>453.38</v>
      </c>
      <c r="H2687">
        <v>47</v>
      </c>
      <c r="I2687" t="s">
        <v>16</v>
      </c>
      <c r="J2687">
        <v>2.8</v>
      </c>
      <c r="K2687" t="s">
        <v>29</v>
      </c>
      <c r="L2687" t="s">
        <v>18</v>
      </c>
      <c r="M2687" t="str">
        <f>VLOOKUP(D2691,Restaurant_Master!A:B,2,FALSE)</f>
        <v>https://dineout-media-assets.swiggy.com/swiggy/image/upload/fl_lossy,f_auto,q_auto/v1660793737/fdqxvxcxg1wtdwvyv45v.jpg</v>
      </c>
    </row>
    <row r="2688" spans="1:13" x14ac:dyDescent="0.3">
      <c r="A2688" t="s">
        <v>2718</v>
      </c>
      <c r="B2688" s="1">
        <v>45586</v>
      </c>
      <c r="C2688" t="s">
        <v>43</v>
      </c>
      <c r="D2688" t="s">
        <v>32</v>
      </c>
      <c r="E2688">
        <v>39</v>
      </c>
      <c r="F2688" t="s">
        <v>28</v>
      </c>
      <c r="G2688">
        <v>1145.23</v>
      </c>
      <c r="H2688">
        <v>23</v>
      </c>
      <c r="I2688" t="s">
        <v>22</v>
      </c>
      <c r="J2688">
        <v>2.7</v>
      </c>
      <c r="K2688" t="s">
        <v>29</v>
      </c>
      <c r="L2688" t="s">
        <v>18</v>
      </c>
      <c r="M2688" t="str">
        <f>VLOOKUP(D2692,Restaurant_Master!A:B,2,FALSE)</f>
        <v>https://dineout-media-assets.swiggy.com/swiggy/image/upload/fl_lossy,f_auto,q_auto/v1660793737/fdqxvxcxg1wtdwvyv45v.jpg</v>
      </c>
    </row>
    <row r="2689" spans="1:13" x14ac:dyDescent="0.3">
      <c r="A2689" t="s">
        <v>2719</v>
      </c>
      <c r="B2689" s="1">
        <v>45544</v>
      </c>
      <c r="C2689" t="s">
        <v>20</v>
      </c>
      <c r="D2689" t="s">
        <v>21</v>
      </c>
      <c r="E2689">
        <v>51</v>
      </c>
      <c r="F2689" t="s">
        <v>15</v>
      </c>
      <c r="G2689">
        <v>413.54</v>
      </c>
      <c r="H2689">
        <v>58</v>
      </c>
      <c r="I2689" t="s">
        <v>16</v>
      </c>
      <c r="J2689">
        <v>4.4000000000000004</v>
      </c>
      <c r="K2689" t="s">
        <v>26</v>
      </c>
      <c r="L2689" t="s">
        <v>23</v>
      </c>
      <c r="M2689" t="str">
        <f>VLOOKUP(D2693,Restaurant_Master!A:B,2,FALSE)</f>
        <v>https://content.jdmagicbox.com/comp/deoria/g6/9999p5568.5568.200119143033.m4g6/catalogue/biryani-house-deoria-ho-deoria-mktc2xph0o.jpg</v>
      </c>
    </row>
    <row r="2690" spans="1:13" x14ac:dyDescent="0.3">
      <c r="A2690" t="s">
        <v>2720</v>
      </c>
      <c r="B2690" s="1">
        <v>45505</v>
      </c>
      <c r="C2690" t="s">
        <v>36</v>
      </c>
      <c r="D2690" t="s">
        <v>14</v>
      </c>
      <c r="E2690">
        <v>19</v>
      </c>
      <c r="F2690" t="s">
        <v>15</v>
      </c>
      <c r="G2690">
        <v>228.48</v>
      </c>
      <c r="H2690">
        <v>38</v>
      </c>
      <c r="I2690" t="s">
        <v>22</v>
      </c>
      <c r="J2690">
        <v>4</v>
      </c>
      <c r="K2690" t="s">
        <v>17</v>
      </c>
      <c r="L2690" t="s">
        <v>18</v>
      </c>
      <c r="M2690" t="str">
        <f>VLOOKUP(D2694,Restaurant_Master!A:B,2,FALSE)</f>
        <v>https://dynamic-media-cdn.tripadvisor.com/media/photo-o/1c/e7/04/0d/front-of-the-local-easily.jpg</v>
      </c>
    </row>
    <row r="2691" spans="1:13" x14ac:dyDescent="0.3">
      <c r="A2691" t="s">
        <v>2721</v>
      </c>
      <c r="B2691" s="1">
        <v>45507</v>
      </c>
      <c r="C2691" t="s">
        <v>13</v>
      </c>
      <c r="D2691" t="s">
        <v>14</v>
      </c>
      <c r="E2691">
        <v>42</v>
      </c>
      <c r="F2691" t="s">
        <v>28</v>
      </c>
      <c r="G2691">
        <v>980.67</v>
      </c>
      <c r="H2691">
        <v>31</v>
      </c>
      <c r="I2691" t="s">
        <v>22</v>
      </c>
      <c r="J2691">
        <v>3.5</v>
      </c>
      <c r="K2691" t="s">
        <v>29</v>
      </c>
      <c r="L2691" t="s">
        <v>18</v>
      </c>
      <c r="M2691" t="str">
        <f>VLOOKUP(D2695,Restaurant_Master!A:B,2,FALSE)</f>
        <v>https://media-cdn.tripadvisor.com/media/photo-s/1c/c7/97/b6/photo6jpg.jpg</v>
      </c>
    </row>
    <row r="2692" spans="1:13" x14ac:dyDescent="0.3">
      <c r="A2692" t="s">
        <v>2722</v>
      </c>
      <c r="B2692" s="1">
        <v>45646</v>
      </c>
      <c r="C2692" t="s">
        <v>36</v>
      </c>
      <c r="D2692" t="s">
        <v>14</v>
      </c>
      <c r="E2692">
        <v>60</v>
      </c>
      <c r="F2692" t="s">
        <v>28</v>
      </c>
      <c r="G2692">
        <v>892.34</v>
      </c>
      <c r="H2692">
        <v>30</v>
      </c>
      <c r="I2692" t="s">
        <v>22</v>
      </c>
      <c r="J2692">
        <v>4.7</v>
      </c>
      <c r="K2692" t="s">
        <v>26</v>
      </c>
      <c r="L2692" t="s">
        <v>18</v>
      </c>
      <c r="M2692" t="str">
        <f>VLOOKUP(D2696,Restaurant_Master!A:B,2,FALSE)</f>
        <v>https://dynamic-media-cdn.tripadvisor.com/media/photo-o/1c/e7/04/0d/front-of-the-local-easily.jpg</v>
      </c>
    </row>
    <row r="2693" spans="1:13" x14ac:dyDescent="0.3">
      <c r="A2693" t="s">
        <v>2723</v>
      </c>
      <c r="B2693" s="1">
        <v>45643</v>
      </c>
      <c r="C2693" t="s">
        <v>13</v>
      </c>
      <c r="D2693" t="s">
        <v>32</v>
      </c>
      <c r="E2693">
        <v>44</v>
      </c>
      <c r="F2693" t="s">
        <v>28</v>
      </c>
      <c r="G2693">
        <v>650.77</v>
      </c>
      <c r="H2693">
        <v>59</v>
      </c>
      <c r="I2693" t="s">
        <v>16</v>
      </c>
      <c r="J2693">
        <v>2.6</v>
      </c>
      <c r="K2693" t="s">
        <v>29</v>
      </c>
      <c r="L2693" t="s">
        <v>23</v>
      </c>
      <c r="M2693" t="str">
        <f>VLOOKUP(D2697,Restaurant_Master!A:B,2,FALSE)</f>
        <v>https://dineout-media-assets.swiggy.com/swiggy/image/upload/fl_lossy,f_auto,q_auto/v1660793737/fdqxvxcxg1wtdwvyv45v.jpg</v>
      </c>
    </row>
    <row r="2694" spans="1:13" x14ac:dyDescent="0.3">
      <c r="A2694" t="s">
        <v>2724</v>
      </c>
      <c r="B2694" s="1">
        <v>45607</v>
      </c>
      <c r="C2694" t="s">
        <v>43</v>
      </c>
      <c r="D2694" t="s">
        <v>21</v>
      </c>
      <c r="E2694">
        <v>40</v>
      </c>
      <c r="F2694" t="s">
        <v>28</v>
      </c>
      <c r="G2694">
        <v>923.69</v>
      </c>
      <c r="H2694">
        <v>20</v>
      </c>
      <c r="I2694" t="s">
        <v>22</v>
      </c>
      <c r="J2694">
        <v>4.7</v>
      </c>
      <c r="K2694" t="s">
        <v>41</v>
      </c>
      <c r="L2694" t="s">
        <v>23</v>
      </c>
      <c r="M2694" t="str">
        <f>VLOOKUP(D2698,Restaurant_Master!A:B,2,FALSE)</f>
        <v>https://www.chatswoodinterchange.com/storages/2018/08/Sushi-World_666x448.jpg</v>
      </c>
    </row>
    <row r="2695" spans="1:13" x14ac:dyDescent="0.3">
      <c r="A2695" t="s">
        <v>2725</v>
      </c>
      <c r="B2695" s="1">
        <v>45316</v>
      </c>
      <c r="C2695" t="s">
        <v>36</v>
      </c>
      <c r="D2695" t="s">
        <v>25</v>
      </c>
      <c r="E2695">
        <v>37</v>
      </c>
      <c r="F2695" t="s">
        <v>28</v>
      </c>
      <c r="G2695">
        <v>780.66</v>
      </c>
      <c r="H2695">
        <v>48</v>
      </c>
      <c r="I2695" t="s">
        <v>16</v>
      </c>
      <c r="J2695">
        <v>4.0999999999999996</v>
      </c>
      <c r="K2695" t="s">
        <v>17</v>
      </c>
      <c r="L2695" t="s">
        <v>23</v>
      </c>
      <c r="M2695" t="str">
        <f>VLOOKUP(D2699,Restaurant_Master!A:B,2,FALSE)</f>
        <v>https://media-cdn.tripadvisor.com/media/photo-s/1c/c7/97/b6/photo6jpg.jpg</v>
      </c>
    </row>
    <row r="2696" spans="1:13" x14ac:dyDescent="0.3">
      <c r="A2696" t="s">
        <v>2726</v>
      </c>
      <c r="B2696" s="1">
        <v>45630</v>
      </c>
      <c r="C2696" t="s">
        <v>13</v>
      </c>
      <c r="D2696" t="s">
        <v>21</v>
      </c>
      <c r="E2696">
        <v>36</v>
      </c>
      <c r="F2696" t="s">
        <v>28</v>
      </c>
      <c r="G2696">
        <v>882.21</v>
      </c>
      <c r="H2696">
        <v>49</v>
      </c>
      <c r="I2696" t="s">
        <v>16</v>
      </c>
      <c r="J2696">
        <v>2.8</v>
      </c>
      <c r="K2696" t="s">
        <v>41</v>
      </c>
      <c r="L2696" t="s">
        <v>23</v>
      </c>
      <c r="M2696" t="str">
        <f>VLOOKUP(D2700,Restaurant_Master!A:B,2,FALSE)</f>
        <v>https://dineout-media-assets.swiggy.com/swiggy/image/upload/fl_lossy,f_auto,q_auto/v1660793737/fdqxvxcxg1wtdwvyv45v.jpg</v>
      </c>
    </row>
    <row r="2697" spans="1:13" x14ac:dyDescent="0.3">
      <c r="A2697" t="s">
        <v>2727</v>
      </c>
      <c r="B2697" s="1">
        <v>45563</v>
      </c>
      <c r="C2697" t="s">
        <v>13</v>
      </c>
      <c r="D2697" t="s">
        <v>14</v>
      </c>
      <c r="E2697">
        <v>44</v>
      </c>
      <c r="F2697" t="s">
        <v>28</v>
      </c>
      <c r="G2697">
        <v>751.46</v>
      </c>
      <c r="H2697">
        <v>59</v>
      </c>
      <c r="I2697" t="s">
        <v>16</v>
      </c>
      <c r="J2697">
        <v>3.8</v>
      </c>
      <c r="K2697" t="s">
        <v>17</v>
      </c>
      <c r="L2697" t="s">
        <v>23</v>
      </c>
      <c r="M2697" t="str">
        <f>VLOOKUP(D2701,Restaurant_Master!A:B,2,FALSE)</f>
        <v>https://content.jdmagicbox.com/comp/deoria/g6/9999p5568.5568.200119143033.m4g6/catalogue/biryani-house-deoria-ho-deoria-mktc2xph0o.jpg</v>
      </c>
    </row>
    <row r="2698" spans="1:13" x14ac:dyDescent="0.3">
      <c r="A2698" t="s">
        <v>2728</v>
      </c>
      <c r="B2698" s="1">
        <v>45426</v>
      </c>
      <c r="C2698" t="s">
        <v>34</v>
      </c>
      <c r="D2698" t="s">
        <v>38</v>
      </c>
      <c r="E2698">
        <v>37</v>
      </c>
      <c r="F2698" t="s">
        <v>15</v>
      </c>
      <c r="G2698">
        <v>423.5</v>
      </c>
      <c r="H2698">
        <v>46</v>
      </c>
      <c r="I2698" t="s">
        <v>16</v>
      </c>
      <c r="J2698">
        <v>3.7</v>
      </c>
      <c r="K2698" t="s">
        <v>41</v>
      </c>
      <c r="L2698" t="s">
        <v>23</v>
      </c>
      <c r="M2698" t="str">
        <f>VLOOKUP(D2702,Restaurant_Master!A:B,2,FALSE)</f>
        <v>https://dineout-media-assets.swiggy.com/swiggy/image/upload/fl_lossy,f_auto,q_auto/v1660793737/fdqxvxcxg1wtdwvyv45v.jpg</v>
      </c>
    </row>
    <row r="2699" spans="1:13" x14ac:dyDescent="0.3">
      <c r="A2699" t="s">
        <v>2729</v>
      </c>
      <c r="B2699" s="1">
        <v>45607</v>
      </c>
      <c r="C2699" t="s">
        <v>20</v>
      </c>
      <c r="D2699" t="s">
        <v>25</v>
      </c>
      <c r="E2699">
        <v>32</v>
      </c>
      <c r="F2699" t="s">
        <v>15</v>
      </c>
      <c r="G2699">
        <v>1114.73</v>
      </c>
      <c r="H2699">
        <v>43</v>
      </c>
      <c r="I2699" t="s">
        <v>16</v>
      </c>
      <c r="J2699">
        <v>3.5</v>
      </c>
      <c r="K2699" t="s">
        <v>41</v>
      </c>
      <c r="L2699" t="s">
        <v>18</v>
      </c>
      <c r="M2699" t="str">
        <f>VLOOKUP(D2703,Restaurant_Master!A:B,2,FALSE)</f>
        <v>https://dineout-media-assets.swiggy.com/swiggy/image/upload/fl_lossy,f_auto,q_auto/v1660793737/fdqxvxcxg1wtdwvyv45v.jpg</v>
      </c>
    </row>
    <row r="2700" spans="1:13" x14ac:dyDescent="0.3">
      <c r="A2700" t="s">
        <v>2730</v>
      </c>
      <c r="B2700" s="1">
        <v>45606</v>
      </c>
      <c r="C2700" t="s">
        <v>20</v>
      </c>
      <c r="D2700" t="s">
        <v>14</v>
      </c>
      <c r="E2700">
        <v>55</v>
      </c>
      <c r="F2700" t="s">
        <v>28</v>
      </c>
      <c r="G2700">
        <v>522.99</v>
      </c>
      <c r="H2700">
        <v>60</v>
      </c>
      <c r="I2700" t="s">
        <v>16</v>
      </c>
      <c r="J2700">
        <v>3.9</v>
      </c>
      <c r="K2700" t="s">
        <v>29</v>
      </c>
      <c r="L2700" t="s">
        <v>18</v>
      </c>
      <c r="M2700" t="str">
        <f>VLOOKUP(D2704,Restaurant_Master!A:B,2,FALSE)</f>
        <v>https://media-cdn.tripadvisor.com/media/photo-s/1c/c7/97/b6/photo6jpg.jpg</v>
      </c>
    </row>
    <row r="2701" spans="1:13" x14ac:dyDescent="0.3">
      <c r="A2701" t="s">
        <v>2731</v>
      </c>
      <c r="B2701" s="1">
        <v>45402</v>
      </c>
      <c r="C2701" t="s">
        <v>20</v>
      </c>
      <c r="D2701" t="s">
        <v>32</v>
      </c>
      <c r="E2701">
        <v>24</v>
      </c>
      <c r="F2701" t="s">
        <v>28</v>
      </c>
      <c r="G2701">
        <v>392.46</v>
      </c>
      <c r="H2701">
        <v>28</v>
      </c>
      <c r="I2701" t="s">
        <v>22</v>
      </c>
      <c r="J2701">
        <v>3.7</v>
      </c>
      <c r="K2701" t="s">
        <v>17</v>
      </c>
      <c r="L2701" t="s">
        <v>18</v>
      </c>
      <c r="M2701" t="str">
        <f>VLOOKUP(D2705,Restaurant_Master!A:B,2,FALSE)</f>
        <v>https://dynamic-media-cdn.tripadvisor.com/media/photo-o/1c/e7/04/0d/front-of-the-local-easily.jpg</v>
      </c>
    </row>
    <row r="2702" spans="1:13" x14ac:dyDescent="0.3">
      <c r="A2702" t="s">
        <v>2732</v>
      </c>
      <c r="B2702" s="1">
        <v>45322</v>
      </c>
      <c r="C2702" t="s">
        <v>34</v>
      </c>
      <c r="D2702" t="s">
        <v>14</v>
      </c>
      <c r="E2702">
        <v>39</v>
      </c>
      <c r="F2702" t="s">
        <v>28</v>
      </c>
      <c r="G2702">
        <v>753.88</v>
      </c>
      <c r="H2702">
        <v>36</v>
      </c>
      <c r="I2702" t="s">
        <v>22</v>
      </c>
      <c r="J2702">
        <v>3.9</v>
      </c>
      <c r="K2702" t="s">
        <v>17</v>
      </c>
      <c r="L2702" t="s">
        <v>18</v>
      </c>
      <c r="M2702" t="str">
        <f>VLOOKUP(D2706,Restaurant_Master!A:B,2,FALSE)</f>
        <v>https://dynamic-media-cdn.tripadvisor.com/media/photo-o/1c/e7/04/0d/front-of-the-local-easily.jpg</v>
      </c>
    </row>
    <row r="2703" spans="1:13" x14ac:dyDescent="0.3">
      <c r="A2703" t="s">
        <v>2733</v>
      </c>
      <c r="B2703" s="1">
        <v>45411</v>
      </c>
      <c r="C2703" t="s">
        <v>36</v>
      </c>
      <c r="D2703" t="s">
        <v>14</v>
      </c>
      <c r="E2703">
        <v>34</v>
      </c>
      <c r="F2703" t="s">
        <v>15</v>
      </c>
      <c r="G2703">
        <v>592.27</v>
      </c>
      <c r="H2703">
        <v>52</v>
      </c>
      <c r="I2703" t="s">
        <v>16</v>
      </c>
      <c r="J2703">
        <v>3</v>
      </c>
      <c r="K2703" t="s">
        <v>17</v>
      </c>
      <c r="L2703" t="s">
        <v>23</v>
      </c>
      <c r="M2703" t="str">
        <f>VLOOKUP(D2707,Restaurant_Master!A:B,2,FALSE)</f>
        <v>https://dineout-media-assets.swiggy.com/swiggy/image/upload/fl_lossy,f_auto,q_auto/v1660793737/fdqxvxcxg1wtdwvyv45v.jpg</v>
      </c>
    </row>
    <row r="2704" spans="1:13" x14ac:dyDescent="0.3">
      <c r="A2704" t="s">
        <v>2734</v>
      </c>
      <c r="B2704" s="1">
        <v>45430</v>
      </c>
      <c r="C2704" t="s">
        <v>36</v>
      </c>
      <c r="D2704" t="s">
        <v>25</v>
      </c>
      <c r="E2704">
        <v>19</v>
      </c>
      <c r="F2704" t="s">
        <v>28</v>
      </c>
      <c r="G2704">
        <v>892.12</v>
      </c>
      <c r="H2704">
        <v>32</v>
      </c>
      <c r="I2704" t="s">
        <v>22</v>
      </c>
      <c r="J2704">
        <v>3</v>
      </c>
      <c r="K2704" t="s">
        <v>29</v>
      </c>
      <c r="L2704" t="s">
        <v>18</v>
      </c>
      <c r="M2704" t="str">
        <f>VLOOKUP(D2708,Restaurant_Master!A:B,2,FALSE)</f>
        <v>https://www.chatswoodinterchange.com/storages/2018/08/Sushi-World_666x448.jpg</v>
      </c>
    </row>
    <row r="2705" spans="1:13" x14ac:dyDescent="0.3">
      <c r="A2705" t="s">
        <v>2735</v>
      </c>
      <c r="B2705" s="1">
        <v>45532</v>
      </c>
      <c r="C2705" t="s">
        <v>36</v>
      </c>
      <c r="D2705" t="s">
        <v>21</v>
      </c>
      <c r="E2705">
        <v>21</v>
      </c>
      <c r="F2705" t="s">
        <v>28</v>
      </c>
      <c r="G2705">
        <v>281.83999999999997</v>
      </c>
      <c r="H2705">
        <v>22</v>
      </c>
      <c r="I2705" t="s">
        <v>22</v>
      </c>
      <c r="J2705">
        <v>3</v>
      </c>
      <c r="K2705" t="s">
        <v>17</v>
      </c>
      <c r="L2705" t="s">
        <v>23</v>
      </c>
      <c r="M2705" t="str">
        <f>VLOOKUP(D2709,Restaurant_Master!A:B,2,FALSE)</f>
        <v>https://content.jdmagicbox.com/comp/deoria/g6/9999p5568.5568.200119143033.m4g6/catalogue/biryani-house-deoria-ho-deoria-mktc2xph0o.jpg</v>
      </c>
    </row>
    <row r="2706" spans="1:13" x14ac:dyDescent="0.3">
      <c r="A2706" t="s">
        <v>2736</v>
      </c>
      <c r="B2706" s="1">
        <v>45314</v>
      </c>
      <c r="C2706" t="s">
        <v>34</v>
      </c>
      <c r="D2706" t="s">
        <v>21</v>
      </c>
      <c r="E2706">
        <v>32</v>
      </c>
      <c r="F2706" t="s">
        <v>15</v>
      </c>
      <c r="G2706">
        <v>834.52</v>
      </c>
      <c r="H2706">
        <v>58</v>
      </c>
      <c r="I2706" t="s">
        <v>16</v>
      </c>
      <c r="J2706">
        <v>3</v>
      </c>
      <c r="K2706" t="s">
        <v>29</v>
      </c>
      <c r="L2706" t="s">
        <v>18</v>
      </c>
      <c r="M2706" t="str">
        <f>VLOOKUP(D2710,Restaurant_Master!A:B,2,FALSE)</f>
        <v>https://dineout-media-assets.swiggy.com/swiggy/image/upload/fl_lossy,f_auto,q_auto/v1660793737/fdqxvxcxg1wtdwvyv45v.jpg</v>
      </c>
    </row>
    <row r="2707" spans="1:13" x14ac:dyDescent="0.3">
      <c r="A2707" t="s">
        <v>2737</v>
      </c>
      <c r="B2707" s="1">
        <v>45421</v>
      </c>
      <c r="C2707" t="s">
        <v>13</v>
      </c>
      <c r="D2707" t="s">
        <v>14</v>
      </c>
      <c r="E2707">
        <v>35</v>
      </c>
      <c r="F2707" t="s">
        <v>28</v>
      </c>
      <c r="G2707">
        <v>625.83000000000004</v>
      </c>
      <c r="H2707">
        <v>57</v>
      </c>
      <c r="I2707" t="s">
        <v>16</v>
      </c>
      <c r="J2707">
        <v>3.6</v>
      </c>
      <c r="K2707" t="s">
        <v>41</v>
      </c>
      <c r="L2707" t="s">
        <v>18</v>
      </c>
      <c r="M2707" t="str">
        <f>VLOOKUP(D2711,Restaurant_Master!A:B,2,FALSE)</f>
        <v>https://www.chatswoodinterchange.com/storages/2018/08/Sushi-World_666x448.jpg</v>
      </c>
    </row>
    <row r="2708" spans="1:13" x14ac:dyDescent="0.3">
      <c r="A2708" t="s">
        <v>2738</v>
      </c>
      <c r="B2708" s="1">
        <v>45550</v>
      </c>
      <c r="C2708" t="s">
        <v>43</v>
      </c>
      <c r="D2708" t="s">
        <v>38</v>
      </c>
      <c r="E2708">
        <v>60</v>
      </c>
      <c r="F2708" t="s">
        <v>15</v>
      </c>
      <c r="G2708">
        <v>384.69</v>
      </c>
      <c r="H2708">
        <v>40</v>
      </c>
      <c r="I2708" t="s">
        <v>22</v>
      </c>
      <c r="J2708">
        <v>4.9000000000000004</v>
      </c>
      <c r="K2708" t="s">
        <v>29</v>
      </c>
      <c r="L2708" t="s">
        <v>18</v>
      </c>
      <c r="M2708" t="str">
        <f>VLOOKUP(D2712,Restaurant_Master!A:B,2,FALSE)</f>
        <v>https://dynamic-media-cdn.tripadvisor.com/media/photo-o/1c/e7/04/0d/front-of-the-local-easily.jpg</v>
      </c>
    </row>
    <row r="2709" spans="1:13" x14ac:dyDescent="0.3">
      <c r="A2709" t="s">
        <v>2739</v>
      </c>
      <c r="B2709" s="1">
        <v>45547</v>
      </c>
      <c r="C2709" t="s">
        <v>13</v>
      </c>
      <c r="D2709" t="s">
        <v>32</v>
      </c>
      <c r="E2709">
        <v>43</v>
      </c>
      <c r="F2709" t="s">
        <v>15</v>
      </c>
      <c r="G2709">
        <v>1089.79</v>
      </c>
      <c r="H2709">
        <v>47</v>
      </c>
      <c r="I2709" t="s">
        <v>16</v>
      </c>
      <c r="J2709">
        <v>4.9000000000000004</v>
      </c>
      <c r="K2709" t="s">
        <v>41</v>
      </c>
      <c r="L2709" t="s">
        <v>18</v>
      </c>
      <c r="M2709" t="str">
        <f>VLOOKUP(D2713,Restaurant_Master!A:B,2,FALSE)</f>
        <v>https://media-cdn.tripadvisor.com/media/photo-s/1c/c7/97/b6/photo6jpg.jpg</v>
      </c>
    </row>
    <row r="2710" spans="1:13" x14ac:dyDescent="0.3">
      <c r="A2710" t="s">
        <v>2740</v>
      </c>
      <c r="B2710" s="1">
        <v>45415</v>
      </c>
      <c r="C2710" t="s">
        <v>34</v>
      </c>
      <c r="D2710" t="s">
        <v>14</v>
      </c>
      <c r="E2710">
        <v>30</v>
      </c>
      <c r="F2710" t="s">
        <v>15</v>
      </c>
      <c r="G2710">
        <v>479.15</v>
      </c>
      <c r="H2710">
        <v>43</v>
      </c>
      <c r="I2710" t="s">
        <v>16</v>
      </c>
      <c r="J2710">
        <v>4</v>
      </c>
      <c r="K2710" t="s">
        <v>26</v>
      </c>
      <c r="L2710" t="s">
        <v>18</v>
      </c>
      <c r="M2710" t="str">
        <f>VLOOKUP(D2714,Restaurant_Master!A:B,2,FALSE)</f>
        <v>https://dineout-media-assets.swiggy.com/swiggy/image/upload/fl_lossy,f_auto,q_auto/v1660793737/fdqxvxcxg1wtdwvyv45v.jpg</v>
      </c>
    </row>
    <row r="2711" spans="1:13" x14ac:dyDescent="0.3">
      <c r="A2711" t="s">
        <v>2741</v>
      </c>
      <c r="B2711" s="1">
        <v>45343</v>
      </c>
      <c r="C2711" t="s">
        <v>13</v>
      </c>
      <c r="D2711" t="s">
        <v>38</v>
      </c>
      <c r="E2711">
        <v>33</v>
      </c>
      <c r="F2711" t="s">
        <v>15</v>
      </c>
      <c r="G2711">
        <v>646.92999999999995</v>
      </c>
      <c r="H2711">
        <v>37</v>
      </c>
      <c r="I2711" t="s">
        <v>22</v>
      </c>
      <c r="J2711">
        <v>4.3</v>
      </c>
      <c r="K2711" t="s">
        <v>26</v>
      </c>
      <c r="L2711" t="s">
        <v>23</v>
      </c>
      <c r="M2711" t="str">
        <f>VLOOKUP(D2715,Restaurant_Master!A:B,2,FALSE)</f>
        <v>https://dineout-media-assets.swiggy.com/swiggy/image/upload/fl_lossy,f_auto,q_auto/v1660793737/fdqxvxcxg1wtdwvyv45v.jpg</v>
      </c>
    </row>
    <row r="2712" spans="1:13" x14ac:dyDescent="0.3">
      <c r="A2712" t="s">
        <v>2742</v>
      </c>
      <c r="B2712" s="1">
        <v>45413</v>
      </c>
      <c r="C2712" t="s">
        <v>13</v>
      </c>
      <c r="D2712" t="s">
        <v>21</v>
      </c>
      <c r="E2712">
        <v>52</v>
      </c>
      <c r="F2712" t="s">
        <v>15</v>
      </c>
      <c r="G2712">
        <v>155.58000000000001</v>
      </c>
      <c r="H2712">
        <v>29</v>
      </c>
      <c r="I2712" t="s">
        <v>22</v>
      </c>
      <c r="J2712">
        <v>4.2</v>
      </c>
      <c r="K2712" t="s">
        <v>26</v>
      </c>
      <c r="L2712" t="s">
        <v>18</v>
      </c>
      <c r="M2712" t="str">
        <f>VLOOKUP(D2716,Restaurant_Master!A:B,2,FALSE)</f>
        <v>https://content.jdmagicbox.com/comp/deoria/g6/9999p5568.5568.200119143033.m4g6/catalogue/biryani-house-deoria-ho-deoria-mktc2xph0o.jpg</v>
      </c>
    </row>
    <row r="2713" spans="1:13" x14ac:dyDescent="0.3">
      <c r="A2713" t="s">
        <v>2743</v>
      </c>
      <c r="B2713" s="1">
        <v>45321</v>
      </c>
      <c r="C2713" t="s">
        <v>20</v>
      </c>
      <c r="D2713" t="s">
        <v>25</v>
      </c>
      <c r="E2713">
        <v>48</v>
      </c>
      <c r="F2713" t="s">
        <v>28</v>
      </c>
      <c r="G2713">
        <v>930.47</v>
      </c>
      <c r="H2713">
        <v>53</v>
      </c>
      <c r="I2713" t="s">
        <v>16</v>
      </c>
      <c r="J2713">
        <v>4.5999999999999996</v>
      </c>
      <c r="K2713" t="s">
        <v>29</v>
      </c>
      <c r="L2713" t="s">
        <v>18</v>
      </c>
      <c r="M2713" t="str">
        <f>VLOOKUP(D2717,Restaurant_Master!A:B,2,FALSE)</f>
        <v>https://dynamic-media-cdn.tripadvisor.com/media/photo-o/1c/e7/04/0d/front-of-the-local-easily.jpg</v>
      </c>
    </row>
    <row r="2714" spans="1:13" x14ac:dyDescent="0.3">
      <c r="A2714" t="s">
        <v>2744</v>
      </c>
      <c r="B2714" s="1">
        <v>45313</v>
      </c>
      <c r="C2714" t="s">
        <v>43</v>
      </c>
      <c r="D2714" t="s">
        <v>14</v>
      </c>
      <c r="E2714">
        <v>27</v>
      </c>
      <c r="F2714" t="s">
        <v>28</v>
      </c>
      <c r="G2714">
        <v>189.27</v>
      </c>
      <c r="H2714">
        <v>24</v>
      </c>
      <c r="I2714" t="s">
        <v>22</v>
      </c>
      <c r="J2714">
        <v>4</v>
      </c>
      <c r="K2714" t="s">
        <v>26</v>
      </c>
      <c r="L2714" t="s">
        <v>18</v>
      </c>
      <c r="M2714" t="str">
        <f>VLOOKUP(D2718,Restaurant_Master!A:B,2,FALSE)</f>
        <v>https://dynamic-media-cdn.tripadvisor.com/media/photo-o/1c/e7/04/0d/front-of-the-local-easily.jpg</v>
      </c>
    </row>
    <row r="2715" spans="1:13" x14ac:dyDescent="0.3">
      <c r="A2715" t="s">
        <v>2745</v>
      </c>
      <c r="B2715" s="1">
        <v>45481</v>
      </c>
      <c r="C2715" t="s">
        <v>36</v>
      </c>
      <c r="D2715" t="s">
        <v>14</v>
      </c>
      <c r="E2715">
        <v>43</v>
      </c>
      <c r="F2715" t="s">
        <v>15</v>
      </c>
      <c r="G2715">
        <v>329.16</v>
      </c>
      <c r="H2715">
        <v>40</v>
      </c>
      <c r="I2715" t="s">
        <v>22</v>
      </c>
      <c r="J2715">
        <v>5</v>
      </c>
      <c r="K2715" t="s">
        <v>29</v>
      </c>
      <c r="L2715" t="s">
        <v>23</v>
      </c>
      <c r="M2715" t="str">
        <f>VLOOKUP(D2719,Restaurant_Master!A:B,2,FALSE)</f>
        <v>https://content.jdmagicbox.com/comp/deoria/g6/9999p5568.5568.200119143033.m4g6/catalogue/biryani-house-deoria-ho-deoria-mktc2xph0o.jpg</v>
      </c>
    </row>
    <row r="2716" spans="1:13" x14ac:dyDescent="0.3">
      <c r="A2716" t="s">
        <v>2746</v>
      </c>
      <c r="B2716" s="1">
        <v>45313</v>
      </c>
      <c r="C2716" t="s">
        <v>43</v>
      </c>
      <c r="D2716" t="s">
        <v>32</v>
      </c>
      <c r="E2716">
        <v>48</v>
      </c>
      <c r="F2716" t="s">
        <v>28</v>
      </c>
      <c r="G2716">
        <v>703.81</v>
      </c>
      <c r="H2716">
        <v>56</v>
      </c>
      <c r="I2716" t="s">
        <v>16</v>
      </c>
      <c r="J2716">
        <v>3</v>
      </c>
      <c r="K2716" t="s">
        <v>26</v>
      </c>
      <c r="L2716" t="s">
        <v>18</v>
      </c>
      <c r="M2716" t="str">
        <f>VLOOKUP(D2720,Restaurant_Master!A:B,2,FALSE)</f>
        <v>https://media-cdn.tripadvisor.com/media/photo-s/1c/c7/97/b6/photo6jpg.jpg</v>
      </c>
    </row>
    <row r="2717" spans="1:13" x14ac:dyDescent="0.3">
      <c r="A2717" t="s">
        <v>2747</v>
      </c>
      <c r="B2717" s="1">
        <v>45359</v>
      </c>
      <c r="C2717" t="s">
        <v>20</v>
      </c>
      <c r="D2717" t="s">
        <v>21</v>
      </c>
      <c r="E2717">
        <v>24</v>
      </c>
      <c r="F2717" t="s">
        <v>28</v>
      </c>
      <c r="G2717">
        <v>198.44</v>
      </c>
      <c r="H2717">
        <v>26</v>
      </c>
      <c r="I2717" t="s">
        <v>22</v>
      </c>
      <c r="J2717">
        <v>2.6</v>
      </c>
      <c r="K2717" t="s">
        <v>41</v>
      </c>
      <c r="L2717" t="s">
        <v>23</v>
      </c>
      <c r="M2717" t="str">
        <f>VLOOKUP(D2721,Restaurant_Master!A:B,2,FALSE)</f>
        <v>https://www.chatswoodinterchange.com/storages/2018/08/Sushi-World_666x448.jpg</v>
      </c>
    </row>
    <row r="2718" spans="1:13" x14ac:dyDescent="0.3">
      <c r="A2718" t="s">
        <v>2748</v>
      </c>
      <c r="B2718" s="1">
        <v>45364</v>
      </c>
      <c r="C2718" t="s">
        <v>43</v>
      </c>
      <c r="D2718" t="s">
        <v>21</v>
      </c>
      <c r="E2718">
        <v>36</v>
      </c>
      <c r="F2718" t="s">
        <v>15</v>
      </c>
      <c r="G2718">
        <v>778.59</v>
      </c>
      <c r="H2718">
        <v>36</v>
      </c>
      <c r="I2718" t="s">
        <v>22</v>
      </c>
      <c r="J2718">
        <v>4.0999999999999996</v>
      </c>
      <c r="K2718" t="s">
        <v>17</v>
      </c>
      <c r="L2718" t="s">
        <v>23</v>
      </c>
      <c r="M2718" t="str">
        <f>VLOOKUP(D2722,Restaurant_Master!A:B,2,FALSE)</f>
        <v>https://dineout-media-assets.swiggy.com/swiggy/image/upload/fl_lossy,f_auto,q_auto/v1660793737/fdqxvxcxg1wtdwvyv45v.jpg</v>
      </c>
    </row>
    <row r="2719" spans="1:13" x14ac:dyDescent="0.3">
      <c r="A2719" t="s">
        <v>2749</v>
      </c>
      <c r="B2719" s="1">
        <v>45312</v>
      </c>
      <c r="C2719" t="s">
        <v>36</v>
      </c>
      <c r="D2719" t="s">
        <v>32</v>
      </c>
      <c r="E2719">
        <v>54</v>
      </c>
      <c r="F2719" t="s">
        <v>15</v>
      </c>
      <c r="G2719">
        <v>855.23</v>
      </c>
      <c r="H2719">
        <v>31</v>
      </c>
      <c r="I2719" t="s">
        <v>22</v>
      </c>
      <c r="J2719">
        <v>3.8</v>
      </c>
      <c r="K2719" t="s">
        <v>26</v>
      </c>
      <c r="L2719" t="s">
        <v>18</v>
      </c>
      <c r="M2719" t="str">
        <f>VLOOKUP(D2723,Restaurant_Master!A:B,2,FALSE)</f>
        <v>https://dynamic-media-cdn.tripadvisor.com/media/photo-o/1c/e7/04/0d/front-of-the-local-easily.jpg</v>
      </c>
    </row>
    <row r="2720" spans="1:13" x14ac:dyDescent="0.3">
      <c r="A2720" t="s">
        <v>2750</v>
      </c>
      <c r="B2720" s="1">
        <v>45370</v>
      </c>
      <c r="C2720" t="s">
        <v>43</v>
      </c>
      <c r="D2720" t="s">
        <v>25</v>
      </c>
      <c r="E2720">
        <v>48</v>
      </c>
      <c r="F2720" t="s">
        <v>15</v>
      </c>
      <c r="G2720">
        <v>900.85</v>
      </c>
      <c r="H2720">
        <v>42</v>
      </c>
      <c r="I2720" t="s">
        <v>16</v>
      </c>
      <c r="J2720">
        <v>4.5999999999999996</v>
      </c>
      <c r="K2720" t="s">
        <v>17</v>
      </c>
      <c r="L2720" t="s">
        <v>18</v>
      </c>
      <c r="M2720" t="str">
        <f>VLOOKUP(D2724,Restaurant_Master!A:B,2,FALSE)</f>
        <v>https://www.chatswoodinterchange.com/storages/2018/08/Sushi-World_666x448.jpg</v>
      </c>
    </row>
    <row r="2721" spans="1:13" x14ac:dyDescent="0.3">
      <c r="A2721" t="s">
        <v>2751</v>
      </c>
      <c r="B2721" s="1">
        <v>45505</v>
      </c>
      <c r="C2721" t="s">
        <v>36</v>
      </c>
      <c r="D2721" t="s">
        <v>38</v>
      </c>
      <c r="E2721">
        <v>26</v>
      </c>
      <c r="F2721" t="s">
        <v>15</v>
      </c>
      <c r="G2721">
        <v>182.89</v>
      </c>
      <c r="H2721">
        <v>57</v>
      </c>
      <c r="I2721" t="s">
        <v>16</v>
      </c>
      <c r="J2721">
        <v>3.4</v>
      </c>
      <c r="K2721" t="s">
        <v>17</v>
      </c>
      <c r="L2721" t="s">
        <v>18</v>
      </c>
      <c r="M2721" t="str">
        <f>VLOOKUP(D2725,Restaurant_Master!A:B,2,FALSE)</f>
        <v>https://content.jdmagicbox.com/comp/deoria/g6/9999p5568.5568.200119143033.m4g6/catalogue/biryani-house-deoria-ho-deoria-mktc2xph0o.jpg</v>
      </c>
    </row>
    <row r="2722" spans="1:13" x14ac:dyDescent="0.3">
      <c r="A2722" t="s">
        <v>2752</v>
      </c>
      <c r="B2722" s="1">
        <v>45504</v>
      </c>
      <c r="C2722" t="s">
        <v>34</v>
      </c>
      <c r="D2722" t="s">
        <v>14</v>
      </c>
      <c r="E2722">
        <v>47</v>
      </c>
      <c r="F2722" t="s">
        <v>15</v>
      </c>
      <c r="G2722">
        <v>817.49</v>
      </c>
      <c r="H2722">
        <v>29</v>
      </c>
      <c r="I2722" t="s">
        <v>22</v>
      </c>
      <c r="J2722">
        <v>2.6</v>
      </c>
      <c r="K2722" t="s">
        <v>29</v>
      </c>
      <c r="L2722" t="s">
        <v>23</v>
      </c>
      <c r="M2722" t="str">
        <f>VLOOKUP(D2726,Restaurant_Master!A:B,2,FALSE)</f>
        <v>https://www.chatswoodinterchange.com/storages/2018/08/Sushi-World_666x448.jpg</v>
      </c>
    </row>
    <row r="2723" spans="1:13" x14ac:dyDescent="0.3">
      <c r="A2723" t="s">
        <v>2753</v>
      </c>
      <c r="B2723" s="1">
        <v>45408</v>
      </c>
      <c r="C2723" t="s">
        <v>34</v>
      </c>
      <c r="D2723" t="s">
        <v>21</v>
      </c>
      <c r="E2723">
        <v>28</v>
      </c>
      <c r="F2723" t="s">
        <v>28</v>
      </c>
      <c r="G2723">
        <v>745.4</v>
      </c>
      <c r="H2723">
        <v>52</v>
      </c>
      <c r="I2723" t="s">
        <v>16</v>
      </c>
      <c r="J2723">
        <v>3.8</v>
      </c>
      <c r="K2723" t="s">
        <v>17</v>
      </c>
      <c r="L2723" t="s">
        <v>18</v>
      </c>
      <c r="M2723" t="str">
        <f>VLOOKUP(D2727,Restaurant_Master!A:B,2,FALSE)</f>
        <v>https://dineout-media-assets.swiggy.com/swiggy/image/upload/fl_lossy,f_auto,q_auto/v1660793737/fdqxvxcxg1wtdwvyv45v.jpg</v>
      </c>
    </row>
    <row r="2724" spans="1:13" x14ac:dyDescent="0.3">
      <c r="A2724" t="s">
        <v>2754</v>
      </c>
      <c r="B2724" s="1">
        <v>45481</v>
      </c>
      <c r="C2724" t="s">
        <v>20</v>
      </c>
      <c r="D2724" t="s">
        <v>38</v>
      </c>
      <c r="E2724">
        <v>45</v>
      </c>
      <c r="F2724" t="s">
        <v>28</v>
      </c>
      <c r="G2724">
        <v>238.91</v>
      </c>
      <c r="H2724">
        <v>47</v>
      </c>
      <c r="I2724" t="s">
        <v>16</v>
      </c>
      <c r="J2724">
        <v>4.5</v>
      </c>
      <c r="K2724" t="s">
        <v>29</v>
      </c>
      <c r="L2724" t="s">
        <v>23</v>
      </c>
      <c r="M2724" t="str">
        <f>VLOOKUP(D2728,Restaurant_Master!A:B,2,FALSE)</f>
        <v>https://media-cdn.tripadvisor.com/media/photo-s/1c/c7/97/b6/photo6jpg.jpg</v>
      </c>
    </row>
    <row r="2725" spans="1:13" x14ac:dyDescent="0.3">
      <c r="A2725" t="s">
        <v>2755</v>
      </c>
      <c r="B2725" s="1">
        <v>45596</v>
      </c>
      <c r="C2725" t="s">
        <v>34</v>
      </c>
      <c r="D2725" t="s">
        <v>32</v>
      </c>
      <c r="E2725">
        <v>45</v>
      </c>
      <c r="F2725" t="s">
        <v>28</v>
      </c>
      <c r="G2725">
        <v>647.80999999999995</v>
      </c>
      <c r="H2725">
        <v>24</v>
      </c>
      <c r="I2725" t="s">
        <v>22</v>
      </c>
      <c r="J2725">
        <v>3</v>
      </c>
      <c r="K2725" t="s">
        <v>26</v>
      </c>
      <c r="L2725" t="s">
        <v>23</v>
      </c>
      <c r="M2725" t="str">
        <f>VLOOKUP(D2729,Restaurant_Master!A:B,2,FALSE)</f>
        <v>https://media-cdn.tripadvisor.com/media/photo-s/1c/c7/97/b6/photo6jpg.jpg</v>
      </c>
    </row>
    <row r="2726" spans="1:13" x14ac:dyDescent="0.3">
      <c r="A2726" t="s">
        <v>2756</v>
      </c>
      <c r="B2726" s="1">
        <v>45575</v>
      </c>
      <c r="C2726" t="s">
        <v>20</v>
      </c>
      <c r="D2726" t="s">
        <v>38</v>
      </c>
      <c r="E2726">
        <v>21</v>
      </c>
      <c r="F2726" t="s">
        <v>28</v>
      </c>
      <c r="G2726">
        <v>675.42</v>
      </c>
      <c r="H2726">
        <v>56</v>
      </c>
      <c r="I2726" t="s">
        <v>16</v>
      </c>
      <c r="J2726">
        <v>2.9</v>
      </c>
      <c r="K2726" t="s">
        <v>29</v>
      </c>
      <c r="L2726" t="s">
        <v>23</v>
      </c>
      <c r="M2726" t="str">
        <f>VLOOKUP(D2730,Restaurant_Master!A:B,2,FALSE)</f>
        <v>https://content.jdmagicbox.com/comp/deoria/g6/9999p5568.5568.200119143033.m4g6/catalogue/biryani-house-deoria-ho-deoria-mktc2xph0o.jpg</v>
      </c>
    </row>
    <row r="2727" spans="1:13" x14ac:dyDescent="0.3">
      <c r="A2727" t="s">
        <v>2757</v>
      </c>
      <c r="B2727" s="1">
        <v>45523</v>
      </c>
      <c r="C2727" t="s">
        <v>20</v>
      </c>
      <c r="D2727" t="s">
        <v>14</v>
      </c>
      <c r="E2727">
        <v>26</v>
      </c>
      <c r="F2727" t="s">
        <v>28</v>
      </c>
      <c r="G2727">
        <v>277.11</v>
      </c>
      <c r="H2727">
        <v>36</v>
      </c>
      <c r="I2727" t="s">
        <v>22</v>
      </c>
      <c r="J2727">
        <v>4.4000000000000004</v>
      </c>
      <c r="K2727" t="s">
        <v>41</v>
      </c>
      <c r="L2727" t="s">
        <v>23</v>
      </c>
      <c r="M2727" t="str">
        <f>VLOOKUP(D2731,Restaurant_Master!A:B,2,FALSE)</f>
        <v>https://dineout-media-assets.swiggy.com/swiggy/image/upload/fl_lossy,f_auto,q_auto/v1660793737/fdqxvxcxg1wtdwvyv45v.jpg</v>
      </c>
    </row>
    <row r="2728" spans="1:13" x14ac:dyDescent="0.3">
      <c r="A2728" t="s">
        <v>2758</v>
      </c>
      <c r="B2728" s="1">
        <v>45395</v>
      </c>
      <c r="C2728" t="s">
        <v>13</v>
      </c>
      <c r="D2728" t="s">
        <v>25</v>
      </c>
      <c r="E2728">
        <v>28</v>
      </c>
      <c r="F2728" t="s">
        <v>15</v>
      </c>
      <c r="G2728">
        <v>943.96</v>
      </c>
      <c r="H2728">
        <v>52</v>
      </c>
      <c r="I2728" t="s">
        <v>16</v>
      </c>
      <c r="J2728">
        <v>3.4</v>
      </c>
      <c r="K2728" t="s">
        <v>17</v>
      </c>
      <c r="L2728" t="s">
        <v>23</v>
      </c>
      <c r="M2728" t="str">
        <f>VLOOKUP(D2732,Restaurant_Master!A:B,2,FALSE)</f>
        <v>https://dineout-media-assets.swiggy.com/swiggy/image/upload/fl_lossy,f_auto,q_auto/v1660793737/fdqxvxcxg1wtdwvyv45v.jpg</v>
      </c>
    </row>
    <row r="2729" spans="1:13" x14ac:dyDescent="0.3">
      <c r="A2729" t="s">
        <v>2759</v>
      </c>
      <c r="B2729" s="1">
        <v>45626</v>
      </c>
      <c r="C2729" t="s">
        <v>20</v>
      </c>
      <c r="D2729" t="s">
        <v>25</v>
      </c>
      <c r="E2729">
        <v>42</v>
      </c>
      <c r="F2729" t="s">
        <v>15</v>
      </c>
      <c r="G2729">
        <v>365.82</v>
      </c>
      <c r="H2729">
        <v>31</v>
      </c>
      <c r="I2729" t="s">
        <v>22</v>
      </c>
      <c r="J2729">
        <v>4.8</v>
      </c>
      <c r="K2729" t="s">
        <v>41</v>
      </c>
      <c r="L2729" t="s">
        <v>23</v>
      </c>
      <c r="M2729" t="str">
        <f>VLOOKUP(D2733,Restaurant_Master!A:B,2,FALSE)</f>
        <v>https://www.chatswoodinterchange.com/storages/2018/08/Sushi-World_666x448.jpg</v>
      </c>
    </row>
    <row r="2730" spans="1:13" x14ac:dyDescent="0.3">
      <c r="A2730" t="s">
        <v>2760</v>
      </c>
      <c r="B2730" s="1">
        <v>45447</v>
      </c>
      <c r="C2730" t="s">
        <v>43</v>
      </c>
      <c r="D2730" t="s">
        <v>32</v>
      </c>
      <c r="E2730">
        <v>38</v>
      </c>
      <c r="F2730" t="s">
        <v>15</v>
      </c>
      <c r="G2730">
        <v>1060.54</v>
      </c>
      <c r="H2730">
        <v>48</v>
      </c>
      <c r="I2730" t="s">
        <v>16</v>
      </c>
      <c r="J2730">
        <v>3.9</v>
      </c>
      <c r="K2730" t="s">
        <v>29</v>
      </c>
      <c r="L2730" t="s">
        <v>23</v>
      </c>
      <c r="M2730" t="str">
        <f>VLOOKUP(D2734,Restaurant_Master!A:B,2,FALSE)</f>
        <v>https://www.chatswoodinterchange.com/storages/2018/08/Sushi-World_666x448.jpg</v>
      </c>
    </row>
    <row r="2731" spans="1:13" x14ac:dyDescent="0.3">
      <c r="A2731" t="s">
        <v>2761</v>
      </c>
      <c r="B2731" s="1">
        <v>45490</v>
      </c>
      <c r="C2731" t="s">
        <v>36</v>
      </c>
      <c r="D2731" t="s">
        <v>14</v>
      </c>
      <c r="E2731">
        <v>50</v>
      </c>
      <c r="F2731" t="s">
        <v>28</v>
      </c>
      <c r="G2731">
        <v>823.34</v>
      </c>
      <c r="H2731">
        <v>59</v>
      </c>
      <c r="I2731" t="s">
        <v>16</v>
      </c>
      <c r="J2731">
        <v>2.8</v>
      </c>
      <c r="K2731" t="s">
        <v>17</v>
      </c>
      <c r="L2731" t="s">
        <v>18</v>
      </c>
      <c r="M2731" t="str">
        <f>VLOOKUP(D2735,Restaurant_Master!A:B,2,FALSE)</f>
        <v>https://www.chatswoodinterchange.com/storages/2018/08/Sushi-World_666x448.jpg</v>
      </c>
    </row>
    <row r="2732" spans="1:13" x14ac:dyDescent="0.3">
      <c r="A2732" t="s">
        <v>2762</v>
      </c>
      <c r="B2732" s="1">
        <v>45526</v>
      </c>
      <c r="C2732" t="s">
        <v>20</v>
      </c>
      <c r="D2732" t="s">
        <v>14</v>
      </c>
      <c r="E2732">
        <v>48</v>
      </c>
      <c r="F2732" t="s">
        <v>15</v>
      </c>
      <c r="G2732">
        <v>364.61</v>
      </c>
      <c r="H2732">
        <v>22</v>
      </c>
      <c r="I2732" t="s">
        <v>22</v>
      </c>
      <c r="J2732">
        <v>3.2</v>
      </c>
      <c r="K2732" t="s">
        <v>41</v>
      </c>
      <c r="L2732" t="s">
        <v>23</v>
      </c>
      <c r="M2732" t="str">
        <f>VLOOKUP(D2736,Restaurant_Master!A:B,2,FALSE)</f>
        <v>https://media-cdn.tripadvisor.com/media/photo-s/1c/c7/97/b6/photo6jpg.jpg</v>
      </c>
    </row>
    <row r="2733" spans="1:13" x14ac:dyDescent="0.3">
      <c r="A2733" t="s">
        <v>2763</v>
      </c>
      <c r="B2733" s="1">
        <v>45536</v>
      </c>
      <c r="C2733" t="s">
        <v>34</v>
      </c>
      <c r="D2733" t="s">
        <v>38</v>
      </c>
      <c r="E2733">
        <v>34</v>
      </c>
      <c r="F2733" t="s">
        <v>15</v>
      </c>
      <c r="G2733">
        <v>902.62</v>
      </c>
      <c r="H2733">
        <v>51</v>
      </c>
      <c r="I2733" t="s">
        <v>16</v>
      </c>
      <c r="J2733">
        <v>3.2</v>
      </c>
      <c r="K2733" t="s">
        <v>26</v>
      </c>
      <c r="L2733" t="s">
        <v>18</v>
      </c>
      <c r="M2733" t="str">
        <f>VLOOKUP(D2737,Restaurant_Master!A:B,2,FALSE)</f>
        <v>https://content.jdmagicbox.com/comp/deoria/g6/9999p5568.5568.200119143033.m4g6/catalogue/biryani-house-deoria-ho-deoria-mktc2xph0o.jpg</v>
      </c>
    </row>
    <row r="2734" spans="1:13" x14ac:dyDescent="0.3">
      <c r="A2734" t="s">
        <v>2764</v>
      </c>
      <c r="B2734" s="1">
        <v>45579</v>
      </c>
      <c r="C2734" t="s">
        <v>20</v>
      </c>
      <c r="D2734" t="s">
        <v>38</v>
      </c>
      <c r="E2734">
        <v>34</v>
      </c>
      <c r="F2734" t="s">
        <v>28</v>
      </c>
      <c r="G2734">
        <v>219.73</v>
      </c>
      <c r="H2734">
        <v>54</v>
      </c>
      <c r="I2734" t="s">
        <v>16</v>
      </c>
      <c r="J2734">
        <v>3.6</v>
      </c>
      <c r="K2734" t="s">
        <v>41</v>
      </c>
      <c r="L2734" t="s">
        <v>18</v>
      </c>
      <c r="M2734" t="str">
        <f>VLOOKUP(D2738,Restaurant_Master!A:B,2,FALSE)</f>
        <v>https://content.jdmagicbox.com/comp/deoria/g6/9999p5568.5568.200119143033.m4g6/catalogue/biryani-house-deoria-ho-deoria-mktc2xph0o.jpg</v>
      </c>
    </row>
    <row r="2735" spans="1:13" x14ac:dyDescent="0.3">
      <c r="A2735" t="s">
        <v>2765</v>
      </c>
      <c r="B2735" s="1">
        <v>45494</v>
      </c>
      <c r="C2735" t="s">
        <v>20</v>
      </c>
      <c r="D2735" t="s">
        <v>38</v>
      </c>
      <c r="E2735">
        <v>49</v>
      </c>
      <c r="F2735" t="s">
        <v>28</v>
      </c>
      <c r="G2735">
        <v>661.05</v>
      </c>
      <c r="H2735">
        <v>56</v>
      </c>
      <c r="I2735" t="s">
        <v>16</v>
      </c>
      <c r="J2735">
        <v>2.5</v>
      </c>
      <c r="K2735" t="s">
        <v>29</v>
      </c>
      <c r="L2735" t="s">
        <v>18</v>
      </c>
      <c r="M2735" t="str">
        <f>VLOOKUP(D2739,Restaurant_Master!A:B,2,FALSE)</f>
        <v>https://media-cdn.tripadvisor.com/media/photo-s/1c/c7/97/b6/photo6jpg.jpg</v>
      </c>
    </row>
    <row r="2736" spans="1:13" x14ac:dyDescent="0.3">
      <c r="A2736" t="s">
        <v>2766</v>
      </c>
      <c r="B2736" s="1">
        <v>45497</v>
      </c>
      <c r="C2736" t="s">
        <v>43</v>
      </c>
      <c r="D2736" t="s">
        <v>25</v>
      </c>
      <c r="E2736">
        <v>25</v>
      </c>
      <c r="F2736" t="s">
        <v>28</v>
      </c>
      <c r="G2736">
        <v>445.72</v>
      </c>
      <c r="H2736">
        <v>33</v>
      </c>
      <c r="I2736" t="s">
        <v>22</v>
      </c>
      <c r="J2736">
        <v>3</v>
      </c>
      <c r="K2736" t="s">
        <v>29</v>
      </c>
      <c r="L2736" t="s">
        <v>23</v>
      </c>
      <c r="M2736" t="str">
        <f>VLOOKUP(D2740,Restaurant_Master!A:B,2,FALSE)</f>
        <v>https://content.jdmagicbox.com/comp/deoria/g6/9999p5568.5568.200119143033.m4g6/catalogue/biryani-house-deoria-ho-deoria-mktc2xph0o.jpg</v>
      </c>
    </row>
    <row r="2737" spans="1:13" x14ac:dyDescent="0.3">
      <c r="A2737" t="s">
        <v>2767</v>
      </c>
      <c r="B2737" s="1">
        <v>45654</v>
      </c>
      <c r="C2737" t="s">
        <v>13</v>
      </c>
      <c r="D2737" t="s">
        <v>32</v>
      </c>
      <c r="E2737">
        <v>57</v>
      </c>
      <c r="F2737" t="s">
        <v>28</v>
      </c>
      <c r="G2737">
        <v>439.87</v>
      </c>
      <c r="H2737">
        <v>21</v>
      </c>
      <c r="I2737" t="s">
        <v>22</v>
      </c>
      <c r="J2737">
        <v>3.7</v>
      </c>
      <c r="K2737" t="s">
        <v>41</v>
      </c>
      <c r="L2737" t="s">
        <v>18</v>
      </c>
      <c r="M2737" t="str">
        <f>VLOOKUP(D2741,Restaurant_Master!A:B,2,FALSE)</f>
        <v>https://media-cdn.tripadvisor.com/media/photo-s/1c/c7/97/b6/photo6jpg.jpg</v>
      </c>
    </row>
    <row r="2738" spans="1:13" x14ac:dyDescent="0.3">
      <c r="A2738" t="s">
        <v>2768</v>
      </c>
      <c r="B2738" s="1">
        <v>45507</v>
      </c>
      <c r="C2738" t="s">
        <v>43</v>
      </c>
      <c r="D2738" t="s">
        <v>32</v>
      </c>
      <c r="E2738">
        <v>27</v>
      </c>
      <c r="F2738" t="s">
        <v>28</v>
      </c>
      <c r="G2738">
        <v>890.78</v>
      </c>
      <c r="H2738">
        <v>42</v>
      </c>
      <c r="I2738" t="s">
        <v>16</v>
      </c>
      <c r="J2738">
        <v>4.8</v>
      </c>
      <c r="K2738" t="s">
        <v>41</v>
      </c>
      <c r="L2738" t="s">
        <v>23</v>
      </c>
      <c r="M2738" t="str">
        <f>VLOOKUP(D2742,Restaurant_Master!A:B,2,FALSE)</f>
        <v>https://content.jdmagicbox.com/comp/deoria/g6/9999p5568.5568.200119143033.m4g6/catalogue/biryani-house-deoria-ho-deoria-mktc2xph0o.jpg</v>
      </c>
    </row>
    <row r="2739" spans="1:13" x14ac:dyDescent="0.3">
      <c r="A2739" t="s">
        <v>2769</v>
      </c>
      <c r="B2739" s="1">
        <v>45445</v>
      </c>
      <c r="C2739" t="s">
        <v>36</v>
      </c>
      <c r="D2739" t="s">
        <v>25</v>
      </c>
      <c r="E2739">
        <v>29</v>
      </c>
      <c r="F2739" t="s">
        <v>15</v>
      </c>
      <c r="G2739">
        <v>490.81</v>
      </c>
      <c r="H2739">
        <v>46</v>
      </c>
      <c r="I2739" t="s">
        <v>16</v>
      </c>
      <c r="J2739">
        <v>2.7</v>
      </c>
      <c r="K2739" t="s">
        <v>17</v>
      </c>
      <c r="L2739" t="s">
        <v>23</v>
      </c>
      <c r="M2739" t="str">
        <f>VLOOKUP(D2743,Restaurant_Master!A:B,2,FALSE)</f>
        <v>https://dineout-media-assets.swiggy.com/swiggy/image/upload/fl_lossy,f_auto,q_auto/v1660793737/fdqxvxcxg1wtdwvyv45v.jpg</v>
      </c>
    </row>
    <row r="2740" spans="1:13" x14ac:dyDescent="0.3">
      <c r="A2740" t="s">
        <v>2770</v>
      </c>
      <c r="B2740" s="1">
        <v>45478</v>
      </c>
      <c r="C2740" t="s">
        <v>34</v>
      </c>
      <c r="D2740" t="s">
        <v>32</v>
      </c>
      <c r="E2740">
        <v>47</v>
      </c>
      <c r="F2740" t="s">
        <v>15</v>
      </c>
      <c r="G2740">
        <v>323.01</v>
      </c>
      <c r="H2740">
        <v>58</v>
      </c>
      <c r="I2740" t="s">
        <v>16</v>
      </c>
      <c r="J2740">
        <v>3.9</v>
      </c>
      <c r="K2740" t="s">
        <v>26</v>
      </c>
      <c r="L2740" t="s">
        <v>23</v>
      </c>
      <c r="M2740" t="str">
        <f>VLOOKUP(D2744,Restaurant_Master!A:B,2,FALSE)</f>
        <v>https://dynamic-media-cdn.tripadvisor.com/media/photo-o/1c/e7/04/0d/front-of-the-local-easily.jpg</v>
      </c>
    </row>
    <row r="2741" spans="1:13" x14ac:dyDescent="0.3">
      <c r="A2741" t="s">
        <v>2771</v>
      </c>
      <c r="B2741" s="1">
        <v>45600</v>
      </c>
      <c r="C2741" t="s">
        <v>13</v>
      </c>
      <c r="D2741" t="s">
        <v>25</v>
      </c>
      <c r="E2741">
        <v>49</v>
      </c>
      <c r="F2741" t="s">
        <v>28</v>
      </c>
      <c r="G2741">
        <v>1100.95</v>
      </c>
      <c r="H2741">
        <v>24</v>
      </c>
      <c r="I2741" t="s">
        <v>22</v>
      </c>
      <c r="J2741">
        <v>3.6</v>
      </c>
      <c r="K2741" t="s">
        <v>17</v>
      </c>
      <c r="L2741" t="s">
        <v>23</v>
      </c>
      <c r="M2741" t="str">
        <f>VLOOKUP(D2745,Restaurant_Master!A:B,2,FALSE)</f>
        <v>https://dineout-media-assets.swiggy.com/swiggy/image/upload/fl_lossy,f_auto,q_auto/v1660793737/fdqxvxcxg1wtdwvyv45v.jpg</v>
      </c>
    </row>
    <row r="2742" spans="1:13" x14ac:dyDescent="0.3">
      <c r="A2742" t="s">
        <v>2772</v>
      </c>
      <c r="B2742" s="1">
        <v>45395</v>
      </c>
      <c r="C2742" t="s">
        <v>43</v>
      </c>
      <c r="D2742" t="s">
        <v>32</v>
      </c>
      <c r="E2742">
        <v>33</v>
      </c>
      <c r="F2742" t="s">
        <v>15</v>
      </c>
      <c r="G2742">
        <v>393.57</v>
      </c>
      <c r="H2742">
        <v>53</v>
      </c>
      <c r="I2742" t="s">
        <v>16</v>
      </c>
      <c r="J2742">
        <v>3.3</v>
      </c>
      <c r="K2742" t="s">
        <v>17</v>
      </c>
      <c r="L2742" t="s">
        <v>23</v>
      </c>
      <c r="M2742" t="str">
        <f>VLOOKUP(D2746,Restaurant_Master!A:B,2,FALSE)</f>
        <v>https://dineout-media-assets.swiggy.com/swiggy/image/upload/fl_lossy,f_auto,q_auto/v1660793737/fdqxvxcxg1wtdwvyv45v.jpg</v>
      </c>
    </row>
    <row r="2743" spans="1:13" x14ac:dyDescent="0.3">
      <c r="A2743" t="s">
        <v>2773</v>
      </c>
      <c r="B2743" s="1">
        <v>45605</v>
      </c>
      <c r="C2743" t="s">
        <v>43</v>
      </c>
      <c r="D2743" t="s">
        <v>14</v>
      </c>
      <c r="E2743">
        <v>48</v>
      </c>
      <c r="F2743" t="s">
        <v>15</v>
      </c>
      <c r="G2743">
        <v>1093.68</v>
      </c>
      <c r="H2743">
        <v>46</v>
      </c>
      <c r="I2743" t="s">
        <v>16</v>
      </c>
      <c r="J2743">
        <v>3.9</v>
      </c>
      <c r="K2743" t="s">
        <v>29</v>
      </c>
      <c r="L2743" t="s">
        <v>23</v>
      </c>
      <c r="M2743" t="str">
        <f>VLOOKUP(D2747,Restaurant_Master!A:B,2,FALSE)</f>
        <v>https://dineout-media-assets.swiggy.com/swiggy/image/upload/fl_lossy,f_auto,q_auto/v1660793737/fdqxvxcxg1wtdwvyv45v.jpg</v>
      </c>
    </row>
    <row r="2744" spans="1:13" x14ac:dyDescent="0.3">
      <c r="A2744" t="s">
        <v>2774</v>
      </c>
      <c r="B2744" s="1">
        <v>45438</v>
      </c>
      <c r="C2744" t="s">
        <v>13</v>
      </c>
      <c r="D2744" t="s">
        <v>21</v>
      </c>
      <c r="E2744">
        <v>29</v>
      </c>
      <c r="F2744" t="s">
        <v>28</v>
      </c>
      <c r="G2744">
        <v>1127.93</v>
      </c>
      <c r="H2744">
        <v>34</v>
      </c>
      <c r="I2744" t="s">
        <v>22</v>
      </c>
      <c r="J2744">
        <v>3.8</v>
      </c>
      <c r="K2744" t="s">
        <v>26</v>
      </c>
      <c r="L2744" t="s">
        <v>23</v>
      </c>
      <c r="M2744" t="str">
        <f>VLOOKUP(D2748,Restaurant_Master!A:B,2,FALSE)</f>
        <v>https://dineout-media-assets.swiggy.com/swiggy/image/upload/fl_lossy,f_auto,q_auto/v1660793737/fdqxvxcxg1wtdwvyv45v.jpg</v>
      </c>
    </row>
    <row r="2745" spans="1:13" x14ac:dyDescent="0.3">
      <c r="A2745" t="s">
        <v>2775</v>
      </c>
      <c r="B2745" s="1">
        <v>45556</v>
      </c>
      <c r="C2745" t="s">
        <v>20</v>
      </c>
      <c r="D2745" t="s">
        <v>14</v>
      </c>
      <c r="E2745">
        <v>60</v>
      </c>
      <c r="F2745" t="s">
        <v>28</v>
      </c>
      <c r="G2745">
        <v>1108.3399999999999</v>
      </c>
      <c r="H2745">
        <v>27</v>
      </c>
      <c r="I2745" t="s">
        <v>22</v>
      </c>
      <c r="J2745">
        <v>4.0999999999999996</v>
      </c>
      <c r="K2745" t="s">
        <v>41</v>
      </c>
      <c r="L2745" t="s">
        <v>18</v>
      </c>
      <c r="M2745" t="str">
        <f>VLOOKUP(D2749,Restaurant_Master!A:B,2,FALSE)</f>
        <v>https://media-cdn.tripadvisor.com/media/photo-s/1c/c7/97/b6/photo6jpg.jpg</v>
      </c>
    </row>
    <row r="2746" spans="1:13" x14ac:dyDescent="0.3">
      <c r="A2746" t="s">
        <v>2776</v>
      </c>
      <c r="B2746" s="1">
        <v>45629</v>
      </c>
      <c r="C2746" t="s">
        <v>43</v>
      </c>
      <c r="D2746" t="s">
        <v>14</v>
      </c>
      <c r="E2746">
        <v>53</v>
      </c>
      <c r="F2746" t="s">
        <v>15</v>
      </c>
      <c r="G2746">
        <v>1080.82</v>
      </c>
      <c r="H2746">
        <v>37</v>
      </c>
      <c r="I2746" t="s">
        <v>22</v>
      </c>
      <c r="J2746">
        <v>3.6</v>
      </c>
      <c r="K2746" t="s">
        <v>26</v>
      </c>
      <c r="L2746" t="s">
        <v>18</v>
      </c>
      <c r="M2746" t="str">
        <f>VLOOKUP(D2750,Restaurant_Master!A:B,2,FALSE)</f>
        <v>https://dynamic-media-cdn.tripadvisor.com/media/photo-o/1c/e7/04/0d/front-of-the-local-easily.jpg</v>
      </c>
    </row>
    <row r="2747" spans="1:13" x14ac:dyDescent="0.3">
      <c r="A2747" t="s">
        <v>2777</v>
      </c>
      <c r="B2747" s="1">
        <v>45604</v>
      </c>
      <c r="C2747" t="s">
        <v>13</v>
      </c>
      <c r="D2747" t="s">
        <v>14</v>
      </c>
      <c r="E2747">
        <v>45</v>
      </c>
      <c r="F2747" t="s">
        <v>15</v>
      </c>
      <c r="G2747">
        <v>162.96</v>
      </c>
      <c r="H2747">
        <v>51</v>
      </c>
      <c r="I2747" t="s">
        <v>16</v>
      </c>
      <c r="J2747">
        <v>3.4</v>
      </c>
      <c r="K2747" t="s">
        <v>26</v>
      </c>
      <c r="L2747" t="s">
        <v>23</v>
      </c>
      <c r="M2747" t="str">
        <f>VLOOKUP(D2751,Restaurant_Master!A:B,2,FALSE)</f>
        <v>https://dineout-media-assets.swiggy.com/swiggy/image/upload/fl_lossy,f_auto,q_auto/v1660793737/fdqxvxcxg1wtdwvyv45v.jpg</v>
      </c>
    </row>
    <row r="2748" spans="1:13" x14ac:dyDescent="0.3">
      <c r="A2748" t="s">
        <v>2778</v>
      </c>
      <c r="B2748" s="1">
        <v>45478</v>
      </c>
      <c r="C2748" t="s">
        <v>43</v>
      </c>
      <c r="D2748" t="s">
        <v>14</v>
      </c>
      <c r="E2748">
        <v>25</v>
      </c>
      <c r="F2748" t="s">
        <v>15</v>
      </c>
      <c r="G2748">
        <v>786.14</v>
      </c>
      <c r="H2748">
        <v>30</v>
      </c>
      <c r="I2748" t="s">
        <v>22</v>
      </c>
      <c r="J2748">
        <v>3.7</v>
      </c>
      <c r="K2748" t="s">
        <v>17</v>
      </c>
      <c r="L2748" t="s">
        <v>23</v>
      </c>
      <c r="M2748" t="str">
        <f>VLOOKUP(D2752,Restaurant_Master!A:B,2,FALSE)</f>
        <v>https://media-cdn.tripadvisor.com/media/photo-s/1c/c7/97/b6/photo6jpg.jpg</v>
      </c>
    </row>
    <row r="2749" spans="1:13" x14ac:dyDescent="0.3">
      <c r="A2749" t="s">
        <v>2779</v>
      </c>
      <c r="B2749" s="1">
        <v>45638</v>
      </c>
      <c r="C2749" t="s">
        <v>43</v>
      </c>
      <c r="D2749" t="s">
        <v>25</v>
      </c>
      <c r="E2749">
        <v>27</v>
      </c>
      <c r="F2749" t="s">
        <v>28</v>
      </c>
      <c r="G2749">
        <v>548.69000000000005</v>
      </c>
      <c r="H2749">
        <v>54</v>
      </c>
      <c r="I2749" t="s">
        <v>16</v>
      </c>
      <c r="J2749">
        <v>4</v>
      </c>
      <c r="K2749" t="s">
        <v>17</v>
      </c>
      <c r="L2749" t="s">
        <v>18</v>
      </c>
      <c r="M2749" t="str">
        <f>VLOOKUP(D2753,Restaurant_Master!A:B,2,FALSE)</f>
        <v>https://media-cdn.tripadvisor.com/media/photo-s/1c/c7/97/b6/photo6jpg.jpg</v>
      </c>
    </row>
    <row r="2750" spans="1:13" x14ac:dyDescent="0.3">
      <c r="A2750" t="s">
        <v>2780</v>
      </c>
      <c r="B2750" s="1">
        <v>45618</v>
      </c>
      <c r="C2750" t="s">
        <v>13</v>
      </c>
      <c r="D2750" t="s">
        <v>21</v>
      </c>
      <c r="E2750">
        <v>57</v>
      </c>
      <c r="F2750" t="s">
        <v>15</v>
      </c>
      <c r="G2750">
        <v>804.01</v>
      </c>
      <c r="H2750">
        <v>53</v>
      </c>
      <c r="I2750" t="s">
        <v>16</v>
      </c>
      <c r="J2750">
        <v>3.2</v>
      </c>
      <c r="K2750" t="s">
        <v>29</v>
      </c>
      <c r="L2750" t="s">
        <v>18</v>
      </c>
      <c r="M2750" t="str">
        <f>VLOOKUP(D2754,Restaurant_Master!A:B,2,FALSE)</f>
        <v>https://media-cdn.tripadvisor.com/media/photo-s/1c/c7/97/b6/photo6jpg.jpg</v>
      </c>
    </row>
    <row r="2751" spans="1:13" x14ac:dyDescent="0.3">
      <c r="A2751" t="s">
        <v>2781</v>
      </c>
      <c r="B2751" s="1">
        <v>45505</v>
      </c>
      <c r="C2751" t="s">
        <v>20</v>
      </c>
      <c r="D2751" t="s">
        <v>14</v>
      </c>
      <c r="E2751">
        <v>51</v>
      </c>
      <c r="F2751" t="s">
        <v>28</v>
      </c>
      <c r="G2751">
        <v>155.6</v>
      </c>
      <c r="H2751">
        <v>45</v>
      </c>
      <c r="I2751" t="s">
        <v>16</v>
      </c>
      <c r="J2751">
        <v>4.9000000000000004</v>
      </c>
      <c r="K2751" t="s">
        <v>41</v>
      </c>
      <c r="L2751" t="s">
        <v>18</v>
      </c>
      <c r="M2751" t="str">
        <f>VLOOKUP(D2755,Restaurant_Master!A:B,2,FALSE)</f>
        <v>https://content.jdmagicbox.com/comp/deoria/g6/9999p5568.5568.200119143033.m4g6/catalogue/biryani-house-deoria-ho-deoria-mktc2xph0o.jpg</v>
      </c>
    </row>
    <row r="2752" spans="1:13" x14ac:dyDescent="0.3">
      <c r="A2752" t="s">
        <v>2782</v>
      </c>
      <c r="B2752" s="1">
        <v>45469</v>
      </c>
      <c r="C2752" t="s">
        <v>36</v>
      </c>
      <c r="D2752" t="s">
        <v>25</v>
      </c>
      <c r="E2752">
        <v>50</v>
      </c>
      <c r="F2752" t="s">
        <v>15</v>
      </c>
      <c r="G2752">
        <v>938.88</v>
      </c>
      <c r="H2752">
        <v>58</v>
      </c>
      <c r="I2752" t="s">
        <v>16</v>
      </c>
      <c r="J2752">
        <v>3.3</v>
      </c>
      <c r="K2752" t="s">
        <v>26</v>
      </c>
      <c r="L2752" t="s">
        <v>18</v>
      </c>
      <c r="M2752" t="str">
        <f>VLOOKUP(D2756,Restaurant_Master!A:B,2,FALSE)</f>
        <v>https://www.chatswoodinterchange.com/storages/2018/08/Sushi-World_666x448.jpg</v>
      </c>
    </row>
    <row r="2753" spans="1:13" x14ac:dyDescent="0.3">
      <c r="A2753" t="s">
        <v>2783</v>
      </c>
      <c r="B2753" s="1">
        <v>45418</v>
      </c>
      <c r="C2753" t="s">
        <v>36</v>
      </c>
      <c r="D2753" t="s">
        <v>25</v>
      </c>
      <c r="E2753">
        <v>32</v>
      </c>
      <c r="F2753" t="s">
        <v>15</v>
      </c>
      <c r="G2753">
        <v>494.91</v>
      </c>
      <c r="H2753">
        <v>50</v>
      </c>
      <c r="I2753" t="s">
        <v>16</v>
      </c>
      <c r="J2753">
        <v>3.8</v>
      </c>
      <c r="K2753" t="s">
        <v>41</v>
      </c>
      <c r="L2753" t="s">
        <v>18</v>
      </c>
      <c r="M2753" t="str">
        <f>VLOOKUP(D2757,Restaurant_Master!A:B,2,FALSE)</f>
        <v>https://content.jdmagicbox.com/comp/deoria/g6/9999p5568.5568.200119143033.m4g6/catalogue/biryani-house-deoria-ho-deoria-mktc2xph0o.jpg</v>
      </c>
    </row>
    <row r="2754" spans="1:13" x14ac:dyDescent="0.3">
      <c r="A2754" t="s">
        <v>2784</v>
      </c>
      <c r="B2754" s="1">
        <v>45539</v>
      </c>
      <c r="C2754" t="s">
        <v>13</v>
      </c>
      <c r="D2754" t="s">
        <v>25</v>
      </c>
      <c r="E2754">
        <v>37</v>
      </c>
      <c r="F2754" t="s">
        <v>15</v>
      </c>
      <c r="G2754">
        <v>406.21</v>
      </c>
      <c r="H2754">
        <v>41</v>
      </c>
      <c r="I2754" t="s">
        <v>16</v>
      </c>
      <c r="J2754">
        <v>2.9</v>
      </c>
      <c r="K2754" t="s">
        <v>29</v>
      </c>
      <c r="L2754" t="s">
        <v>23</v>
      </c>
      <c r="M2754" t="str">
        <f>VLOOKUP(D2758,Restaurant_Master!A:B,2,FALSE)</f>
        <v>https://media-cdn.tripadvisor.com/media/photo-s/1c/c7/97/b6/photo6jpg.jpg</v>
      </c>
    </row>
    <row r="2755" spans="1:13" x14ac:dyDescent="0.3">
      <c r="A2755" t="s">
        <v>2785</v>
      </c>
      <c r="B2755" s="1">
        <v>45303</v>
      </c>
      <c r="C2755" t="s">
        <v>34</v>
      </c>
      <c r="D2755" t="s">
        <v>32</v>
      </c>
      <c r="E2755">
        <v>32</v>
      </c>
      <c r="F2755" t="s">
        <v>15</v>
      </c>
      <c r="G2755">
        <v>971.24</v>
      </c>
      <c r="H2755">
        <v>56</v>
      </c>
      <c r="I2755" t="s">
        <v>16</v>
      </c>
      <c r="J2755">
        <v>2.6</v>
      </c>
      <c r="K2755" t="s">
        <v>29</v>
      </c>
      <c r="L2755" t="s">
        <v>23</v>
      </c>
      <c r="M2755" t="str">
        <f>VLOOKUP(D2759,Restaurant_Master!A:B,2,FALSE)</f>
        <v>https://dynamic-media-cdn.tripadvisor.com/media/photo-o/1c/e7/04/0d/front-of-the-local-easily.jpg</v>
      </c>
    </row>
    <row r="2756" spans="1:13" x14ac:dyDescent="0.3">
      <c r="A2756" t="s">
        <v>2786</v>
      </c>
      <c r="B2756" s="1">
        <v>45425</v>
      </c>
      <c r="C2756" t="s">
        <v>43</v>
      </c>
      <c r="D2756" t="s">
        <v>38</v>
      </c>
      <c r="E2756">
        <v>24</v>
      </c>
      <c r="F2756" t="s">
        <v>28</v>
      </c>
      <c r="G2756">
        <v>632.4</v>
      </c>
      <c r="H2756">
        <v>21</v>
      </c>
      <c r="I2756" t="s">
        <v>22</v>
      </c>
      <c r="J2756">
        <v>3.8</v>
      </c>
      <c r="K2756" t="s">
        <v>26</v>
      </c>
      <c r="L2756" t="s">
        <v>23</v>
      </c>
      <c r="M2756" t="str">
        <f>VLOOKUP(D2760,Restaurant_Master!A:B,2,FALSE)</f>
        <v>https://dineout-media-assets.swiggy.com/swiggy/image/upload/fl_lossy,f_auto,q_auto/v1660793737/fdqxvxcxg1wtdwvyv45v.jpg</v>
      </c>
    </row>
    <row r="2757" spans="1:13" x14ac:dyDescent="0.3">
      <c r="A2757" t="s">
        <v>2787</v>
      </c>
      <c r="B2757" s="1">
        <v>45465</v>
      </c>
      <c r="C2757" t="s">
        <v>20</v>
      </c>
      <c r="D2757" t="s">
        <v>32</v>
      </c>
      <c r="E2757">
        <v>59</v>
      </c>
      <c r="F2757" t="s">
        <v>28</v>
      </c>
      <c r="G2757">
        <v>526.26</v>
      </c>
      <c r="H2757">
        <v>60</v>
      </c>
      <c r="I2757" t="s">
        <v>16</v>
      </c>
      <c r="J2757">
        <v>2.6</v>
      </c>
      <c r="K2757" t="s">
        <v>41</v>
      </c>
      <c r="L2757" t="s">
        <v>18</v>
      </c>
      <c r="M2757" t="str">
        <f>VLOOKUP(D2761,Restaurant_Master!A:B,2,FALSE)</f>
        <v>https://dynamic-media-cdn.tripadvisor.com/media/photo-o/1c/e7/04/0d/front-of-the-local-easily.jpg</v>
      </c>
    </row>
    <row r="2758" spans="1:13" x14ac:dyDescent="0.3">
      <c r="A2758" t="s">
        <v>2788</v>
      </c>
      <c r="B2758" s="1">
        <v>45474</v>
      </c>
      <c r="C2758" t="s">
        <v>34</v>
      </c>
      <c r="D2758" t="s">
        <v>25</v>
      </c>
      <c r="E2758">
        <v>31</v>
      </c>
      <c r="F2758" t="s">
        <v>28</v>
      </c>
      <c r="G2758">
        <v>152.15</v>
      </c>
      <c r="H2758">
        <v>47</v>
      </c>
      <c r="I2758" t="s">
        <v>16</v>
      </c>
      <c r="J2758">
        <v>2.8</v>
      </c>
      <c r="K2758" t="s">
        <v>17</v>
      </c>
      <c r="L2758" t="s">
        <v>18</v>
      </c>
      <c r="M2758" t="str">
        <f>VLOOKUP(D2762,Restaurant_Master!A:B,2,FALSE)</f>
        <v>https://dineout-media-assets.swiggy.com/swiggy/image/upload/fl_lossy,f_auto,q_auto/v1660793737/fdqxvxcxg1wtdwvyv45v.jpg</v>
      </c>
    </row>
    <row r="2759" spans="1:13" x14ac:dyDescent="0.3">
      <c r="A2759" t="s">
        <v>2789</v>
      </c>
      <c r="B2759" s="1">
        <v>45338</v>
      </c>
      <c r="C2759" t="s">
        <v>43</v>
      </c>
      <c r="D2759" t="s">
        <v>21</v>
      </c>
      <c r="E2759">
        <v>21</v>
      </c>
      <c r="F2759" t="s">
        <v>15</v>
      </c>
      <c r="G2759">
        <v>320.05</v>
      </c>
      <c r="H2759">
        <v>37</v>
      </c>
      <c r="I2759" t="s">
        <v>22</v>
      </c>
      <c r="J2759">
        <v>3.3</v>
      </c>
      <c r="K2759" t="s">
        <v>17</v>
      </c>
      <c r="L2759" t="s">
        <v>18</v>
      </c>
      <c r="M2759" t="str">
        <f>VLOOKUP(D2763,Restaurant_Master!A:B,2,FALSE)</f>
        <v>https://media-cdn.tripadvisor.com/media/photo-s/1c/c7/97/b6/photo6jpg.jpg</v>
      </c>
    </row>
    <row r="2760" spans="1:13" x14ac:dyDescent="0.3">
      <c r="A2760" t="s">
        <v>2790</v>
      </c>
      <c r="B2760" s="1">
        <v>45516</v>
      </c>
      <c r="C2760" t="s">
        <v>13</v>
      </c>
      <c r="D2760" t="s">
        <v>14</v>
      </c>
      <c r="E2760">
        <v>19</v>
      </c>
      <c r="F2760" t="s">
        <v>15</v>
      </c>
      <c r="G2760">
        <v>332.43</v>
      </c>
      <c r="H2760">
        <v>43</v>
      </c>
      <c r="I2760" t="s">
        <v>16</v>
      </c>
      <c r="J2760">
        <v>3.6</v>
      </c>
      <c r="K2760" t="s">
        <v>29</v>
      </c>
      <c r="L2760" t="s">
        <v>18</v>
      </c>
      <c r="M2760" t="str">
        <f>VLOOKUP(D2764,Restaurant_Master!A:B,2,FALSE)</f>
        <v>https://www.chatswoodinterchange.com/storages/2018/08/Sushi-World_666x448.jpg</v>
      </c>
    </row>
    <row r="2761" spans="1:13" x14ac:dyDescent="0.3">
      <c r="A2761" t="s">
        <v>2791</v>
      </c>
      <c r="B2761" s="1">
        <v>45590</v>
      </c>
      <c r="C2761" t="s">
        <v>43</v>
      </c>
      <c r="D2761" t="s">
        <v>21</v>
      </c>
      <c r="E2761">
        <v>42</v>
      </c>
      <c r="F2761" t="s">
        <v>28</v>
      </c>
      <c r="G2761">
        <v>869.72</v>
      </c>
      <c r="H2761">
        <v>33</v>
      </c>
      <c r="I2761" t="s">
        <v>22</v>
      </c>
      <c r="J2761">
        <v>2.7</v>
      </c>
      <c r="K2761" t="s">
        <v>41</v>
      </c>
      <c r="L2761" t="s">
        <v>18</v>
      </c>
      <c r="M2761" t="str">
        <f>VLOOKUP(D2765,Restaurant_Master!A:B,2,FALSE)</f>
        <v>https://content.jdmagicbox.com/comp/deoria/g6/9999p5568.5568.200119143033.m4g6/catalogue/biryani-house-deoria-ho-deoria-mktc2xph0o.jpg</v>
      </c>
    </row>
    <row r="2762" spans="1:13" x14ac:dyDescent="0.3">
      <c r="A2762" t="s">
        <v>2792</v>
      </c>
      <c r="B2762" s="1">
        <v>45330</v>
      </c>
      <c r="C2762" t="s">
        <v>43</v>
      </c>
      <c r="D2762" t="s">
        <v>14</v>
      </c>
      <c r="E2762">
        <v>53</v>
      </c>
      <c r="F2762" t="s">
        <v>28</v>
      </c>
      <c r="G2762">
        <v>545.53</v>
      </c>
      <c r="H2762">
        <v>29</v>
      </c>
      <c r="I2762" t="s">
        <v>22</v>
      </c>
      <c r="J2762">
        <v>4.9000000000000004</v>
      </c>
      <c r="K2762" t="s">
        <v>26</v>
      </c>
      <c r="L2762" t="s">
        <v>18</v>
      </c>
      <c r="M2762" t="str">
        <f>VLOOKUP(D2766,Restaurant_Master!A:B,2,FALSE)</f>
        <v>https://content.jdmagicbox.com/comp/deoria/g6/9999p5568.5568.200119143033.m4g6/catalogue/biryani-house-deoria-ho-deoria-mktc2xph0o.jpg</v>
      </c>
    </row>
    <row r="2763" spans="1:13" x14ac:dyDescent="0.3">
      <c r="A2763" t="s">
        <v>2793</v>
      </c>
      <c r="B2763" s="1">
        <v>45564</v>
      </c>
      <c r="C2763" t="s">
        <v>13</v>
      </c>
      <c r="D2763" t="s">
        <v>25</v>
      </c>
      <c r="E2763">
        <v>55</v>
      </c>
      <c r="F2763" t="s">
        <v>15</v>
      </c>
      <c r="G2763">
        <v>1101.1600000000001</v>
      </c>
      <c r="H2763">
        <v>30</v>
      </c>
      <c r="I2763" t="s">
        <v>22</v>
      </c>
      <c r="J2763">
        <v>3.2</v>
      </c>
      <c r="K2763" t="s">
        <v>26</v>
      </c>
      <c r="L2763" t="s">
        <v>18</v>
      </c>
      <c r="M2763" t="str">
        <f>VLOOKUP(D2767,Restaurant_Master!A:B,2,FALSE)</f>
        <v>https://dynamic-media-cdn.tripadvisor.com/media/photo-o/1c/e7/04/0d/front-of-the-local-easily.jpg</v>
      </c>
    </row>
    <row r="2764" spans="1:13" x14ac:dyDescent="0.3">
      <c r="A2764" t="s">
        <v>2794</v>
      </c>
      <c r="B2764" s="1">
        <v>45598</v>
      </c>
      <c r="C2764" t="s">
        <v>13</v>
      </c>
      <c r="D2764" t="s">
        <v>38</v>
      </c>
      <c r="E2764">
        <v>47</v>
      </c>
      <c r="F2764" t="s">
        <v>28</v>
      </c>
      <c r="G2764">
        <v>186.71</v>
      </c>
      <c r="H2764">
        <v>44</v>
      </c>
      <c r="I2764" t="s">
        <v>16</v>
      </c>
      <c r="J2764">
        <v>2.7</v>
      </c>
      <c r="K2764" t="s">
        <v>17</v>
      </c>
      <c r="L2764" t="s">
        <v>18</v>
      </c>
      <c r="M2764" t="str">
        <f>VLOOKUP(D2768,Restaurant_Master!A:B,2,FALSE)</f>
        <v>https://dineout-media-assets.swiggy.com/swiggy/image/upload/fl_lossy,f_auto,q_auto/v1660793737/fdqxvxcxg1wtdwvyv45v.jpg</v>
      </c>
    </row>
    <row r="2765" spans="1:13" x14ac:dyDescent="0.3">
      <c r="A2765" t="s">
        <v>2795</v>
      </c>
      <c r="B2765" s="1">
        <v>45432</v>
      </c>
      <c r="C2765" t="s">
        <v>43</v>
      </c>
      <c r="D2765" t="s">
        <v>32</v>
      </c>
      <c r="E2765">
        <v>49</v>
      </c>
      <c r="F2765" t="s">
        <v>15</v>
      </c>
      <c r="G2765">
        <v>474.04</v>
      </c>
      <c r="H2765">
        <v>58</v>
      </c>
      <c r="I2765" t="s">
        <v>16</v>
      </c>
      <c r="J2765">
        <v>5</v>
      </c>
      <c r="K2765" t="s">
        <v>17</v>
      </c>
      <c r="L2765" t="s">
        <v>23</v>
      </c>
      <c r="M2765" t="str">
        <f>VLOOKUP(D2769,Restaurant_Master!A:B,2,FALSE)</f>
        <v>https://dineout-media-assets.swiggy.com/swiggy/image/upload/fl_lossy,f_auto,q_auto/v1660793737/fdqxvxcxg1wtdwvyv45v.jpg</v>
      </c>
    </row>
    <row r="2766" spans="1:13" x14ac:dyDescent="0.3">
      <c r="A2766" t="s">
        <v>2796</v>
      </c>
      <c r="B2766" s="1">
        <v>45592</v>
      </c>
      <c r="C2766" t="s">
        <v>20</v>
      </c>
      <c r="D2766" t="s">
        <v>32</v>
      </c>
      <c r="E2766">
        <v>33</v>
      </c>
      <c r="F2766" t="s">
        <v>15</v>
      </c>
      <c r="G2766">
        <v>1016.91</v>
      </c>
      <c r="H2766">
        <v>45</v>
      </c>
      <c r="I2766" t="s">
        <v>16</v>
      </c>
      <c r="J2766">
        <v>3.3</v>
      </c>
      <c r="K2766" t="s">
        <v>41</v>
      </c>
      <c r="L2766" t="s">
        <v>18</v>
      </c>
      <c r="M2766" t="str">
        <f>VLOOKUP(D2770,Restaurant_Master!A:B,2,FALSE)</f>
        <v>https://content.jdmagicbox.com/comp/deoria/g6/9999p5568.5568.200119143033.m4g6/catalogue/biryani-house-deoria-ho-deoria-mktc2xph0o.jpg</v>
      </c>
    </row>
    <row r="2767" spans="1:13" x14ac:dyDescent="0.3">
      <c r="A2767" t="s">
        <v>2797</v>
      </c>
      <c r="B2767" s="1">
        <v>45381</v>
      </c>
      <c r="C2767" t="s">
        <v>36</v>
      </c>
      <c r="D2767" t="s">
        <v>21</v>
      </c>
      <c r="E2767">
        <v>27</v>
      </c>
      <c r="F2767" t="s">
        <v>15</v>
      </c>
      <c r="G2767">
        <v>656.91</v>
      </c>
      <c r="H2767">
        <v>24</v>
      </c>
      <c r="I2767" t="s">
        <v>22</v>
      </c>
      <c r="J2767">
        <v>2.9</v>
      </c>
      <c r="K2767" t="s">
        <v>41</v>
      </c>
      <c r="L2767" t="s">
        <v>18</v>
      </c>
      <c r="M2767" t="str">
        <f>VLOOKUP(D2771,Restaurant_Master!A:B,2,FALSE)</f>
        <v>https://dineout-media-assets.swiggy.com/swiggy/image/upload/fl_lossy,f_auto,q_auto/v1660793737/fdqxvxcxg1wtdwvyv45v.jpg</v>
      </c>
    </row>
    <row r="2768" spans="1:13" x14ac:dyDescent="0.3">
      <c r="A2768" t="s">
        <v>2798</v>
      </c>
      <c r="B2768" s="1">
        <v>45583</v>
      </c>
      <c r="C2768" t="s">
        <v>34</v>
      </c>
      <c r="D2768" t="s">
        <v>14</v>
      </c>
      <c r="E2768">
        <v>54</v>
      </c>
      <c r="F2768" t="s">
        <v>15</v>
      </c>
      <c r="G2768">
        <v>481.51</v>
      </c>
      <c r="H2768">
        <v>44</v>
      </c>
      <c r="I2768" t="s">
        <v>16</v>
      </c>
      <c r="J2768">
        <v>4</v>
      </c>
      <c r="K2768" t="s">
        <v>17</v>
      </c>
      <c r="L2768" t="s">
        <v>23</v>
      </c>
      <c r="M2768" t="str">
        <f>VLOOKUP(D2772,Restaurant_Master!A:B,2,FALSE)</f>
        <v>https://www.chatswoodinterchange.com/storages/2018/08/Sushi-World_666x448.jpg</v>
      </c>
    </row>
    <row r="2769" spans="1:13" x14ac:dyDescent="0.3">
      <c r="A2769" t="s">
        <v>2799</v>
      </c>
      <c r="B2769" s="1">
        <v>45631</v>
      </c>
      <c r="C2769" t="s">
        <v>36</v>
      </c>
      <c r="D2769" t="s">
        <v>14</v>
      </c>
      <c r="E2769">
        <v>58</v>
      </c>
      <c r="F2769" t="s">
        <v>28</v>
      </c>
      <c r="G2769">
        <v>288.52999999999997</v>
      </c>
      <c r="H2769">
        <v>35</v>
      </c>
      <c r="I2769" t="s">
        <v>22</v>
      </c>
      <c r="J2769">
        <v>3.5</v>
      </c>
      <c r="K2769" t="s">
        <v>26</v>
      </c>
      <c r="L2769" t="s">
        <v>23</v>
      </c>
      <c r="M2769" t="str">
        <f>VLOOKUP(D2773,Restaurant_Master!A:B,2,FALSE)</f>
        <v>https://content.jdmagicbox.com/comp/deoria/g6/9999p5568.5568.200119143033.m4g6/catalogue/biryani-house-deoria-ho-deoria-mktc2xph0o.jpg</v>
      </c>
    </row>
    <row r="2770" spans="1:13" x14ac:dyDescent="0.3">
      <c r="A2770" t="s">
        <v>2800</v>
      </c>
      <c r="B2770" s="1">
        <v>45514</v>
      </c>
      <c r="C2770" t="s">
        <v>43</v>
      </c>
      <c r="D2770" t="s">
        <v>32</v>
      </c>
      <c r="E2770">
        <v>28</v>
      </c>
      <c r="F2770" t="s">
        <v>15</v>
      </c>
      <c r="G2770">
        <v>308.8</v>
      </c>
      <c r="H2770">
        <v>56</v>
      </c>
      <c r="I2770" t="s">
        <v>16</v>
      </c>
      <c r="J2770">
        <v>3.7</v>
      </c>
      <c r="K2770" t="s">
        <v>17</v>
      </c>
      <c r="L2770" t="s">
        <v>18</v>
      </c>
      <c r="M2770" t="str">
        <f>VLOOKUP(D2774,Restaurant_Master!A:B,2,FALSE)</f>
        <v>https://dineout-media-assets.swiggy.com/swiggy/image/upload/fl_lossy,f_auto,q_auto/v1660793737/fdqxvxcxg1wtdwvyv45v.jpg</v>
      </c>
    </row>
    <row r="2771" spans="1:13" x14ac:dyDescent="0.3">
      <c r="A2771" t="s">
        <v>2801</v>
      </c>
      <c r="B2771" s="1">
        <v>45557</v>
      </c>
      <c r="C2771" t="s">
        <v>20</v>
      </c>
      <c r="D2771" t="s">
        <v>14</v>
      </c>
      <c r="E2771">
        <v>29</v>
      </c>
      <c r="F2771" t="s">
        <v>28</v>
      </c>
      <c r="G2771">
        <v>936.37</v>
      </c>
      <c r="H2771">
        <v>48</v>
      </c>
      <c r="I2771" t="s">
        <v>16</v>
      </c>
      <c r="J2771">
        <v>2.8</v>
      </c>
      <c r="K2771" t="s">
        <v>26</v>
      </c>
      <c r="L2771" t="s">
        <v>23</v>
      </c>
      <c r="M2771" t="str">
        <f>VLOOKUP(D2775,Restaurant_Master!A:B,2,FALSE)</f>
        <v>https://dineout-media-assets.swiggy.com/swiggy/image/upload/fl_lossy,f_auto,q_auto/v1660793737/fdqxvxcxg1wtdwvyv45v.jpg</v>
      </c>
    </row>
    <row r="2772" spans="1:13" x14ac:dyDescent="0.3">
      <c r="A2772" t="s">
        <v>2802</v>
      </c>
      <c r="B2772" s="1">
        <v>45303</v>
      </c>
      <c r="C2772" t="s">
        <v>43</v>
      </c>
      <c r="D2772" t="s">
        <v>38</v>
      </c>
      <c r="E2772">
        <v>28</v>
      </c>
      <c r="F2772" t="s">
        <v>28</v>
      </c>
      <c r="G2772">
        <v>203.54</v>
      </c>
      <c r="H2772">
        <v>29</v>
      </c>
      <c r="I2772" t="s">
        <v>22</v>
      </c>
      <c r="J2772">
        <v>4.2</v>
      </c>
      <c r="K2772" t="s">
        <v>41</v>
      </c>
      <c r="L2772" t="s">
        <v>23</v>
      </c>
      <c r="M2772" t="str">
        <f>VLOOKUP(D2776,Restaurant_Master!A:B,2,FALSE)</f>
        <v>https://content.jdmagicbox.com/comp/deoria/g6/9999p5568.5568.200119143033.m4g6/catalogue/biryani-house-deoria-ho-deoria-mktc2xph0o.jpg</v>
      </c>
    </row>
    <row r="2773" spans="1:13" x14ac:dyDescent="0.3">
      <c r="A2773" t="s">
        <v>2803</v>
      </c>
      <c r="B2773" s="1">
        <v>45334</v>
      </c>
      <c r="C2773" t="s">
        <v>43</v>
      </c>
      <c r="D2773" t="s">
        <v>32</v>
      </c>
      <c r="E2773">
        <v>45</v>
      </c>
      <c r="F2773" t="s">
        <v>15</v>
      </c>
      <c r="G2773">
        <v>1104.43</v>
      </c>
      <c r="H2773">
        <v>52</v>
      </c>
      <c r="I2773" t="s">
        <v>16</v>
      </c>
      <c r="J2773">
        <v>4.5</v>
      </c>
      <c r="K2773" t="s">
        <v>41</v>
      </c>
      <c r="L2773" t="s">
        <v>18</v>
      </c>
      <c r="M2773" t="str">
        <f>VLOOKUP(D2777,Restaurant_Master!A:B,2,FALSE)</f>
        <v>https://www.chatswoodinterchange.com/storages/2018/08/Sushi-World_666x448.jpg</v>
      </c>
    </row>
    <row r="2774" spans="1:13" x14ac:dyDescent="0.3">
      <c r="A2774" t="s">
        <v>2804</v>
      </c>
      <c r="B2774" s="1">
        <v>45331</v>
      </c>
      <c r="C2774" t="s">
        <v>20</v>
      </c>
      <c r="D2774" t="s">
        <v>14</v>
      </c>
      <c r="E2774">
        <v>54</v>
      </c>
      <c r="F2774" t="s">
        <v>15</v>
      </c>
      <c r="G2774">
        <v>1044.06</v>
      </c>
      <c r="H2774">
        <v>43</v>
      </c>
      <c r="I2774" t="s">
        <v>16</v>
      </c>
      <c r="J2774">
        <v>3.4</v>
      </c>
      <c r="K2774" t="s">
        <v>26</v>
      </c>
      <c r="L2774" t="s">
        <v>23</v>
      </c>
      <c r="M2774" t="str">
        <f>VLOOKUP(D2778,Restaurant_Master!A:B,2,FALSE)</f>
        <v>https://dineout-media-assets.swiggy.com/swiggy/image/upload/fl_lossy,f_auto,q_auto/v1660793737/fdqxvxcxg1wtdwvyv45v.jpg</v>
      </c>
    </row>
    <row r="2775" spans="1:13" x14ac:dyDescent="0.3">
      <c r="A2775" t="s">
        <v>2805</v>
      </c>
      <c r="B2775" s="1">
        <v>45406</v>
      </c>
      <c r="C2775" t="s">
        <v>43</v>
      </c>
      <c r="D2775" t="s">
        <v>14</v>
      </c>
      <c r="E2775">
        <v>51</v>
      </c>
      <c r="F2775" t="s">
        <v>15</v>
      </c>
      <c r="G2775">
        <v>885.68</v>
      </c>
      <c r="H2775">
        <v>24</v>
      </c>
      <c r="I2775" t="s">
        <v>22</v>
      </c>
      <c r="J2775">
        <v>3.7</v>
      </c>
      <c r="K2775" t="s">
        <v>41</v>
      </c>
      <c r="L2775" t="s">
        <v>23</v>
      </c>
      <c r="M2775" t="str">
        <f>VLOOKUP(D2779,Restaurant_Master!A:B,2,FALSE)</f>
        <v>https://media-cdn.tripadvisor.com/media/photo-s/1c/c7/97/b6/photo6jpg.jpg</v>
      </c>
    </row>
    <row r="2776" spans="1:13" x14ac:dyDescent="0.3">
      <c r="A2776" t="s">
        <v>2806</v>
      </c>
      <c r="B2776" s="1">
        <v>45634</v>
      </c>
      <c r="C2776" t="s">
        <v>20</v>
      </c>
      <c r="D2776" t="s">
        <v>32</v>
      </c>
      <c r="E2776">
        <v>30</v>
      </c>
      <c r="F2776" t="s">
        <v>15</v>
      </c>
      <c r="G2776">
        <v>1100.3599999999999</v>
      </c>
      <c r="H2776">
        <v>20</v>
      </c>
      <c r="I2776" t="s">
        <v>22</v>
      </c>
      <c r="J2776">
        <v>3.6</v>
      </c>
      <c r="K2776" t="s">
        <v>26</v>
      </c>
      <c r="L2776" t="s">
        <v>23</v>
      </c>
      <c r="M2776" t="str">
        <f>VLOOKUP(D2780,Restaurant_Master!A:B,2,FALSE)</f>
        <v>https://dynamic-media-cdn.tripadvisor.com/media/photo-o/1c/e7/04/0d/front-of-the-local-easily.jpg</v>
      </c>
    </row>
    <row r="2777" spans="1:13" x14ac:dyDescent="0.3">
      <c r="A2777" t="s">
        <v>2807</v>
      </c>
      <c r="B2777" s="1">
        <v>45443</v>
      </c>
      <c r="C2777" t="s">
        <v>36</v>
      </c>
      <c r="D2777" t="s">
        <v>38</v>
      </c>
      <c r="E2777">
        <v>44</v>
      </c>
      <c r="F2777" t="s">
        <v>15</v>
      </c>
      <c r="G2777">
        <v>919.31</v>
      </c>
      <c r="H2777">
        <v>54</v>
      </c>
      <c r="I2777" t="s">
        <v>16</v>
      </c>
      <c r="J2777">
        <v>3.8</v>
      </c>
      <c r="K2777" t="s">
        <v>29</v>
      </c>
      <c r="L2777" t="s">
        <v>18</v>
      </c>
      <c r="M2777" t="str">
        <f>VLOOKUP(D2781,Restaurant_Master!A:B,2,FALSE)</f>
        <v>https://www.chatswoodinterchange.com/storages/2018/08/Sushi-World_666x448.jpg</v>
      </c>
    </row>
    <row r="2778" spans="1:13" x14ac:dyDescent="0.3">
      <c r="A2778" t="s">
        <v>2808</v>
      </c>
      <c r="B2778" s="1">
        <v>45552</v>
      </c>
      <c r="C2778" t="s">
        <v>36</v>
      </c>
      <c r="D2778" t="s">
        <v>14</v>
      </c>
      <c r="E2778">
        <v>34</v>
      </c>
      <c r="F2778" t="s">
        <v>15</v>
      </c>
      <c r="G2778">
        <v>779.47</v>
      </c>
      <c r="H2778">
        <v>49</v>
      </c>
      <c r="I2778" t="s">
        <v>16</v>
      </c>
      <c r="J2778">
        <v>4.2</v>
      </c>
      <c r="K2778" t="s">
        <v>17</v>
      </c>
      <c r="L2778" t="s">
        <v>23</v>
      </c>
      <c r="M2778" t="str">
        <f>VLOOKUP(D2782,Restaurant_Master!A:B,2,FALSE)</f>
        <v>https://www.chatswoodinterchange.com/storages/2018/08/Sushi-World_666x448.jpg</v>
      </c>
    </row>
    <row r="2779" spans="1:13" x14ac:dyDescent="0.3">
      <c r="A2779" t="s">
        <v>2809</v>
      </c>
      <c r="B2779" s="1">
        <v>45649</v>
      </c>
      <c r="C2779" t="s">
        <v>13</v>
      </c>
      <c r="D2779" t="s">
        <v>25</v>
      </c>
      <c r="E2779">
        <v>22</v>
      </c>
      <c r="F2779" t="s">
        <v>28</v>
      </c>
      <c r="G2779">
        <v>934.02</v>
      </c>
      <c r="H2779">
        <v>42</v>
      </c>
      <c r="I2779" t="s">
        <v>16</v>
      </c>
      <c r="J2779">
        <v>3.7</v>
      </c>
      <c r="K2779" t="s">
        <v>17</v>
      </c>
      <c r="L2779" t="s">
        <v>23</v>
      </c>
      <c r="M2779" t="str">
        <f>VLOOKUP(D2783,Restaurant_Master!A:B,2,FALSE)</f>
        <v>https://media-cdn.tripadvisor.com/media/photo-s/1c/c7/97/b6/photo6jpg.jpg</v>
      </c>
    </row>
    <row r="2780" spans="1:13" x14ac:dyDescent="0.3">
      <c r="A2780" t="s">
        <v>2810</v>
      </c>
      <c r="B2780" s="1">
        <v>45647</v>
      </c>
      <c r="C2780" t="s">
        <v>43</v>
      </c>
      <c r="D2780" t="s">
        <v>21</v>
      </c>
      <c r="E2780">
        <v>53</v>
      </c>
      <c r="F2780" t="s">
        <v>15</v>
      </c>
      <c r="G2780">
        <v>244.06</v>
      </c>
      <c r="H2780">
        <v>53</v>
      </c>
      <c r="I2780" t="s">
        <v>16</v>
      </c>
      <c r="J2780">
        <v>4.8</v>
      </c>
      <c r="K2780" t="s">
        <v>26</v>
      </c>
      <c r="L2780" t="s">
        <v>18</v>
      </c>
      <c r="M2780" t="str">
        <f>VLOOKUP(D2784,Restaurant_Master!A:B,2,FALSE)</f>
        <v>https://dynamic-media-cdn.tripadvisor.com/media/photo-o/1c/e7/04/0d/front-of-the-local-easily.jpg</v>
      </c>
    </row>
    <row r="2781" spans="1:13" x14ac:dyDescent="0.3">
      <c r="A2781" t="s">
        <v>2811</v>
      </c>
      <c r="B2781" s="1">
        <v>45454</v>
      </c>
      <c r="C2781" t="s">
        <v>34</v>
      </c>
      <c r="D2781" t="s">
        <v>38</v>
      </c>
      <c r="E2781">
        <v>48</v>
      </c>
      <c r="F2781" t="s">
        <v>15</v>
      </c>
      <c r="G2781">
        <v>993.38</v>
      </c>
      <c r="H2781">
        <v>36</v>
      </c>
      <c r="I2781" t="s">
        <v>22</v>
      </c>
      <c r="J2781">
        <v>2.9</v>
      </c>
      <c r="K2781" t="s">
        <v>41</v>
      </c>
      <c r="L2781" t="s">
        <v>23</v>
      </c>
      <c r="M2781" t="str">
        <f>VLOOKUP(D2785,Restaurant_Master!A:B,2,FALSE)</f>
        <v>https://content.jdmagicbox.com/comp/deoria/g6/9999p5568.5568.200119143033.m4g6/catalogue/biryani-house-deoria-ho-deoria-mktc2xph0o.jpg</v>
      </c>
    </row>
    <row r="2782" spans="1:13" x14ac:dyDescent="0.3">
      <c r="A2782" t="s">
        <v>2812</v>
      </c>
      <c r="B2782" s="1">
        <v>45350</v>
      </c>
      <c r="C2782" t="s">
        <v>36</v>
      </c>
      <c r="D2782" t="s">
        <v>38</v>
      </c>
      <c r="E2782">
        <v>29</v>
      </c>
      <c r="F2782" t="s">
        <v>15</v>
      </c>
      <c r="G2782">
        <v>977.84</v>
      </c>
      <c r="H2782">
        <v>36</v>
      </c>
      <c r="I2782" t="s">
        <v>22</v>
      </c>
      <c r="J2782">
        <v>3.9</v>
      </c>
      <c r="K2782" t="s">
        <v>41</v>
      </c>
      <c r="L2782" t="s">
        <v>23</v>
      </c>
      <c r="M2782" t="str">
        <f>VLOOKUP(D2786,Restaurant_Master!A:B,2,FALSE)</f>
        <v>https://media-cdn.tripadvisor.com/media/photo-s/1c/c7/97/b6/photo6jpg.jpg</v>
      </c>
    </row>
    <row r="2783" spans="1:13" x14ac:dyDescent="0.3">
      <c r="A2783" t="s">
        <v>2813</v>
      </c>
      <c r="B2783" s="1">
        <v>45369</v>
      </c>
      <c r="C2783" t="s">
        <v>13</v>
      </c>
      <c r="D2783" t="s">
        <v>25</v>
      </c>
      <c r="E2783">
        <v>54</v>
      </c>
      <c r="F2783" t="s">
        <v>28</v>
      </c>
      <c r="G2783">
        <v>209.21</v>
      </c>
      <c r="H2783">
        <v>32</v>
      </c>
      <c r="I2783" t="s">
        <v>22</v>
      </c>
      <c r="J2783">
        <v>4.4000000000000004</v>
      </c>
      <c r="K2783" t="s">
        <v>17</v>
      </c>
      <c r="L2783" t="s">
        <v>23</v>
      </c>
      <c r="M2783" t="str">
        <f>VLOOKUP(D2787,Restaurant_Master!A:B,2,FALSE)</f>
        <v>https://content.jdmagicbox.com/comp/deoria/g6/9999p5568.5568.200119143033.m4g6/catalogue/biryani-house-deoria-ho-deoria-mktc2xph0o.jpg</v>
      </c>
    </row>
    <row r="2784" spans="1:13" x14ac:dyDescent="0.3">
      <c r="A2784" t="s">
        <v>2814</v>
      </c>
      <c r="B2784" s="1">
        <v>45600</v>
      </c>
      <c r="C2784" t="s">
        <v>13</v>
      </c>
      <c r="D2784" t="s">
        <v>21</v>
      </c>
      <c r="E2784">
        <v>39</v>
      </c>
      <c r="F2784" t="s">
        <v>28</v>
      </c>
      <c r="G2784">
        <v>405.74</v>
      </c>
      <c r="H2784">
        <v>46</v>
      </c>
      <c r="I2784" t="s">
        <v>16</v>
      </c>
      <c r="J2784">
        <v>3.2</v>
      </c>
      <c r="K2784" t="s">
        <v>26</v>
      </c>
      <c r="L2784" t="s">
        <v>23</v>
      </c>
      <c r="M2784" t="str">
        <f>VLOOKUP(D2788,Restaurant_Master!A:B,2,FALSE)</f>
        <v>https://www.chatswoodinterchange.com/storages/2018/08/Sushi-World_666x448.jpg</v>
      </c>
    </row>
    <row r="2785" spans="1:13" x14ac:dyDescent="0.3">
      <c r="A2785" t="s">
        <v>2815</v>
      </c>
      <c r="B2785" s="1">
        <v>45341</v>
      </c>
      <c r="C2785" t="s">
        <v>20</v>
      </c>
      <c r="D2785" t="s">
        <v>32</v>
      </c>
      <c r="E2785">
        <v>40</v>
      </c>
      <c r="F2785" t="s">
        <v>15</v>
      </c>
      <c r="G2785">
        <v>204.04</v>
      </c>
      <c r="H2785">
        <v>34</v>
      </c>
      <c r="I2785" t="s">
        <v>22</v>
      </c>
      <c r="J2785">
        <v>3.1</v>
      </c>
      <c r="K2785" t="s">
        <v>17</v>
      </c>
      <c r="L2785" t="s">
        <v>23</v>
      </c>
      <c r="M2785" t="str">
        <f>VLOOKUP(D2789,Restaurant_Master!A:B,2,FALSE)</f>
        <v>https://content.jdmagicbox.com/comp/deoria/g6/9999p5568.5568.200119143033.m4g6/catalogue/biryani-house-deoria-ho-deoria-mktc2xph0o.jpg</v>
      </c>
    </row>
    <row r="2786" spans="1:13" x14ac:dyDescent="0.3">
      <c r="A2786" t="s">
        <v>2816</v>
      </c>
      <c r="B2786" s="1">
        <v>45593</v>
      </c>
      <c r="C2786" t="s">
        <v>13</v>
      </c>
      <c r="D2786" t="s">
        <v>25</v>
      </c>
      <c r="E2786">
        <v>34</v>
      </c>
      <c r="F2786" t="s">
        <v>15</v>
      </c>
      <c r="G2786">
        <v>1031.43</v>
      </c>
      <c r="H2786">
        <v>50</v>
      </c>
      <c r="I2786" t="s">
        <v>16</v>
      </c>
      <c r="J2786">
        <v>3.8</v>
      </c>
      <c r="K2786" t="s">
        <v>17</v>
      </c>
      <c r="L2786" t="s">
        <v>23</v>
      </c>
      <c r="M2786" t="str">
        <f>VLOOKUP(D2790,Restaurant_Master!A:B,2,FALSE)</f>
        <v>https://media-cdn.tripadvisor.com/media/photo-s/1c/c7/97/b6/photo6jpg.jpg</v>
      </c>
    </row>
    <row r="2787" spans="1:13" x14ac:dyDescent="0.3">
      <c r="A2787" t="s">
        <v>2817</v>
      </c>
      <c r="B2787" s="1">
        <v>45474</v>
      </c>
      <c r="C2787" t="s">
        <v>20</v>
      </c>
      <c r="D2787" t="s">
        <v>32</v>
      </c>
      <c r="E2787">
        <v>60</v>
      </c>
      <c r="F2787" t="s">
        <v>28</v>
      </c>
      <c r="G2787">
        <v>767.14</v>
      </c>
      <c r="H2787">
        <v>52</v>
      </c>
      <c r="I2787" t="s">
        <v>16</v>
      </c>
      <c r="J2787">
        <v>2.7</v>
      </c>
      <c r="K2787" t="s">
        <v>17</v>
      </c>
      <c r="L2787" t="s">
        <v>23</v>
      </c>
      <c r="M2787" t="str">
        <f>VLOOKUP(D2791,Restaurant_Master!A:B,2,FALSE)</f>
        <v>https://www.chatswoodinterchange.com/storages/2018/08/Sushi-World_666x448.jpg</v>
      </c>
    </row>
    <row r="2788" spans="1:13" x14ac:dyDescent="0.3">
      <c r="A2788" t="s">
        <v>2818</v>
      </c>
      <c r="B2788" s="1">
        <v>45652</v>
      </c>
      <c r="C2788" t="s">
        <v>13</v>
      </c>
      <c r="D2788" t="s">
        <v>38</v>
      </c>
      <c r="E2788">
        <v>55</v>
      </c>
      <c r="F2788" t="s">
        <v>28</v>
      </c>
      <c r="G2788">
        <v>624.14</v>
      </c>
      <c r="H2788">
        <v>59</v>
      </c>
      <c r="I2788" t="s">
        <v>16</v>
      </c>
      <c r="J2788">
        <v>3.5</v>
      </c>
      <c r="K2788" t="s">
        <v>17</v>
      </c>
      <c r="L2788" t="s">
        <v>18</v>
      </c>
      <c r="M2788" t="str">
        <f>VLOOKUP(D2792,Restaurant_Master!A:B,2,FALSE)</f>
        <v>https://www.chatswoodinterchange.com/storages/2018/08/Sushi-World_666x448.jpg</v>
      </c>
    </row>
    <row r="2789" spans="1:13" x14ac:dyDescent="0.3">
      <c r="A2789" t="s">
        <v>2819</v>
      </c>
      <c r="B2789" s="1">
        <v>45323</v>
      </c>
      <c r="C2789" t="s">
        <v>13</v>
      </c>
      <c r="D2789" t="s">
        <v>32</v>
      </c>
      <c r="E2789">
        <v>31</v>
      </c>
      <c r="F2789" t="s">
        <v>15</v>
      </c>
      <c r="G2789">
        <v>974.83</v>
      </c>
      <c r="H2789">
        <v>56</v>
      </c>
      <c r="I2789" t="s">
        <v>16</v>
      </c>
      <c r="J2789">
        <v>4.7</v>
      </c>
      <c r="K2789" t="s">
        <v>17</v>
      </c>
      <c r="L2789" t="s">
        <v>18</v>
      </c>
      <c r="M2789" t="str">
        <f>VLOOKUP(D2793,Restaurant_Master!A:B,2,FALSE)</f>
        <v>https://www.chatswoodinterchange.com/storages/2018/08/Sushi-World_666x448.jpg</v>
      </c>
    </row>
    <row r="2790" spans="1:13" x14ac:dyDescent="0.3">
      <c r="A2790" t="s">
        <v>2820</v>
      </c>
      <c r="B2790" s="1">
        <v>45390</v>
      </c>
      <c r="C2790" t="s">
        <v>13</v>
      </c>
      <c r="D2790" t="s">
        <v>25</v>
      </c>
      <c r="E2790">
        <v>46</v>
      </c>
      <c r="F2790" t="s">
        <v>15</v>
      </c>
      <c r="G2790">
        <v>342.68</v>
      </c>
      <c r="H2790">
        <v>36</v>
      </c>
      <c r="I2790" t="s">
        <v>22</v>
      </c>
      <c r="J2790">
        <v>2.6</v>
      </c>
      <c r="K2790" t="s">
        <v>29</v>
      </c>
      <c r="L2790" t="s">
        <v>18</v>
      </c>
      <c r="M2790" t="str">
        <f>VLOOKUP(D2794,Restaurant_Master!A:B,2,FALSE)</f>
        <v>https://www.chatswoodinterchange.com/storages/2018/08/Sushi-World_666x448.jpg</v>
      </c>
    </row>
    <row r="2791" spans="1:13" x14ac:dyDescent="0.3">
      <c r="A2791" t="s">
        <v>2821</v>
      </c>
      <c r="B2791" s="1">
        <v>45545</v>
      </c>
      <c r="C2791" t="s">
        <v>34</v>
      </c>
      <c r="D2791" t="s">
        <v>38</v>
      </c>
      <c r="E2791">
        <v>42</v>
      </c>
      <c r="F2791" t="s">
        <v>15</v>
      </c>
      <c r="G2791">
        <v>699.42</v>
      </c>
      <c r="H2791">
        <v>60</v>
      </c>
      <c r="I2791" t="s">
        <v>16</v>
      </c>
      <c r="J2791">
        <v>4.8</v>
      </c>
      <c r="K2791" t="s">
        <v>41</v>
      </c>
      <c r="L2791" t="s">
        <v>18</v>
      </c>
      <c r="M2791" t="str">
        <f>VLOOKUP(D2795,Restaurant_Master!A:B,2,FALSE)</f>
        <v>https://www.chatswoodinterchange.com/storages/2018/08/Sushi-World_666x448.jpg</v>
      </c>
    </row>
    <row r="2792" spans="1:13" x14ac:dyDescent="0.3">
      <c r="A2792" t="s">
        <v>2822</v>
      </c>
      <c r="B2792" s="1">
        <v>45339</v>
      </c>
      <c r="C2792" t="s">
        <v>20</v>
      </c>
      <c r="D2792" t="s">
        <v>38</v>
      </c>
      <c r="E2792">
        <v>57</v>
      </c>
      <c r="F2792" t="s">
        <v>28</v>
      </c>
      <c r="G2792">
        <v>1060.21</v>
      </c>
      <c r="H2792">
        <v>39</v>
      </c>
      <c r="I2792" t="s">
        <v>22</v>
      </c>
      <c r="J2792">
        <v>3.1</v>
      </c>
      <c r="K2792" t="s">
        <v>41</v>
      </c>
      <c r="L2792" t="s">
        <v>18</v>
      </c>
      <c r="M2792" t="str">
        <f>VLOOKUP(D2796,Restaurant_Master!A:B,2,FALSE)</f>
        <v>https://www.chatswoodinterchange.com/storages/2018/08/Sushi-World_666x448.jpg</v>
      </c>
    </row>
    <row r="2793" spans="1:13" x14ac:dyDescent="0.3">
      <c r="A2793" t="s">
        <v>2823</v>
      </c>
      <c r="B2793" s="1">
        <v>45545</v>
      </c>
      <c r="C2793" t="s">
        <v>13</v>
      </c>
      <c r="D2793" t="s">
        <v>38</v>
      </c>
      <c r="E2793">
        <v>58</v>
      </c>
      <c r="F2793" t="s">
        <v>28</v>
      </c>
      <c r="G2793">
        <v>861.37</v>
      </c>
      <c r="H2793">
        <v>37</v>
      </c>
      <c r="I2793" t="s">
        <v>22</v>
      </c>
      <c r="J2793">
        <v>3</v>
      </c>
      <c r="K2793" t="s">
        <v>29</v>
      </c>
      <c r="L2793" t="s">
        <v>23</v>
      </c>
      <c r="M2793" t="str">
        <f>VLOOKUP(D2797,Restaurant_Master!A:B,2,FALSE)</f>
        <v>https://www.chatswoodinterchange.com/storages/2018/08/Sushi-World_666x448.jpg</v>
      </c>
    </row>
    <row r="2794" spans="1:13" x14ac:dyDescent="0.3">
      <c r="A2794" t="s">
        <v>2824</v>
      </c>
      <c r="B2794" s="1">
        <v>45597</v>
      </c>
      <c r="C2794" t="s">
        <v>34</v>
      </c>
      <c r="D2794" t="s">
        <v>38</v>
      </c>
      <c r="E2794">
        <v>34</v>
      </c>
      <c r="F2794" t="s">
        <v>15</v>
      </c>
      <c r="G2794">
        <v>1109.9100000000001</v>
      </c>
      <c r="H2794">
        <v>24</v>
      </c>
      <c r="I2794" t="s">
        <v>22</v>
      </c>
      <c r="J2794">
        <v>2.7</v>
      </c>
      <c r="K2794" t="s">
        <v>41</v>
      </c>
      <c r="L2794" t="s">
        <v>18</v>
      </c>
      <c r="M2794" t="str">
        <f>VLOOKUP(D2798,Restaurant_Master!A:B,2,FALSE)</f>
        <v>https://dineout-media-assets.swiggy.com/swiggy/image/upload/fl_lossy,f_auto,q_auto/v1660793737/fdqxvxcxg1wtdwvyv45v.jpg</v>
      </c>
    </row>
    <row r="2795" spans="1:13" x14ac:dyDescent="0.3">
      <c r="A2795" t="s">
        <v>2825</v>
      </c>
      <c r="B2795" s="1">
        <v>45501</v>
      </c>
      <c r="C2795" t="s">
        <v>13</v>
      </c>
      <c r="D2795" t="s">
        <v>38</v>
      </c>
      <c r="E2795">
        <v>25</v>
      </c>
      <c r="F2795" t="s">
        <v>15</v>
      </c>
      <c r="G2795">
        <v>625.45000000000005</v>
      </c>
      <c r="H2795">
        <v>60</v>
      </c>
      <c r="I2795" t="s">
        <v>16</v>
      </c>
      <c r="J2795">
        <v>2.5</v>
      </c>
      <c r="K2795" t="s">
        <v>26</v>
      </c>
      <c r="L2795" t="s">
        <v>18</v>
      </c>
      <c r="M2795" t="str">
        <f>VLOOKUP(D2799,Restaurant_Master!A:B,2,FALSE)</f>
        <v>https://dynamic-media-cdn.tripadvisor.com/media/photo-o/1c/e7/04/0d/front-of-the-local-easily.jpg</v>
      </c>
    </row>
    <row r="2796" spans="1:13" x14ac:dyDescent="0.3">
      <c r="A2796" t="s">
        <v>2826</v>
      </c>
      <c r="B2796" s="1">
        <v>45388</v>
      </c>
      <c r="C2796" t="s">
        <v>36</v>
      </c>
      <c r="D2796" t="s">
        <v>38</v>
      </c>
      <c r="E2796">
        <v>56</v>
      </c>
      <c r="F2796" t="s">
        <v>28</v>
      </c>
      <c r="G2796">
        <v>159.02000000000001</v>
      </c>
      <c r="H2796">
        <v>55</v>
      </c>
      <c r="I2796" t="s">
        <v>16</v>
      </c>
      <c r="J2796">
        <v>4.5999999999999996</v>
      </c>
      <c r="K2796" t="s">
        <v>29</v>
      </c>
      <c r="L2796" t="s">
        <v>23</v>
      </c>
      <c r="M2796" t="str">
        <f>VLOOKUP(D2800,Restaurant_Master!A:B,2,FALSE)</f>
        <v>https://www.chatswoodinterchange.com/storages/2018/08/Sushi-World_666x448.jpg</v>
      </c>
    </row>
    <row r="2797" spans="1:13" x14ac:dyDescent="0.3">
      <c r="A2797" t="s">
        <v>2827</v>
      </c>
      <c r="B2797" s="1">
        <v>45592</v>
      </c>
      <c r="C2797" t="s">
        <v>20</v>
      </c>
      <c r="D2797" t="s">
        <v>38</v>
      </c>
      <c r="E2797">
        <v>43</v>
      </c>
      <c r="F2797" t="s">
        <v>15</v>
      </c>
      <c r="G2797">
        <v>577.82000000000005</v>
      </c>
      <c r="H2797">
        <v>34</v>
      </c>
      <c r="I2797" t="s">
        <v>22</v>
      </c>
      <c r="J2797">
        <v>2.7</v>
      </c>
      <c r="K2797" t="s">
        <v>41</v>
      </c>
      <c r="L2797" t="s">
        <v>23</v>
      </c>
      <c r="M2797" t="str">
        <f>VLOOKUP(D2801,Restaurant_Master!A:B,2,FALSE)</f>
        <v>https://media-cdn.tripadvisor.com/media/photo-s/1c/c7/97/b6/photo6jpg.jpg</v>
      </c>
    </row>
    <row r="2798" spans="1:13" x14ac:dyDescent="0.3">
      <c r="A2798" t="s">
        <v>2828</v>
      </c>
      <c r="B2798" s="1">
        <v>45527</v>
      </c>
      <c r="C2798" t="s">
        <v>34</v>
      </c>
      <c r="D2798" t="s">
        <v>14</v>
      </c>
      <c r="E2798">
        <v>51</v>
      </c>
      <c r="F2798" t="s">
        <v>15</v>
      </c>
      <c r="G2798">
        <v>281.26</v>
      </c>
      <c r="H2798">
        <v>57</v>
      </c>
      <c r="I2798" t="s">
        <v>16</v>
      </c>
      <c r="J2798">
        <v>2.5</v>
      </c>
      <c r="K2798" t="s">
        <v>17</v>
      </c>
      <c r="L2798" t="s">
        <v>18</v>
      </c>
      <c r="M2798" t="str">
        <f>VLOOKUP(D2802,Restaurant_Master!A:B,2,FALSE)</f>
        <v>https://dineout-media-assets.swiggy.com/swiggy/image/upload/fl_lossy,f_auto,q_auto/v1660793737/fdqxvxcxg1wtdwvyv45v.jpg</v>
      </c>
    </row>
    <row r="2799" spans="1:13" x14ac:dyDescent="0.3">
      <c r="A2799" t="s">
        <v>2829</v>
      </c>
      <c r="B2799" s="1">
        <v>45323</v>
      </c>
      <c r="C2799" t="s">
        <v>20</v>
      </c>
      <c r="D2799" t="s">
        <v>21</v>
      </c>
      <c r="E2799">
        <v>41</v>
      </c>
      <c r="F2799" t="s">
        <v>15</v>
      </c>
      <c r="G2799">
        <v>1127.08</v>
      </c>
      <c r="H2799">
        <v>50</v>
      </c>
      <c r="I2799" t="s">
        <v>16</v>
      </c>
      <c r="J2799">
        <v>4.4000000000000004</v>
      </c>
      <c r="K2799" t="s">
        <v>29</v>
      </c>
      <c r="L2799" t="s">
        <v>23</v>
      </c>
      <c r="M2799" t="str">
        <f>VLOOKUP(D2803,Restaurant_Master!A:B,2,FALSE)</f>
        <v>https://www.chatswoodinterchange.com/storages/2018/08/Sushi-World_666x448.jpg</v>
      </c>
    </row>
    <row r="2800" spans="1:13" x14ac:dyDescent="0.3">
      <c r="A2800" t="s">
        <v>2830</v>
      </c>
      <c r="B2800" s="1">
        <v>45525</v>
      </c>
      <c r="C2800" t="s">
        <v>20</v>
      </c>
      <c r="D2800" t="s">
        <v>38</v>
      </c>
      <c r="E2800">
        <v>38</v>
      </c>
      <c r="F2800" t="s">
        <v>15</v>
      </c>
      <c r="G2800">
        <v>315.56</v>
      </c>
      <c r="H2800">
        <v>43</v>
      </c>
      <c r="I2800" t="s">
        <v>16</v>
      </c>
      <c r="J2800">
        <v>4</v>
      </c>
      <c r="K2800" t="s">
        <v>26</v>
      </c>
      <c r="L2800" t="s">
        <v>18</v>
      </c>
      <c r="M2800" t="str">
        <f>VLOOKUP(D2804,Restaurant_Master!A:B,2,FALSE)</f>
        <v>https://dineout-media-assets.swiggy.com/swiggy/image/upload/fl_lossy,f_auto,q_auto/v1660793737/fdqxvxcxg1wtdwvyv45v.jpg</v>
      </c>
    </row>
    <row r="2801" spans="1:13" x14ac:dyDescent="0.3">
      <c r="A2801" t="s">
        <v>2831</v>
      </c>
      <c r="B2801" s="1">
        <v>45389</v>
      </c>
      <c r="C2801" t="s">
        <v>20</v>
      </c>
      <c r="D2801" t="s">
        <v>25</v>
      </c>
      <c r="E2801">
        <v>49</v>
      </c>
      <c r="F2801" t="s">
        <v>15</v>
      </c>
      <c r="G2801">
        <v>963.49</v>
      </c>
      <c r="H2801">
        <v>58</v>
      </c>
      <c r="I2801" t="s">
        <v>16</v>
      </c>
      <c r="J2801">
        <v>4.9000000000000004</v>
      </c>
      <c r="K2801" t="s">
        <v>26</v>
      </c>
      <c r="L2801" t="s">
        <v>23</v>
      </c>
      <c r="M2801" t="str">
        <f>VLOOKUP(D2805,Restaurant_Master!A:B,2,FALSE)</f>
        <v>https://dineout-media-assets.swiggy.com/swiggy/image/upload/fl_lossy,f_auto,q_auto/v1660793737/fdqxvxcxg1wtdwvyv45v.jpg</v>
      </c>
    </row>
    <row r="2802" spans="1:13" x14ac:dyDescent="0.3">
      <c r="A2802" t="s">
        <v>2832</v>
      </c>
      <c r="B2802" s="1">
        <v>45558</v>
      </c>
      <c r="C2802" t="s">
        <v>36</v>
      </c>
      <c r="D2802" t="s">
        <v>14</v>
      </c>
      <c r="E2802">
        <v>56</v>
      </c>
      <c r="F2802" t="s">
        <v>28</v>
      </c>
      <c r="G2802">
        <v>803.98</v>
      </c>
      <c r="H2802">
        <v>45</v>
      </c>
      <c r="I2802" t="s">
        <v>16</v>
      </c>
      <c r="J2802">
        <v>2.9</v>
      </c>
      <c r="K2802" t="s">
        <v>17</v>
      </c>
      <c r="L2802" t="s">
        <v>23</v>
      </c>
      <c r="M2802" t="str">
        <f>VLOOKUP(D2806,Restaurant_Master!A:B,2,FALSE)</f>
        <v>https://media-cdn.tripadvisor.com/media/photo-s/1c/c7/97/b6/photo6jpg.jpg</v>
      </c>
    </row>
    <row r="2803" spans="1:13" x14ac:dyDescent="0.3">
      <c r="A2803" t="s">
        <v>2833</v>
      </c>
      <c r="B2803" s="1">
        <v>45604</v>
      </c>
      <c r="C2803" t="s">
        <v>13</v>
      </c>
      <c r="D2803" t="s">
        <v>38</v>
      </c>
      <c r="E2803">
        <v>45</v>
      </c>
      <c r="F2803" t="s">
        <v>28</v>
      </c>
      <c r="G2803">
        <v>236.49</v>
      </c>
      <c r="H2803">
        <v>44</v>
      </c>
      <c r="I2803" t="s">
        <v>16</v>
      </c>
      <c r="J2803">
        <v>3.3</v>
      </c>
      <c r="K2803" t="s">
        <v>17</v>
      </c>
      <c r="L2803" t="s">
        <v>18</v>
      </c>
      <c r="M2803" t="str">
        <f>VLOOKUP(D2807,Restaurant_Master!A:B,2,FALSE)</f>
        <v>https://dineout-media-assets.swiggy.com/swiggy/image/upload/fl_lossy,f_auto,q_auto/v1660793737/fdqxvxcxg1wtdwvyv45v.jpg</v>
      </c>
    </row>
    <row r="2804" spans="1:13" x14ac:dyDescent="0.3">
      <c r="A2804" t="s">
        <v>2834</v>
      </c>
      <c r="B2804" s="1">
        <v>45606</v>
      </c>
      <c r="C2804" t="s">
        <v>43</v>
      </c>
      <c r="D2804" t="s">
        <v>14</v>
      </c>
      <c r="E2804">
        <v>55</v>
      </c>
      <c r="F2804" t="s">
        <v>15</v>
      </c>
      <c r="G2804">
        <v>747.78</v>
      </c>
      <c r="H2804">
        <v>36</v>
      </c>
      <c r="I2804" t="s">
        <v>22</v>
      </c>
      <c r="J2804">
        <v>4.5999999999999996</v>
      </c>
      <c r="K2804" t="s">
        <v>29</v>
      </c>
      <c r="L2804" t="s">
        <v>23</v>
      </c>
      <c r="M2804" t="str">
        <f>VLOOKUP(D2808,Restaurant_Master!A:B,2,FALSE)</f>
        <v>https://dineout-media-assets.swiggy.com/swiggy/image/upload/fl_lossy,f_auto,q_auto/v1660793737/fdqxvxcxg1wtdwvyv45v.jpg</v>
      </c>
    </row>
    <row r="2805" spans="1:13" x14ac:dyDescent="0.3">
      <c r="A2805" t="s">
        <v>2835</v>
      </c>
      <c r="B2805" s="1">
        <v>45325</v>
      </c>
      <c r="C2805" t="s">
        <v>13</v>
      </c>
      <c r="D2805" t="s">
        <v>14</v>
      </c>
      <c r="E2805">
        <v>24</v>
      </c>
      <c r="F2805" t="s">
        <v>28</v>
      </c>
      <c r="G2805">
        <v>648.09</v>
      </c>
      <c r="H2805">
        <v>33</v>
      </c>
      <c r="I2805" t="s">
        <v>22</v>
      </c>
      <c r="J2805">
        <v>4.5999999999999996</v>
      </c>
      <c r="K2805" t="s">
        <v>29</v>
      </c>
      <c r="L2805" t="s">
        <v>18</v>
      </c>
      <c r="M2805" t="str">
        <f>VLOOKUP(D2809,Restaurant_Master!A:B,2,FALSE)</f>
        <v>https://dineout-media-assets.swiggy.com/swiggy/image/upload/fl_lossy,f_auto,q_auto/v1660793737/fdqxvxcxg1wtdwvyv45v.jpg</v>
      </c>
    </row>
    <row r="2806" spans="1:13" x14ac:dyDescent="0.3">
      <c r="A2806" t="s">
        <v>2836</v>
      </c>
      <c r="B2806" s="1">
        <v>45371</v>
      </c>
      <c r="C2806" t="s">
        <v>20</v>
      </c>
      <c r="D2806" t="s">
        <v>25</v>
      </c>
      <c r="E2806">
        <v>34</v>
      </c>
      <c r="F2806" t="s">
        <v>28</v>
      </c>
      <c r="G2806">
        <v>532.85</v>
      </c>
      <c r="H2806">
        <v>43</v>
      </c>
      <c r="I2806" t="s">
        <v>16</v>
      </c>
      <c r="J2806">
        <v>4.4000000000000004</v>
      </c>
      <c r="K2806" t="s">
        <v>26</v>
      </c>
      <c r="L2806" t="s">
        <v>23</v>
      </c>
      <c r="M2806" t="str">
        <f>VLOOKUP(D2810,Restaurant_Master!A:B,2,FALSE)</f>
        <v>https://dynamic-media-cdn.tripadvisor.com/media/photo-o/1c/e7/04/0d/front-of-the-local-easily.jpg</v>
      </c>
    </row>
    <row r="2807" spans="1:13" x14ac:dyDescent="0.3">
      <c r="A2807" t="s">
        <v>2837</v>
      </c>
      <c r="B2807" s="1">
        <v>45506</v>
      </c>
      <c r="C2807" t="s">
        <v>34</v>
      </c>
      <c r="D2807" t="s">
        <v>14</v>
      </c>
      <c r="E2807">
        <v>30</v>
      </c>
      <c r="F2807" t="s">
        <v>28</v>
      </c>
      <c r="G2807">
        <v>407.19</v>
      </c>
      <c r="H2807">
        <v>52</v>
      </c>
      <c r="I2807" t="s">
        <v>16</v>
      </c>
      <c r="J2807">
        <v>3.3</v>
      </c>
      <c r="K2807" t="s">
        <v>26</v>
      </c>
      <c r="L2807" t="s">
        <v>18</v>
      </c>
      <c r="M2807" t="str">
        <f>VLOOKUP(D2811,Restaurant_Master!A:B,2,FALSE)</f>
        <v>https://media-cdn.tripadvisor.com/media/photo-s/1c/c7/97/b6/photo6jpg.jpg</v>
      </c>
    </row>
    <row r="2808" spans="1:13" x14ac:dyDescent="0.3">
      <c r="A2808" t="s">
        <v>2838</v>
      </c>
      <c r="B2808" s="1">
        <v>45472</v>
      </c>
      <c r="C2808" t="s">
        <v>20</v>
      </c>
      <c r="D2808" t="s">
        <v>14</v>
      </c>
      <c r="E2808">
        <v>57</v>
      </c>
      <c r="F2808" t="s">
        <v>15</v>
      </c>
      <c r="G2808">
        <v>1125.3499999999999</v>
      </c>
      <c r="H2808">
        <v>28</v>
      </c>
      <c r="I2808" t="s">
        <v>22</v>
      </c>
      <c r="J2808">
        <v>4.3</v>
      </c>
      <c r="K2808" t="s">
        <v>17</v>
      </c>
      <c r="L2808" t="s">
        <v>23</v>
      </c>
      <c r="M2808" t="str">
        <f>VLOOKUP(D2812,Restaurant_Master!A:B,2,FALSE)</f>
        <v>https://dineout-media-assets.swiggy.com/swiggy/image/upload/fl_lossy,f_auto,q_auto/v1660793737/fdqxvxcxg1wtdwvyv45v.jpg</v>
      </c>
    </row>
    <row r="2809" spans="1:13" x14ac:dyDescent="0.3">
      <c r="A2809" t="s">
        <v>2839</v>
      </c>
      <c r="B2809" s="1">
        <v>45499</v>
      </c>
      <c r="C2809" t="s">
        <v>43</v>
      </c>
      <c r="D2809" t="s">
        <v>14</v>
      </c>
      <c r="E2809">
        <v>32</v>
      </c>
      <c r="F2809" t="s">
        <v>28</v>
      </c>
      <c r="G2809">
        <v>865.15</v>
      </c>
      <c r="H2809">
        <v>26</v>
      </c>
      <c r="I2809" t="s">
        <v>22</v>
      </c>
      <c r="J2809">
        <v>3.4</v>
      </c>
      <c r="K2809" t="s">
        <v>26</v>
      </c>
      <c r="L2809" t="s">
        <v>23</v>
      </c>
      <c r="M2809" t="str">
        <f>VLOOKUP(D2813,Restaurant_Master!A:B,2,FALSE)</f>
        <v>https://content.jdmagicbox.com/comp/deoria/g6/9999p5568.5568.200119143033.m4g6/catalogue/biryani-house-deoria-ho-deoria-mktc2xph0o.jpg</v>
      </c>
    </row>
    <row r="2810" spans="1:13" x14ac:dyDescent="0.3">
      <c r="A2810" t="s">
        <v>2840</v>
      </c>
      <c r="B2810" s="1">
        <v>45377</v>
      </c>
      <c r="C2810" t="s">
        <v>43</v>
      </c>
      <c r="D2810" t="s">
        <v>21</v>
      </c>
      <c r="E2810">
        <v>31</v>
      </c>
      <c r="F2810" t="s">
        <v>15</v>
      </c>
      <c r="G2810">
        <v>857.7</v>
      </c>
      <c r="H2810">
        <v>40</v>
      </c>
      <c r="I2810" t="s">
        <v>22</v>
      </c>
      <c r="J2810">
        <v>3.3</v>
      </c>
      <c r="K2810" t="s">
        <v>41</v>
      </c>
      <c r="L2810" t="s">
        <v>23</v>
      </c>
      <c r="M2810" t="str">
        <f>VLOOKUP(D2814,Restaurant_Master!A:B,2,FALSE)</f>
        <v>https://www.chatswoodinterchange.com/storages/2018/08/Sushi-World_666x448.jpg</v>
      </c>
    </row>
    <row r="2811" spans="1:13" x14ac:dyDescent="0.3">
      <c r="A2811" t="s">
        <v>2841</v>
      </c>
      <c r="B2811" s="1">
        <v>45516</v>
      </c>
      <c r="C2811" t="s">
        <v>43</v>
      </c>
      <c r="D2811" t="s">
        <v>25</v>
      </c>
      <c r="E2811">
        <v>50</v>
      </c>
      <c r="F2811" t="s">
        <v>15</v>
      </c>
      <c r="G2811">
        <v>234.79</v>
      </c>
      <c r="H2811">
        <v>40</v>
      </c>
      <c r="I2811" t="s">
        <v>22</v>
      </c>
      <c r="J2811">
        <v>3.4</v>
      </c>
      <c r="K2811" t="s">
        <v>17</v>
      </c>
      <c r="L2811" t="s">
        <v>18</v>
      </c>
      <c r="M2811" t="str">
        <f>VLOOKUP(D2815,Restaurant_Master!A:B,2,FALSE)</f>
        <v>https://dynamic-media-cdn.tripadvisor.com/media/photo-o/1c/e7/04/0d/front-of-the-local-easily.jpg</v>
      </c>
    </row>
    <row r="2812" spans="1:13" x14ac:dyDescent="0.3">
      <c r="A2812" t="s">
        <v>2842</v>
      </c>
      <c r="B2812" s="1">
        <v>45338</v>
      </c>
      <c r="C2812" t="s">
        <v>13</v>
      </c>
      <c r="D2812" t="s">
        <v>14</v>
      </c>
      <c r="E2812">
        <v>26</v>
      </c>
      <c r="F2812" t="s">
        <v>15</v>
      </c>
      <c r="G2812">
        <v>181.79</v>
      </c>
      <c r="H2812">
        <v>46</v>
      </c>
      <c r="I2812" t="s">
        <v>16</v>
      </c>
      <c r="J2812">
        <v>2.8</v>
      </c>
      <c r="K2812" t="s">
        <v>17</v>
      </c>
      <c r="L2812" t="s">
        <v>23</v>
      </c>
      <c r="M2812" t="str">
        <f>VLOOKUP(D2816,Restaurant_Master!A:B,2,FALSE)</f>
        <v>https://dineout-media-assets.swiggy.com/swiggy/image/upload/fl_lossy,f_auto,q_auto/v1660793737/fdqxvxcxg1wtdwvyv45v.jpg</v>
      </c>
    </row>
    <row r="2813" spans="1:13" x14ac:dyDescent="0.3">
      <c r="A2813" t="s">
        <v>2843</v>
      </c>
      <c r="B2813" s="1">
        <v>45417</v>
      </c>
      <c r="C2813" t="s">
        <v>20</v>
      </c>
      <c r="D2813" t="s">
        <v>32</v>
      </c>
      <c r="E2813">
        <v>51</v>
      </c>
      <c r="F2813" t="s">
        <v>15</v>
      </c>
      <c r="G2813">
        <v>898.68</v>
      </c>
      <c r="H2813">
        <v>46</v>
      </c>
      <c r="I2813" t="s">
        <v>16</v>
      </c>
      <c r="J2813">
        <v>4</v>
      </c>
      <c r="K2813" t="s">
        <v>26</v>
      </c>
      <c r="L2813" t="s">
        <v>18</v>
      </c>
      <c r="M2813" t="str">
        <f>VLOOKUP(D2817,Restaurant_Master!A:B,2,FALSE)</f>
        <v>https://media-cdn.tripadvisor.com/media/photo-s/1c/c7/97/b6/photo6jpg.jpg</v>
      </c>
    </row>
    <row r="2814" spans="1:13" x14ac:dyDescent="0.3">
      <c r="A2814" t="s">
        <v>2844</v>
      </c>
      <c r="B2814" s="1">
        <v>45350</v>
      </c>
      <c r="C2814" t="s">
        <v>34</v>
      </c>
      <c r="D2814" t="s">
        <v>38</v>
      </c>
      <c r="E2814">
        <v>31</v>
      </c>
      <c r="F2814" t="s">
        <v>28</v>
      </c>
      <c r="G2814">
        <v>434.58</v>
      </c>
      <c r="H2814">
        <v>21</v>
      </c>
      <c r="I2814" t="s">
        <v>22</v>
      </c>
      <c r="J2814">
        <v>2.9</v>
      </c>
      <c r="K2814" t="s">
        <v>41</v>
      </c>
      <c r="L2814" t="s">
        <v>18</v>
      </c>
      <c r="M2814" t="str">
        <f>VLOOKUP(D2818,Restaurant_Master!A:B,2,FALSE)</f>
        <v>https://content.jdmagicbox.com/comp/deoria/g6/9999p5568.5568.200119143033.m4g6/catalogue/biryani-house-deoria-ho-deoria-mktc2xph0o.jpg</v>
      </c>
    </row>
    <row r="2815" spans="1:13" x14ac:dyDescent="0.3">
      <c r="A2815" t="s">
        <v>2845</v>
      </c>
      <c r="B2815" s="1">
        <v>45373</v>
      </c>
      <c r="C2815" t="s">
        <v>34</v>
      </c>
      <c r="D2815" t="s">
        <v>21</v>
      </c>
      <c r="E2815">
        <v>29</v>
      </c>
      <c r="F2815" t="s">
        <v>15</v>
      </c>
      <c r="G2815">
        <v>504.32</v>
      </c>
      <c r="H2815">
        <v>20</v>
      </c>
      <c r="I2815" t="s">
        <v>22</v>
      </c>
      <c r="J2815">
        <v>4.3</v>
      </c>
      <c r="K2815" t="s">
        <v>29</v>
      </c>
      <c r="L2815" t="s">
        <v>18</v>
      </c>
      <c r="M2815" t="str">
        <f>VLOOKUP(D2819,Restaurant_Master!A:B,2,FALSE)</f>
        <v>https://dineout-media-assets.swiggy.com/swiggy/image/upload/fl_lossy,f_auto,q_auto/v1660793737/fdqxvxcxg1wtdwvyv45v.jpg</v>
      </c>
    </row>
    <row r="2816" spans="1:13" x14ac:dyDescent="0.3">
      <c r="A2816" t="s">
        <v>2846</v>
      </c>
      <c r="B2816" s="1">
        <v>45639</v>
      </c>
      <c r="C2816" t="s">
        <v>36</v>
      </c>
      <c r="D2816" t="s">
        <v>14</v>
      </c>
      <c r="E2816">
        <v>40</v>
      </c>
      <c r="F2816" t="s">
        <v>28</v>
      </c>
      <c r="G2816">
        <v>251.26</v>
      </c>
      <c r="H2816">
        <v>58</v>
      </c>
      <c r="I2816" t="s">
        <v>16</v>
      </c>
      <c r="J2816">
        <v>4.5</v>
      </c>
      <c r="K2816" t="s">
        <v>29</v>
      </c>
      <c r="L2816" t="s">
        <v>18</v>
      </c>
      <c r="M2816" t="str">
        <f>VLOOKUP(D2820,Restaurant_Master!A:B,2,FALSE)</f>
        <v>https://media-cdn.tripadvisor.com/media/photo-s/1c/c7/97/b6/photo6jpg.jpg</v>
      </c>
    </row>
    <row r="2817" spans="1:13" x14ac:dyDescent="0.3">
      <c r="A2817" t="s">
        <v>2847</v>
      </c>
      <c r="B2817" s="1">
        <v>45527</v>
      </c>
      <c r="C2817" t="s">
        <v>36</v>
      </c>
      <c r="D2817" t="s">
        <v>25</v>
      </c>
      <c r="E2817">
        <v>39</v>
      </c>
      <c r="F2817" t="s">
        <v>15</v>
      </c>
      <c r="G2817">
        <v>742.59</v>
      </c>
      <c r="H2817">
        <v>33</v>
      </c>
      <c r="I2817" t="s">
        <v>22</v>
      </c>
      <c r="J2817">
        <v>2.9</v>
      </c>
      <c r="K2817" t="s">
        <v>41</v>
      </c>
      <c r="L2817" t="s">
        <v>18</v>
      </c>
      <c r="M2817" t="str">
        <f>VLOOKUP(D2821,Restaurant_Master!A:B,2,FALSE)</f>
        <v>https://dynamic-media-cdn.tripadvisor.com/media/photo-o/1c/e7/04/0d/front-of-the-local-easily.jpg</v>
      </c>
    </row>
    <row r="2818" spans="1:13" x14ac:dyDescent="0.3">
      <c r="A2818" t="s">
        <v>2848</v>
      </c>
      <c r="B2818" s="1">
        <v>45521</v>
      </c>
      <c r="C2818" t="s">
        <v>34</v>
      </c>
      <c r="D2818" t="s">
        <v>32</v>
      </c>
      <c r="E2818">
        <v>49</v>
      </c>
      <c r="F2818" t="s">
        <v>15</v>
      </c>
      <c r="G2818">
        <v>260.12</v>
      </c>
      <c r="H2818">
        <v>57</v>
      </c>
      <c r="I2818" t="s">
        <v>16</v>
      </c>
      <c r="J2818">
        <v>3.8</v>
      </c>
      <c r="K2818" t="s">
        <v>17</v>
      </c>
      <c r="L2818" t="s">
        <v>18</v>
      </c>
      <c r="M2818" t="str">
        <f>VLOOKUP(D2822,Restaurant_Master!A:B,2,FALSE)</f>
        <v>https://content.jdmagicbox.com/comp/deoria/g6/9999p5568.5568.200119143033.m4g6/catalogue/biryani-house-deoria-ho-deoria-mktc2xph0o.jpg</v>
      </c>
    </row>
    <row r="2819" spans="1:13" x14ac:dyDescent="0.3">
      <c r="A2819" t="s">
        <v>2849</v>
      </c>
      <c r="B2819" s="1">
        <v>45354</v>
      </c>
      <c r="C2819" t="s">
        <v>34</v>
      </c>
      <c r="D2819" t="s">
        <v>14</v>
      </c>
      <c r="E2819">
        <v>38</v>
      </c>
      <c r="F2819" t="s">
        <v>15</v>
      </c>
      <c r="G2819">
        <v>271.08</v>
      </c>
      <c r="H2819">
        <v>58</v>
      </c>
      <c r="I2819" t="s">
        <v>16</v>
      </c>
      <c r="J2819">
        <v>2.8</v>
      </c>
      <c r="K2819" t="s">
        <v>29</v>
      </c>
      <c r="L2819" t="s">
        <v>23</v>
      </c>
      <c r="M2819" t="str">
        <f>VLOOKUP(D2823,Restaurant_Master!A:B,2,FALSE)</f>
        <v>https://media-cdn.tripadvisor.com/media/photo-s/1c/c7/97/b6/photo6jpg.jpg</v>
      </c>
    </row>
    <row r="2820" spans="1:13" x14ac:dyDescent="0.3">
      <c r="A2820" t="s">
        <v>2850</v>
      </c>
      <c r="B2820" s="1">
        <v>45486</v>
      </c>
      <c r="C2820" t="s">
        <v>34</v>
      </c>
      <c r="D2820" t="s">
        <v>25</v>
      </c>
      <c r="E2820">
        <v>49</v>
      </c>
      <c r="F2820" t="s">
        <v>15</v>
      </c>
      <c r="G2820">
        <v>730.02</v>
      </c>
      <c r="H2820">
        <v>38</v>
      </c>
      <c r="I2820" t="s">
        <v>22</v>
      </c>
      <c r="J2820">
        <v>4.8</v>
      </c>
      <c r="K2820" t="s">
        <v>29</v>
      </c>
      <c r="L2820" t="s">
        <v>18</v>
      </c>
      <c r="M2820" t="str">
        <f>VLOOKUP(D2824,Restaurant_Master!A:B,2,FALSE)</f>
        <v>https://media-cdn.tripadvisor.com/media/photo-s/1c/c7/97/b6/photo6jpg.jpg</v>
      </c>
    </row>
    <row r="2821" spans="1:13" x14ac:dyDescent="0.3">
      <c r="A2821" t="s">
        <v>2851</v>
      </c>
      <c r="B2821" s="1">
        <v>45604</v>
      </c>
      <c r="C2821" t="s">
        <v>43</v>
      </c>
      <c r="D2821" t="s">
        <v>21</v>
      </c>
      <c r="E2821">
        <v>58</v>
      </c>
      <c r="F2821" t="s">
        <v>15</v>
      </c>
      <c r="G2821">
        <v>1025.24</v>
      </c>
      <c r="H2821">
        <v>27</v>
      </c>
      <c r="I2821" t="s">
        <v>22</v>
      </c>
      <c r="J2821">
        <v>3.3</v>
      </c>
      <c r="K2821" t="s">
        <v>29</v>
      </c>
      <c r="L2821" t="s">
        <v>18</v>
      </c>
      <c r="M2821" t="str">
        <f>VLOOKUP(D2825,Restaurant_Master!A:B,2,FALSE)</f>
        <v>https://content.jdmagicbox.com/comp/deoria/g6/9999p5568.5568.200119143033.m4g6/catalogue/biryani-house-deoria-ho-deoria-mktc2xph0o.jpg</v>
      </c>
    </row>
    <row r="2822" spans="1:13" x14ac:dyDescent="0.3">
      <c r="A2822" t="s">
        <v>2852</v>
      </c>
      <c r="B2822" s="1">
        <v>45311</v>
      </c>
      <c r="C2822" t="s">
        <v>13</v>
      </c>
      <c r="D2822" t="s">
        <v>32</v>
      </c>
      <c r="E2822">
        <v>52</v>
      </c>
      <c r="F2822" t="s">
        <v>15</v>
      </c>
      <c r="G2822">
        <v>193.28</v>
      </c>
      <c r="H2822">
        <v>24</v>
      </c>
      <c r="I2822" t="s">
        <v>22</v>
      </c>
      <c r="J2822">
        <v>4.4000000000000004</v>
      </c>
      <c r="K2822" t="s">
        <v>17</v>
      </c>
      <c r="L2822" t="s">
        <v>23</v>
      </c>
      <c r="M2822" t="str">
        <f>VLOOKUP(D2826,Restaurant_Master!A:B,2,FALSE)</f>
        <v>https://dineout-media-assets.swiggy.com/swiggy/image/upload/fl_lossy,f_auto,q_auto/v1660793737/fdqxvxcxg1wtdwvyv45v.jpg</v>
      </c>
    </row>
    <row r="2823" spans="1:13" x14ac:dyDescent="0.3">
      <c r="A2823" t="s">
        <v>2853</v>
      </c>
      <c r="B2823" s="1">
        <v>45357</v>
      </c>
      <c r="C2823" t="s">
        <v>43</v>
      </c>
      <c r="D2823" t="s">
        <v>25</v>
      </c>
      <c r="E2823">
        <v>49</v>
      </c>
      <c r="F2823" t="s">
        <v>15</v>
      </c>
      <c r="G2823">
        <v>973.29</v>
      </c>
      <c r="H2823">
        <v>44</v>
      </c>
      <c r="I2823" t="s">
        <v>16</v>
      </c>
      <c r="J2823">
        <v>3.3</v>
      </c>
      <c r="K2823" t="s">
        <v>29</v>
      </c>
      <c r="L2823" t="s">
        <v>18</v>
      </c>
      <c r="M2823" t="str">
        <f>VLOOKUP(D2827,Restaurant_Master!A:B,2,FALSE)</f>
        <v>https://content.jdmagicbox.com/comp/deoria/g6/9999p5568.5568.200119143033.m4g6/catalogue/biryani-house-deoria-ho-deoria-mktc2xph0o.jpg</v>
      </c>
    </row>
    <row r="2824" spans="1:13" x14ac:dyDescent="0.3">
      <c r="A2824" t="s">
        <v>2854</v>
      </c>
      <c r="B2824" s="1">
        <v>45326</v>
      </c>
      <c r="C2824" t="s">
        <v>20</v>
      </c>
      <c r="D2824" t="s">
        <v>25</v>
      </c>
      <c r="E2824">
        <v>41</v>
      </c>
      <c r="F2824" t="s">
        <v>15</v>
      </c>
      <c r="G2824">
        <v>220.64</v>
      </c>
      <c r="H2824">
        <v>58</v>
      </c>
      <c r="I2824" t="s">
        <v>16</v>
      </c>
      <c r="J2824">
        <v>3.8</v>
      </c>
      <c r="K2824" t="s">
        <v>29</v>
      </c>
      <c r="L2824" t="s">
        <v>23</v>
      </c>
      <c r="M2824" t="str">
        <f>VLOOKUP(D2828,Restaurant_Master!A:B,2,FALSE)</f>
        <v>https://www.chatswoodinterchange.com/storages/2018/08/Sushi-World_666x448.jpg</v>
      </c>
    </row>
    <row r="2825" spans="1:13" x14ac:dyDescent="0.3">
      <c r="A2825" t="s">
        <v>2855</v>
      </c>
      <c r="B2825" s="1">
        <v>45468</v>
      </c>
      <c r="C2825" t="s">
        <v>36</v>
      </c>
      <c r="D2825" t="s">
        <v>32</v>
      </c>
      <c r="E2825">
        <v>59</v>
      </c>
      <c r="F2825" t="s">
        <v>15</v>
      </c>
      <c r="G2825">
        <v>475.55</v>
      </c>
      <c r="H2825">
        <v>32</v>
      </c>
      <c r="I2825" t="s">
        <v>22</v>
      </c>
      <c r="J2825">
        <v>4.5</v>
      </c>
      <c r="K2825" t="s">
        <v>26</v>
      </c>
      <c r="L2825" t="s">
        <v>18</v>
      </c>
      <c r="M2825" t="str">
        <f>VLOOKUP(D2829,Restaurant_Master!A:B,2,FALSE)</f>
        <v>https://dynamic-media-cdn.tripadvisor.com/media/photo-o/1c/e7/04/0d/front-of-the-local-easily.jpg</v>
      </c>
    </row>
    <row r="2826" spans="1:13" x14ac:dyDescent="0.3">
      <c r="A2826" t="s">
        <v>2856</v>
      </c>
      <c r="B2826" s="1">
        <v>45626</v>
      </c>
      <c r="C2826" t="s">
        <v>20</v>
      </c>
      <c r="D2826" t="s">
        <v>14</v>
      </c>
      <c r="E2826">
        <v>57</v>
      </c>
      <c r="F2826" t="s">
        <v>28</v>
      </c>
      <c r="G2826">
        <v>893.25</v>
      </c>
      <c r="H2826">
        <v>35</v>
      </c>
      <c r="I2826" t="s">
        <v>22</v>
      </c>
      <c r="J2826">
        <v>4.4000000000000004</v>
      </c>
      <c r="K2826" t="s">
        <v>26</v>
      </c>
      <c r="L2826" t="s">
        <v>18</v>
      </c>
      <c r="M2826" t="str">
        <f>VLOOKUP(D2830,Restaurant_Master!A:B,2,FALSE)</f>
        <v>https://media-cdn.tripadvisor.com/media/photo-s/1c/c7/97/b6/photo6jpg.jpg</v>
      </c>
    </row>
    <row r="2827" spans="1:13" x14ac:dyDescent="0.3">
      <c r="A2827" t="s">
        <v>2857</v>
      </c>
      <c r="B2827" s="1">
        <v>45601</v>
      </c>
      <c r="C2827" t="s">
        <v>34</v>
      </c>
      <c r="D2827" t="s">
        <v>32</v>
      </c>
      <c r="E2827">
        <v>33</v>
      </c>
      <c r="F2827" t="s">
        <v>28</v>
      </c>
      <c r="G2827">
        <v>420.5</v>
      </c>
      <c r="H2827">
        <v>51</v>
      </c>
      <c r="I2827" t="s">
        <v>16</v>
      </c>
      <c r="J2827">
        <v>4.5999999999999996</v>
      </c>
      <c r="K2827" t="s">
        <v>26</v>
      </c>
      <c r="L2827" t="s">
        <v>23</v>
      </c>
      <c r="M2827" t="str">
        <f>VLOOKUP(D2831,Restaurant_Master!A:B,2,FALSE)</f>
        <v>https://content.jdmagicbox.com/comp/deoria/g6/9999p5568.5568.200119143033.m4g6/catalogue/biryani-house-deoria-ho-deoria-mktc2xph0o.jpg</v>
      </c>
    </row>
    <row r="2828" spans="1:13" x14ac:dyDescent="0.3">
      <c r="A2828" t="s">
        <v>2858</v>
      </c>
      <c r="B2828" s="1">
        <v>45357</v>
      </c>
      <c r="C2828" t="s">
        <v>36</v>
      </c>
      <c r="D2828" t="s">
        <v>38</v>
      </c>
      <c r="E2828">
        <v>52</v>
      </c>
      <c r="F2828" t="s">
        <v>28</v>
      </c>
      <c r="G2828">
        <v>1136.83</v>
      </c>
      <c r="H2828">
        <v>26</v>
      </c>
      <c r="I2828" t="s">
        <v>22</v>
      </c>
      <c r="J2828">
        <v>3.3</v>
      </c>
      <c r="K2828" t="s">
        <v>26</v>
      </c>
      <c r="L2828" t="s">
        <v>18</v>
      </c>
      <c r="M2828" t="str">
        <f>VLOOKUP(D2832,Restaurant_Master!A:B,2,FALSE)</f>
        <v>https://content.jdmagicbox.com/comp/deoria/g6/9999p5568.5568.200119143033.m4g6/catalogue/biryani-house-deoria-ho-deoria-mktc2xph0o.jpg</v>
      </c>
    </row>
    <row r="2829" spans="1:13" x14ac:dyDescent="0.3">
      <c r="A2829" t="s">
        <v>2859</v>
      </c>
      <c r="B2829" s="1">
        <v>45473</v>
      </c>
      <c r="C2829" t="s">
        <v>34</v>
      </c>
      <c r="D2829" t="s">
        <v>21</v>
      </c>
      <c r="E2829">
        <v>29</v>
      </c>
      <c r="F2829" t="s">
        <v>15</v>
      </c>
      <c r="G2829">
        <v>988.42</v>
      </c>
      <c r="H2829">
        <v>50</v>
      </c>
      <c r="I2829" t="s">
        <v>16</v>
      </c>
      <c r="J2829">
        <v>4</v>
      </c>
      <c r="K2829" t="s">
        <v>17</v>
      </c>
      <c r="L2829" t="s">
        <v>18</v>
      </c>
      <c r="M2829" t="str">
        <f>VLOOKUP(D2833,Restaurant_Master!A:B,2,FALSE)</f>
        <v>https://www.chatswoodinterchange.com/storages/2018/08/Sushi-World_666x448.jpg</v>
      </c>
    </row>
    <row r="2830" spans="1:13" x14ac:dyDescent="0.3">
      <c r="A2830" t="s">
        <v>2860</v>
      </c>
      <c r="B2830" s="1">
        <v>45585</v>
      </c>
      <c r="C2830" t="s">
        <v>20</v>
      </c>
      <c r="D2830" t="s">
        <v>25</v>
      </c>
      <c r="E2830">
        <v>53</v>
      </c>
      <c r="F2830" t="s">
        <v>15</v>
      </c>
      <c r="G2830">
        <v>152.66</v>
      </c>
      <c r="H2830">
        <v>30</v>
      </c>
      <c r="I2830" t="s">
        <v>22</v>
      </c>
      <c r="J2830">
        <v>4.0999999999999996</v>
      </c>
      <c r="K2830" t="s">
        <v>41</v>
      </c>
      <c r="L2830" t="s">
        <v>23</v>
      </c>
      <c r="M2830" t="str">
        <f>VLOOKUP(D2834,Restaurant_Master!A:B,2,FALSE)</f>
        <v>https://www.chatswoodinterchange.com/storages/2018/08/Sushi-World_666x448.jpg</v>
      </c>
    </row>
    <row r="2831" spans="1:13" x14ac:dyDescent="0.3">
      <c r="A2831" t="s">
        <v>2861</v>
      </c>
      <c r="B2831" s="1">
        <v>45386</v>
      </c>
      <c r="C2831" t="s">
        <v>13</v>
      </c>
      <c r="D2831" t="s">
        <v>32</v>
      </c>
      <c r="E2831">
        <v>31</v>
      </c>
      <c r="F2831" t="s">
        <v>28</v>
      </c>
      <c r="G2831">
        <v>429.69</v>
      </c>
      <c r="H2831">
        <v>29</v>
      </c>
      <c r="I2831" t="s">
        <v>22</v>
      </c>
      <c r="J2831">
        <v>2.6</v>
      </c>
      <c r="K2831" t="s">
        <v>17</v>
      </c>
      <c r="L2831" t="s">
        <v>23</v>
      </c>
      <c r="M2831" t="str">
        <f>VLOOKUP(D2835,Restaurant_Master!A:B,2,FALSE)</f>
        <v>https://dynamic-media-cdn.tripadvisor.com/media/photo-o/1c/e7/04/0d/front-of-the-local-easily.jpg</v>
      </c>
    </row>
    <row r="2832" spans="1:13" x14ac:dyDescent="0.3">
      <c r="A2832" t="s">
        <v>2862</v>
      </c>
      <c r="B2832" s="1">
        <v>45476</v>
      </c>
      <c r="C2832" t="s">
        <v>43</v>
      </c>
      <c r="D2832" t="s">
        <v>32</v>
      </c>
      <c r="E2832">
        <v>21</v>
      </c>
      <c r="F2832" t="s">
        <v>28</v>
      </c>
      <c r="G2832">
        <v>741.4</v>
      </c>
      <c r="H2832">
        <v>31</v>
      </c>
      <c r="I2832" t="s">
        <v>22</v>
      </c>
      <c r="J2832">
        <v>2.9</v>
      </c>
      <c r="K2832" t="s">
        <v>29</v>
      </c>
      <c r="L2832" t="s">
        <v>18</v>
      </c>
      <c r="M2832" t="str">
        <f>VLOOKUP(D2836,Restaurant_Master!A:B,2,FALSE)</f>
        <v>https://content.jdmagicbox.com/comp/deoria/g6/9999p5568.5568.200119143033.m4g6/catalogue/biryani-house-deoria-ho-deoria-mktc2xph0o.jpg</v>
      </c>
    </row>
    <row r="2833" spans="1:13" x14ac:dyDescent="0.3">
      <c r="A2833" t="s">
        <v>2863</v>
      </c>
      <c r="B2833" s="1">
        <v>45362</v>
      </c>
      <c r="C2833" t="s">
        <v>13</v>
      </c>
      <c r="D2833" t="s">
        <v>38</v>
      </c>
      <c r="E2833">
        <v>21</v>
      </c>
      <c r="F2833" t="s">
        <v>28</v>
      </c>
      <c r="G2833">
        <v>1080.17</v>
      </c>
      <c r="H2833">
        <v>34</v>
      </c>
      <c r="I2833" t="s">
        <v>22</v>
      </c>
      <c r="J2833">
        <v>4.8</v>
      </c>
      <c r="K2833" t="s">
        <v>17</v>
      </c>
      <c r="L2833" t="s">
        <v>18</v>
      </c>
      <c r="M2833" t="str">
        <f>VLOOKUP(D2837,Restaurant_Master!A:B,2,FALSE)</f>
        <v>https://dineout-media-assets.swiggy.com/swiggy/image/upload/fl_lossy,f_auto,q_auto/v1660793737/fdqxvxcxg1wtdwvyv45v.jpg</v>
      </c>
    </row>
    <row r="2834" spans="1:13" x14ac:dyDescent="0.3">
      <c r="A2834" t="s">
        <v>2864</v>
      </c>
      <c r="B2834" s="1">
        <v>45554</v>
      </c>
      <c r="C2834" t="s">
        <v>13</v>
      </c>
      <c r="D2834" t="s">
        <v>38</v>
      </c>
      <c r="E2834">
        <v>19</v>
      </c>
      <c r="F2834" t="s">
        <v>15</v>
      </c>
      <c r="G2834">
        <v>724.05</v>
      </c>
      <c r="H2834">
        <v>25</v>
      </c>
      <c r="I2834" t="s">
        <v>22</v>
      </c>
      <c r="J2834">
        <v>4.5999999999999996</v>
      </c>
      <c r="K2834" t="s">
        <v>29</v>
      </c>
      <c r="L2834" t="s">
        <v>23</v>
      </c>
      <c r="M2834" t="str">
        <f>VLOOKUP(D2838,Restaurant_Master!A:B,2,FALSE)</f>
        <v>https://dineout-media-assets.swiggy.com/swiggy/image/upload/fl_lossy,f_auto,q_auto/v1660793737/fdqxvxcxg1wtdwvyv45v.jpg</v>
      </c>
    </row>
    <row r="2835" spans="1:13" x14ac:dyDescent="0.3">
      <c r="A2835" t="s">
        <v>2865</v>
      </c>
      <c r="B2835" s="1">
        <v>45470</v>
      </c>
      <c r="C2835" t="s">
        <v>13</v>
      </c>
      <c r="D2835" t="s">
        <v>21</v>
      </c>
      <c r="E2835">
        <v>56</v>
      </c>
      <c r="F2835" t="s">
        <v>15</v>
      </c>
      <c r="G2835">
        <v>767.61</v>
      </c>
      <c r="H2835">
        <v>49</v>
      </c>
      <c r="I2835" t="s">
        <v>16</v>
      </c>
      <c r="J2835">
        <v>2.9</v>
      </c>
      <c r="K2835" t="s">
        <v>26</v>
      </c>
      <c r="L2835" t="s">
        <v>18</v>
      </c>
      <c r="M2835" t="str">
        <f>VLOOKUP(D2839,Restaurant_Master!A:B,2,FALSE)</f>
        <v>https://www.chatswoodinterchange.com/storages/2018/08/Sushi-World_666x448.jpg</v>
      </c>
    </row>
    <row r="2836" spans="1:13" x14ac:dyDescent="0.3">
      <c r="A2836" t="s">
        <v>2866</v>
      </c>
      <c r="B2836" s="1">
        <v>45308</v>
      </c>
      <c r="C2836" t="s">
        <v>13</v>
      </c>
      <c r="D2836" t="s">
        <v>32</v>
      </c>
      <c r="E2836">
        <v>45</v>
      </c>
      <c r="F2836" t="s">
        <v>28</v>
      </c>
      <c r="G2836">
        <v>1039.54</v>
      </c>
      <c r="H2836">
        <v>24</v>
      </c>
      <c r="I2836" t="s">
        <v>22</v>
      </c>
      <c r="J2836">
        <v>4</v>
      </c>
      <c r="K2836" t="s">
        <v>17</v>
      </c>
      <c r="L2836" t="s">
        <v>18</v>
      </c>
      <c r="M2836" t="str">
        <f>VLOOKUP(D2840,Restaurant_Master!A:B,2,FALSE)</f>
        <v>https://dynamic-media-cdn.tripadvisor.com/media/photo-o/1c/e7/04/0d/front-of-the-local-easily.jpg</v>
      </c>
    </row>
    <row r="2837" spans="1:13" x14ac:dyDescent="0.3">
      <c r="A2837" t="s">
        <v>2867</v>
      </c>
      <c r="B2837" s="1">
        <v>45625</v>
      </c>
      <c r="C2837" t="s">
        <v>36</v>
      </c>
      <c r="D2837" t="s">
        <v>14</v>
      </c>
      <c r="E2837">
        <v>21</v>
      </c>
      <c r="F2837" t="s">
        <v>28</v>
      </c>
      <c r="G2837">
        <v>1013.22</v>
      </c>
      <c r="H2837">
        <v>49</v>
      </c>
      <c r="I2837" t="s">
        <v>16</v>
      </c>
      <c r="J2837">
        <v>4</v>
      </c>
      <c r="K2837" t="s">
        <v>17</v>
      </c>
      <c r="L2837" t="s">
        <v>18</v>
      </c>
      <c r="M2837" t="str">
        <f>VLOOKUP(D2841,Restaurant_Master!A:B,2,FALSE)</f>
        <v>https://content.jdmagicbox.com/comp/deoria/g6/9999p5568.5568.200119143033.m4g6/catalogue/biryani-house-deoria-ho-deoria-mktc2xph0o.jpg</v>
      </c>
    </row>
    <row r="2838" spans="1:13" x14ac:dyDescent="0.3">
      <c r="A2838" t="s">
        <v>2868</v>
      </c>
      <c r="B2838" s="1">
        <v>45618</v>
      </c>
      <c r="C2838" t="s">
        <v>34</v>
      </c>
      <c r="D2838" t="s">
        <v>14</v>
      </c>
      <c r="E2838">
        <v>18</v>
      </c>
      <c r="F2838" t="s">
        <v>28</v>
      </c>
      <c r="G2838">
        <v>194.47</v>
      </c>
      <c r="H2838">
        <v>59</v>
      </c>
      <c r="I2838" t="s">
        <v>16</v>
      </c>
      <c r="J2838">
        <v>4.7</v>
      </c>
      <c r="K2838" t="s">
        <v>41</v>
      </c>
      <c r="L2838" t="s">
        <v>18</v>
      </c>
      <c r="M2838" t="str">
        <f>VLOOKUP(D2842,Restaurant_Master!A:B,2,FALSE)</f>
        <v>https://media-cdn.tripadvisor.com/media/photo-s/1c/c7/97/b6/photo6jpg.jpg</v>
      </c>
    </row>
    <row r="2839" spans="1:13" x14ac:dyDescent="0.3">
      <c r="A2839" t="s">
        <v>2869</v>
      </c>
      <c r="B2839" s="1">
        <v>45569</v>
      </c>
      <c r="C2839" t="s">
        <v>34</v>
      </c>
      <c r="D2839" t="s">
        <v>38</v>
      </c>
      <c r="E2839">
        <v>18</v>
      </c>
      <c r="F2839" t="s">
        <v>15</v>
      </c>
      <c r="G2839">
        <v>894.44</v>
      </c>
      <c r="H2839">
        <v>41</v>
      </c>
      <c r="I2839" t="s">
        <v>16</v>
      </c>
      <c r="J2839">
        <v>3.5</v>
      </c>
      <c r="K2839" t="s">
        <v>41</v>
      </c>
      <c r="L2839" t="s">
        <v>18</v>
      </c>
      <c r="M2839" t="str">
        <f>VLOOKUP(D2843,Restaurant_Master!A:B,2,FALSE)</f>
        <v>https://media-cdn.tripadvisor.com/media/photo-s/1c/c7/97/b6/photo6jpg.jpg</v>
      </c>
    </row>
    <row r="2840" spans="1:13" x14ac:dyDescent="0.3">
      <c r="A2840" t="s">
        <v>2870</v>
      </c>
      <c r="B2840" s="1">
        <v>45351</v>
      </c>
      <c r="C2840" t="s">
        <v>36</v>
      </c>
      <c r="D2840" t="s">
        <v>21</v>
      </c>
      <c r="E2840">
        <v>31</v>
      </c>
      <c r="F2840" t="s">
        <v>28</v>
      </c>
      <c r="G2840">
        <v>413.76</v>
      </c>
      <c r="H2840">
        <v>37</v>
      </c>
      <c r="I2840" t="s">
        <v>22</v>
      </c>
      <c r="J2840">
        <v>3.3</v>
      </c>
      <c r="K2840" t="s">
        <v>17</v>
      </c>
      <c r="L2840" t="s">
        <v>23</v>
      </c>
      <c r="M2840" t="str">
        <f>VLOOKUP(D2844,Restaurant_Master!A:B,2,FALSE)</f>
        <v>https://www.chatswoodinterchange.com/storages/2018/08/Sushi-World_666x448.jpg</v>
      </c>
    </row>
    <row r="2841" spans="1:13" x14ac:dyDescent="0.3">
      <c r="A2841" t="s">
        <v>2871</v>
      </c>
      <c r="B2841" s="1">
        <v>45535</v>
      </c>
      <c r="C2841" t="s">
        <v>43</v>
      </c>
      <c r="D2841" t="s">
        <v>32</v>
      </c>
      <c r="E2841">
        <v>24</v>
      </c>
      <c r="F2841" t="s">
        <v>15</v>
      </c>
      <c r="G2841">
        <v>154.54</v>
      </c>
      <c r="H2841">
        <v>60</v>
      </c>
      <c r="I2841" t="s">
        <v>16</v>
      </c>
      <c r="J2841">
        <v>2.7</v>
      </c>
      <c r="K2841" t="s">
        <v>17</v>
      </c>
      <c r="L2841" t="s">
        <v>18</v>
      </c>
      <c r="M2841" t="str">
        <f>VLOOKUP(D2845,Restaurant_Master!A:B,2,FALSE)</f>
        <v>https://media-cdn.tripadvisor.com/media/photo-s/1c/c7/97/b6/photo6jpg.jpg</v>
      </c>
    </row>
    <row r="2842" spans="1:13" x14ac:dyDescent="0.3">
      <c r="A2842" t="s">
        <v>2872</v>
      </c>
      <c r="B2842" s="1">
        <v>45609</v>
      </c>
      <c r="C2842" t="s">
        <v>34</v>
      </c>
      <c r="D2842" t="s">
        <v>25</v>
      </c>
      <c r="E2842">
        <v>56</v>
      </c>
      <c r="F2842" t="s">
        <v>15</v>
      </c>
      <c r="G2842">
        <v>867.3</v>
      </c>
      <c r="H2842">
        <v>59</v>
      </c>
      <c r="I2842" t="s">
        <v>16</v>
      </c>
      <c r="J2842">
        <v>4.3</v>
      </c>
      <c r="K2842" t="s">
        <v>26</v>
      </c>
      <c r="L2842" t="s">
        <v>23</v>
      </c>
      <c r="M2842" t="str">
        <f>VLOOKUP(D2846,Restaurant_Master!A:B,2,FALSE)</f>
        <v>https://content.jdmagicbox.com/comp/deoria/g6/9999p5568.5568.200119143033.m4g6/catalogue/biryani-house-deoria-ho-deoria-mktc2xph0o.jpg</v>
      </c>
    </row>
    <row r="2843" spans="1:13" x14ac:dyDescent="0.3">
      <c r="A2843" t="s">
        <v>2873</v>
      </c>
      <c r="B2843" s="1">
        <v>45292</v>
      </c>
      <c r="C2843" t="s">
        <v>13</v>
      </c>
      <c r="D2843" t="s">
        <v>25</v>
      </c>
      <c r="E2843">
        <v>37</v>
      </c>
      <c r="F2843" t="s">
        <v>15</v>
      </c>
      <c r="G2843">
        <v>1139.6300000000001</v>
      </c>
      <c r="H2843">
        <v>21</v>
      </c>
      <c r="I2843" t="s">
        <v>22</v>
      </c>
      <c r="J2843">
        <v>4</v>
      </c>
      <c r="K2843" t="s">
        <v>29</v>
      </c>
      <c r="L2843" t="s">
        <v>18</v>
      </c>
      <c r="M2843" t="str">
        <f>VLOOKUP(D2847,Restaurant_Master!A:B,2,FALSE)</f>
        <v>https://dineout-media-assets.swiggy.com/swiggy/image/upload/fl_lossy,f_auto,q_auto/v1660793737/fdqxvxcxg1wtdwvyv45v.jpg</v>
      </c>
    </row>
    <row r="2844" spans="1:13" x14ac:dyDescent="0.3">
      <c r="A2844" t="s">
        <v>2874</v>
      </c>
      <c r="B2844" s="1">
        <v>45630</v>
      </c>
      <c r="C2844" t="s">
        <v>36</v>
      </c>
      <c r="D2844" t="s">
        <v>38</v>
      </c>
      <c r="E2844">
        <v>58</v>
      </c>
      <c r="F2844" t="s">
        <v>15</v>
      </c>
      <c r="G2844">
        <v>394.32</v>
      </c>
      <c r="H2844">
        <v>39</v>
      </c>
      <c r="I2844" t="s">
        <v>22</v>
      </c>
      <c r="J2844">
        <v>2.6</v>
      </c>
      <c r="K2844" t="s">
        <v>41</v>
      </c>
      <c r="L2844" t="s">
        <v>18</v>
      </c>
      <c r="M2844" t="str">
        <f>VLOOKUP(D2848,Restaurant_Master!A:B,2,FALSE)</f>
        <v>https://dynamic-media-cdn.tripadvisor.com/media/photo-o/1c/e7/04/0d/front-of-the-local-easily.jpg</v>
      </c>
    </row>
    <row r="2845" spans="1:13" x14ac:dyDescent="0.3">
      <c r="A2845" t="s">
        <v>2875</v>
      </c>
      <c r="B2845" s="1">
        <v>45495</v>
      </c>
      <c r="C2845" t="s">
        <v>43</v>
      </c>
      <c r="D2845" t="s">
        <v>25</v>
      </c>
      <c r="E2845">
        <v>45</v>
      </c>
      <c r="F2845" t="s">
        <v>15</v>
      </c>
      <c r="G2845">
        <v>410.2</v>
      </c>
      <c r="H2845">
        <v>31</v>
      </c>
      <c r="I2845" t="s">
        <v>22</v>
      </c>
      <c r="J2845">
        <v>2.9</v>
      </c>
      <c r="K2845" t="s">
        <v>26</v>
      </c>
      <c r="L2845" t="s">
        <v>23</v>
      </c>
      <c r="M2845" t="str">
        <f>VLOOKUP(D2849,Restaurant_Master!A:B,2,FALSE)</f>
        <v>https://dynamic-media-cdn.tripadvisor.com/media/photo-o/1c/e7/04/0d/front-of-the-local-easily.jpg</v>
      </c>
    </row>
    <row r="2846" spans="1:13" x14ac:dyDescent="0.3">
      <c r="A2846" t="s">
        <v>2876</v>
      </c>
      <c r="B2846" s="1">
        <v>45496</v>
      </c>
      <c r="C2846" t="s">
        <v>43</v>
      </c>
      <c r="D2846" t="s">
        <v>32</v>
      </c>
      <c r="E2846">
        <v>22</v>
      </c>
      <c r="F2846" t="s">
        <v>28</v>
      </c>
      <c r="G2846">
        <v>382.51</v>
      </c>
      <c r="H2846">
        <v>43</v>
      </c>
      <c r="I2846" t="s">
        <v>16</v>
      </c>
      <c r="J2846">
        <v>3.3</v>
      </c>
      <c r="K2846" t="s">
        <v>41</v>
      </c>
      <c r="L2846" t="s">
        <v>23</v>
      </c>
      <c r="M2846" t="str">
        <f>VLOOKUP(D2850,Restaurant_Master!A:B,2,FALSE)</f>
        <v>https://dineout-media-assets.swiggy.com/swiggy/image/upload/fl_lossy,f_auto,q_auto/v1660793737/fdqxvxcxg1wtdwvyv45v.jpg</v>
      </c>
    </row>
    <row r="2847" spans="1:13" x14ac:dyDescent="0.3">
      <c r="A2847" t="s">
        <v>2877</v>
      </c>
      <c r="B2847" s="1">
        <v>45533</v>
      </c>
      <c r="C2847" t="s">
        <v>13</v>
      </c>
      <c r="D2847" t="s">
        <v>14</v>
      </c>
      <c r="E2847">
        <v>39</v>
      </c>
      <c r="F2847" t="s">
        <v>28</v>
      </c>
      <c r="G2847">
        <v>879.9</v>
      </c>
      <c r="H2847">
        <v>34</v>
      </c>
      <c r="I2847" t="s">
        <v>22</v>
      </c>
      <c r="J2847">
        <v>2.9</v>
      </c>
      <c r="K2847" t="s">
        <v>41</v>
      </c>
      <c r="L2847" t="s">
        <v>18</v>
      </c>
      <c r="M2847" t="str">
        <f>VLOOKUP(D2851,Restaurant_Master!A:B,2,FALSE)</f>
        <v>https://dynamic-media-cdn.tripadvisor.com/media/photo-o/1c/e7/04/0d/front-of-the-local-easily.jpg</v>
      </c>
    </row>
    <row r="2848" spans="1:13" x14ac:dyDescent="0.3">
      <c r="A2848" t="s">
        <v>2878</v>
      </c>
      <c r="B2848" s="1">
        <v>45300</v>
      </c>
      <c r="C2848" t="s">
        <v>13</v>
      </c>
      <c r="D2848" t="s">
        <v>21</v>
      </c>
      <c r="E2848">
        <v>30</v>
      </c>
      <c r="F2848" t="s">
        <v>15</v>
      </c>
      <c r="G2848">
        <v>872.43</v>
      </c>
      <c r="H2848">
        <v>52</v>
      </c>
      <c r="I2848" t="s">
        <v>16</v>
      </c>
      <c r="J2848">
        <v>3</v>
      </c>
      <c r="K2848" t="s">
        <v>29</v>
      </c>
      <c r="L2848" t="s">
        <v>18</v>
      </c>
      <c r="M2848" t="str">
        <f>VLOOKUP(D2852,Restaurant_Master!A:B,2,FALSE)</f>
        <v>https://dynamic-media-cdn.tripadvisor.com/media/photo-o/1c/e7/04/0d/front-of-the-local-easily.jpg</v>
      </c>
    </row>
    <row r="2849" spans="1:13" x14ac:dyDescent="0.3">
      <c r="A2849" t="s">
        <v>2879</v>
      </c>
      <c r="B2849" s="1">
        <v>45381</v>
      </c>
      <c r="C2849" t="s">
        <v>43</v>
      </c>
      <c r="D2849" t="s">
        <v>21</v>
      </c>
      <c r="E2849">
        <v>22</v>
      </c>
      <c r="F2849" t="s">
        <v>28</v>
      </c>
      <c r="G2849">
        <v>428.34</v>
      </c>
      <c r="H2849">
        <v>33</v>
      </c>
      <c r="I2849" t="s">
        <v>22</v>
      </c>
      <c r="J2849">
        <v>3.2</v>
      </c>
      <c r="K2849" t="s">
        <v>41</v>
      </c>
      <c r="L2849" t="s">
        <v>23</v>
      </c>
      <c r="M2849" t="str">
        <f>VLOOKUP(D2853,Restaurant_Master!A:B,2,FALSE)</f>
        <v>https://media-cdn.tripadvisor.com/media/photo-s/1c/c7/97/b6/photo6jpg.jpg</v>
      </c>
    </row>
    <row r="2850" spans="1:13" x14ac:dyDescent="0.3">
      <c r="A2850" t="s">
        <v>2880</v>
      </c>
      <c r="B2850" s="1">
        <v>45320</v>
      </c>
      <c r="C2850" t="s">
        <v>13</v>
      </c>
      <c r="D2850" t="s">
        <v>14</v>
      </c>
      <c r="E2850">
        <v>20</v>
      </c>
      <c r="F2850" t="s">
        <v>15</v>
      </c>
      <c r="G2850">
        <v>322.93</v>
      </c>
      <c r="H2850">
        <v>22</v>
      </c>
      <c r="I2850" t="s">
        <v>22</v>
      </c>
      <c r="J2850">
        <v>3.3</v>
      </c>
      <c r="K2850" t="s">
        <v>41</v>
      </c>
      <c r="L2850" t="s">
        <v>18</v>
      </c>
      <c r="M2850" t="str">
        <f>VLOOKUP(D2854,Restaurant_Master!A:B,2,FALSE)</f>
        <v>https://media-cdn.tripadvisor.com/media/photo-s/1c/c7/97/b6/photo6jpg.jpg</v>
      </c>
    </row>
    <row r="2851" spans="1:13" x14ac:dyDescent="0.3">
      <c r="A2851" t="s">
        <v>2881</v>
      </c>
      <c r="B2851" s="1">
        <v>45460</v>
      </c>
      <c r="C2851" t="s">
        <v>20</v>
      </c>
      <c r="D2851" t="s">
        <v>21</v>
      </c>
      <c r="E2851">
        <v>55</v>
      </c>
      <c r="F2851" t="s">
        <v>15</v>
      </c>
      <c r="G2851">
        <v>559.96</v>
      </c>
      <c r="H2851">
        <v>36</v>
      </c>
      <c r="I2851" t="s">
        <v>22</v>
      </c>
      <c r="J2851">
        <v>2.5</v>
      </c>
      <c r="K2851" t="s">
        <v>17</v>
      </c>
      <c r="L2851" t="s">
        <v>23</v>
      </c>
      <c r="M2851" t="str">
        <f>VLOOKUP(D2855,Restaurant_Master!A:B,2,FALSE)</f>
        <v>https://media-cdn.tripadvisor.com/media/photo-s/1c/c7/97/b6/photo6jpg.jpg</v>
      </c>
    </row>
    <row r="2852" spans="1:13" x14ac:dyDescent="0.3">
      <c r="A2852" t="s">
        <v>2882</v>
      </c>
      <c r="B2852" s="1">
        <v>45626</v>
      </c>
      <c r="C2852" t="s">
        <v>34</v>
      </c>
      <c r="D2852" t="s">
        <v>21</v>
      </c>
      <c r="E2852">
        <v>29</v>
      </c>
      <c r="F2852" t="s">
        <v>15</v>
      </c>
      <c r="G2852">
        <v>950.7</v>
      </c>
      <c r="H2852">
        <v>31</v>
      </c>
      <c r="I2852" t="s">
        <v>22</v>
      </c>
      <c r="J2852">
        <v>4</v>
      </c>
      <c r="K2852" t="s">
        <v>29</v>
      </c>
      <c r="L2852" t="s">
        <v>18</v>
      </c>
      <c r="M2852" t="str">
        <f>VLOOKUP(D2856,Restaurant_Master!A:B,2,FALSE)</f>
        <v>https://dineout-media-assets.swiggy.com/swiggy/image/upload/fl_lossy,f_auto,q_auto/v1660793737/fdqxvxcxg1wtdwvyv45v.jpg</v>
      </c>
    </row>
    <row r="2853" spans="1:13" x14ac:dyDescent="0.3">
      <c r="A2853" t="s">
        <v>2883</v>
      </c>
      <c r="B2853" s="1">
        <v>45432</v>
      </c>
      <c r="C2853" t="s">
        <v>34</v>
      </c>
      <c r="D2853" t="s">
        <v>25</v>
      </c>
      <c r="E2853">
        <v>49</v>
      </c>
      <c r="F2853" t="s">
        <v>15</v>
      </c>
      <c r="G2853">
        <v>1024.23</v>
      </c>
      <c r="H2853">
        <v>38</v>
      </c>
      <c r="I2853" t="s">
        <v>22</v>
      </c>
      <c r="J2853">
        <v>3.2</v>
      </c>
      <c r="K2853" t="s">
        <v>17</v>
      </c>
      <c r="L2853" t="s">
        <v>18</v>
      </c>
      <c r="M2853" t="str">
        <f>VLOOKUP(D2857,Restaurant_Master!A:B,2,FALSE)</f>
        <v>https://dineout-media-assets.swiggy.com/swiggy/image/upload/fl_lossy,f_auto,q_auto/v1660793737/fdqxvxcxg1wtdwvyv45v.jpg</v>
      </c>
    </row>
    <row r="2854" spans="1:13" x14ac:dyDescent="0.3">
      <c r="A2854" t="s">
        <v>2884</v>
      </c>
      <c r="B2854" s="1">
        <v>45314</v>
      </c>
      <c r="C2854" t="s">
        <v>34</v>
      </c>
      <c r="D2854" t="s">
        <v>25</v>
      </c>
      <c r="E2854">
        <v>28</v>
      </c>
      <c r="F2854" t="s">
        <v>28</v>
      </c>
      <c r="G2854">
        <v>1146.43</v>
      </c>
      <c r="H2854">
        <v>22</v>
      </c>
      <c r="I2854" t="s">
        <v>22</v>
      </c>
      <c r="J2854">
        <v>3.5</v>
      </c>
      <c r="K2854" t="s">
        <v>17</v>
      </c>
      <c r="L2854" t="s">
        <v>18</v>
      </c>
      <c r="M2854" t="str">
        <f>VLOOKUP(D2858,Restaurant_Master!A:B,2,FALSE)</f>
        <v>https://media-cdn.tripadvisor.com/media/photo-s/1c/c7/97/b6/photo6jpg.jpg</v>
      </c>
    </row>
    <row r="2855" spans="1:13" x14ac:dyDescent="0.3">
      <c r="A2855" t="s">
        <v>2885</v>
      </c>
      <c r="B2855" s="1">
        <v>45454</v>
      </c>
      <c r="C2855" t="s">
        <v>13</v>
      </c>
      <c r="D2855" t="s">
        <v>25</v>
      </c>
      <c r="E2855">
        <v>27</v>
      </c>
      <c r="F2855" t="s">
        <v>15</v>
      </c>
      <c r="G2855">
        <v>1170.95</v>
      </c>
      <c r="H2855">
        <v>42</v>
      </c>
      <c r="I2855" t="s">
        <v>16</v>
      </c>
      <c r="J2855">
        <v>3</v>
      </c>
      <c r="K2855" t="s">
        <v>29</v>
      </c>
      <c r="L2855" t="s">
        <v>23</v>
      </c>
      <c r="M2855" t="str">
        <f>VLOOKUP(D2859,Restaurant_Master!A:B,2,FALSE)</f>
        <v>https://www.chatswoodinterchange.com/storages/2018/08/Sushi-World_666x448.jpg</v>
      </c>
    </row>
    <row r="2856" spans="1:13" x14ac:dyDescent="0.3">
      <c r="A2856" t="s">
        <v>2886</v>
      </c>
      <c r="B2856" s="1">
        <v>45521</v>
      </c>
      <c r="C2856" t="s">
        <v>13</v>
      </c>
      <c r="D2856" t="s">
        <v>14</v>
      </c>
      <c r="E2856">
        <v>34</v>
      </c>
      <c r="F2856" t="s">
        <v>15</v>
      </c>
      <c r="G2856">
        <v>195.87</v>
      </c>
      <c r="H2856">
        <v>36</v>
      </c>
      <c r="I2856" t="s">
        <v>22</v>
      </c>
      <c r="J2856">
        <v>3.9</v>
      </c>
      <c r="K2856" t="s">
        <v>17</v>
      </c>
      <c r="L2856" t="s">
        <v>18</v>
      </c>
      <c r="M2856" t="str">
        <f>VLOOKUP(D2860,Restaurant_Master!A:B,2,FALSE)</f>
        <v>https://dynamic-media-cdn.tripadvisor.com/media/photo-o/1c/e7/04/0d/front-of-the-local-easily.jpg</v>
      </c>
    </row>
    <row r="2857" spans="1:13" x14ac:dyDescent="0.3">
      <c r="A2857" t="s">
        <v>2887</v>
      </c>
      <c r="B2857" s="1">
        <v>45603</v>
      </c>
      <c r="C2857" t="s">
        <v>20</v>
      </c>
      <c r="D2857" t="s">
        <v>14</v>
      </c>
      <c r="E2857">
        <v>45</v>
      </c>
      <c r="F2857" t="s">
        <v>15</v>
      </c>
      <c r="G2857">
        <v>422.61</v>
      </c>
      <c r="H2857">
        <v>21</v>
      </c>
      <c r="I2857" t="s">
        <v>22</v>
      </c>
      <c r="J2857">
        <v>3.5</v>
      </c>
      <c r="K2857" t="s">
        <v>26</v>
      </c>
      <c r="L2857" t="s">
        <v>23</v>
      </c>
      <c r="M2857" t="str">
        <f>VLOOKUP(D2861,Restaurant_Master!A:B,2,FALSE)</f>
        <v>https://content.jdmagicbox.com/comp/deoria/g6/9999p5568.5568.200119143033.m4g6/catalogue/biryani-house-deoria-ho-deoria-mktc2xph0o.jpg</v>
      </c>
    </row>
    <row r="2858" spans="1:13" x14ac:dyDescent="0.3">
      <c r="A2858" t="s">
        <v>2888</v>
      </c>
      <c r="B2858" s="1">
        <v>45475</v>
      </c>
      <c r="C2858" t="s">
        <v>13</v>
      </c>
      <c r="D2858" t="s">
        <v>25</v>
      </c>
      <c r="E2858">
        <v>51</v>
      </c>
      <c r="F2858" t="s">
        <v>28</v>
      </c>
      <c r="G2858">
        <v>266.01</v>
      </c>
      <c r="H2858">
        <v>33</v>
      </c>
      <c r="I2858" t="s">
        <v>22</v>
      </c>
      <c r="J2858">
        <v>4.8</v>
      </c>
      <c r="K2858" t="s">
        <v>29</v>
      </c>
      <c r="L2858" t="s">
        <v>23</v>
      </c>
      <c r="M2858" t="str">
        <f>VLOOKUP(D2862,Restaurant_Master!A:B,2,FALSE)</f>
        <v>https://dineout-media-assets.swiggy.com/swiggy/image/upload/fl_lossy,f_auto,q_auto/v1660793737/fdqxvxcxg1wtdwvyv45v.jpg</v>
      </c>
    </row>
    <row r="2859" spans="1:13" x14ac:dyDescent="0.3">
      <c r="A2859" t="s">
        <v>2889</v>
      </c>
      <c r="B2859" s="1">
        <v>45598</v>
      </c>
      <c r="C2859" t="s">
        <v>20</v>
      </c>
      <c r="D2859" t="s">
        <v>38</v>
      </c>
      <c r="E2859">
        <v>58</v>
      </c>
      <c r="F2859" t="s">
        <v>15</v>
      </c>
      <c r="G2859">
        <v>327.32</v>
      </c>
      <c r="H2859">
        <v>48</v>
      </c>
      <c r="I2859" t="s">
        <v>16</v>
      </c>
      <c r="J2859">
        <v>3.1</v>
      </c>
      <c r="K2859" t="s">
        <v>26</v>
      </c>
      <c r="L2859" t="s">
        <v>18</v>
      </c>
      <c r="M2859" t="str">
        <f>VLOOKUP(D2863,Restaurant_Master!A:B,2,FALSE)</f>
        <v>https://www.chatswoodinterchange.com/storages/2018/08/Sushi-World_666x448.jpg</v>
      </c>
    </row>
    <row r="2860" spans="1:13" x14ac:dyDescent="0.3">
      <c r="A2860" t="s">
        <v>2890</v>
      </c>
      <c r="B2860" s="1">
        <v>45294</v>
      </c>
      <c r="C2860" t="s">
        <v>13</v>
      </c>
      <c r="D2860" t="s">
        <v>21</v>
      </c>
      <c r="E2860">
        <v>41</v>
      </c>
      <c r="F2860" t="s">
        <v>28</v>
      </c>
      <c r="G2860">
        <v>273.98</v>
      </c>
      <c r="H2860">
        <v>38</v>
      </c>
      <c r="I2860" t="s">
        <v>22</v>
      </c>
      <c r="J2860">
        <v>4</v>
      </c>
      <c r="K2860" t="s">
        <v>41</v>
      </c>
      <c r="L2860" t="s">
        <v>18</v>
      </c>
      <c r="M2860" t="str">
        <f>VLOOKUP(D2864,Restaurant_Master!A:B,2,FALSE)</f>
        <v>https://content.jdmagicbox.com/comp/deoria/g6/9999p5568.5568.200119143033.m4g6/catalogue/biryani-house-deoria-ho-deoria-mktc2xph0o.jpg</v>
      </c>
    </row>
    <row r="2861" spans="1:13" x14ac:dyDescent="0.3">
      <c r="A2861" t="s">
        <v>2891</v>
      </c>
      <c r="B2861" s="1">
        <v>45617</v>
      </c>
      <c r="C2861" t="s">
        <v>34</v>
      </c>
      <c r="D2861" t="s">
        <v>32</v>
      </c>
      <c r="E2861">
        <v>18</v>
      </c>
      <c r="F2861" t="s">
        <v>15</v>
      </c>
      <c r="G2861">
        <v>1038.96</v>
      </c>
      <c r="H2861">
        <v>21</v>
      </c>
      <c r="I2861" t="s">
        <v>22</v>
      </c>
      <c r="J2861">
        <v>3.3</v>
      </c>
      <c r="K2861" t="s">
        <v>29</v>
      </c>
      <c r="L2861" t="s">
        <v>23</v>
      </c>
      <c r="M2861" t="str">
        <f>VLOOKUP(D2865,Restaurant_Master!A:B,2,FALSE)</f>
        <v>https://media-cdn.tripadvisor.com/media/photo-s/1c/c7/97/b6/photo6jpg.jpg</v>
      </c>
    </row>
    <row r="2862" spans="1:13" x14ac:dyDescent="0.3">
      <c r="A2862" t="s">
        <v>2892</v>
      </c>
      <c r="B2862" s="1">
        <v>45501</v>
      </c>
      <c r="C2862" t="s">
        <v>36</v>
      </c>
      <c r="D2862" t="s">
        <v>14</v>
      </c>
      <c r="E2862">
        <v>38</v>
      </c>
      <c r="F2862" t="s">
        <v>28</v>
      </c>
      <c r="G2862">
        <v>283.85000000000002</v>
      </c>
      <c r="H2862">
        <v>24</v>
      </c>
      <c r="I2862" t="s">
        <v>22</v>
      </c>
      <c r="J2862">
        <v>2.7</v>
      </c>
      <c r="K2862" t="s">
        <v>26</v>
      </c>
      <c r="L2862" t="s">
        <v>23</v>
      </c>
      <c r="M2862" t="str">
        <f>VLOOKUP(D2866,Restaurant_Master!A:B,2,FALSE)</f>
        <v>https://www.chatswoodinterchange.com/storages/2018/08/Sushi-World_666x448.jpg</v>
      </c>
    </row>
    <row r="2863" spans="1:13" x14ac:dyDescent="0.3">
      <c r="A2863" t="s">
        <v>2893</v>
      </c>
      <c r="B2863" s="1">
        <v>45483</v>
      </c>
      <c r="C2863" t="s">
        <v>13</v>
      </c>
      <c r="D2863" t="s">
        <v>38</v>
      </c>
      <c r="E2863">
        <v>23</v>
      </c>
      <c r="F2863" t="s">
        <v>15</v>
      </c>
      <c r="G2863">
        <v>185.63</v>
      </c>
      <c r="H2863">
        <v>52</v>
      </c>
      <c r="I2863" t="s">
        <v>16</v>
      </c>
      <c r="J2863">
        <v>4</v>
      </c>
      <c r="K2863" t="s">
        <v>41</v>
      </c>
      <c r="L2863" t="s">
        <v>18</v>
      </c>
      <c r="M2863" t="str">
        <f>VLOOKUP(D2867,Restaurant_Master!A:B,2,FALSE)</f>
        <v>https://dineout-media-assets.swiggy.com/swiggy/image/upload/fl_lossy,f_auto,q_auto/v1660793737/fdqxvxcxg1wtdwvyv45v.jpg</v>
      </c>
    </row>
    <row r="2864" spans="1:13" x14ac:dyDescent="0.3">
      <c r="A2864" t="s">
        <v>2894</v>
      </c>
      <c r="B2864" s="1">
        <v>45299</v>
      </c>
      <c r="C2864" t="s">
        <v>34</v>
      </c>
      <c r="D2864" t="s">
        <v>32</v>
      </c>
      <c r="E2864">
        <v>31</v>
      </c>
      <c r="F2864" t="s">
        <v>28</v>
      </c>
      <c r="G2864">
        <v>708.42</v>
      </c>
      <c r="H2864">
        <v>45</v>
      </c>
      <c r="I2864" t="s">
        <v>16</v>
      </c>
      <c r="J2864">
        <v>3.7</v>
      </c>
      <c r="K2864" t="s">
        <v>17</v>
      </c>
      <c r="L2864" t="s">
        <v>23</v>
      </c>
      <c r="M2864" t="str">
        <f>VLOOKUP(D2868,Restaurant_Master!A:B,2,FALSE)</f>
        <v>https://www.chatswoodinterchange.com/storages/2018/08/Sushi-World_666x448.jpg</v>
      </c>
    </row>
    <row r="2865" spans="1:13" x14ac:dyDescent="0.3">
      <c r="A2865" t="s">
        <v>2895</v>
      </c>
      <c r="B2865" s="1">
        <v>45397</v>
      </c>
      <c r="C2865" t="s">
        <v>34</v>
      </c>
      <c r="D2865" t="s">
        <v>25</v>
      </c>
      <c r="E2865">
        <v>53</v>
      </c>
      <c r="F2865" t="s">
        <v>28</v>
      </c>
      <c r="G2865">
        <v>1158.8699999999999</v>
      </c>
      <c r="H2865">
        <v>47</v>
      </c>
      <c r="I2865" t="s">
        <v>16</v>
      </c>
      <c r="J2865">
        <v>2.8</v>
      </c>
      <c r="K2865" t="s">
        <v>29</v>
      </c>
      <c r="L2865" t="s">
        <v>18</v>
      </c>
      <c r="M2865" t="str">
        <f>VLOOKUP(D2869,Restaurant_Master!A:B,2,FALSE)</f>
        <v>https://dineout-media-assets.swiggy.com/swiggy/image/upload/fl_lossy,f_auto,q_auto/v1660793737/fdqxvxcxg1wtdwvyv45v.jpg</v>
      </c>
    </row>
    <row r="2866" spans="1:13" x14ac:dyDescent="0.3">
      <c r="A2866" t="s">
        <v>2896</v>
      </c>
      <c r="B2866" s="1">
        <v>45617</v>
      </c>
      <c r="C2866" t="s">
        <v>36</v>
      </c>
      <c r="D2866" t="s">
        <v>38</v>
      </c>
      <c r="E2866">
        <v>37</v>
      </c>
      <c r="F2866" t="s">
        <v>15</v>
      </c>
      <c r="G2866">
        <v>408.71</v>
      </c>
      <c r="H2866">
        <v>28</v>
      </c>
      <c r="I2866" t="s">
        <v>22</v>
      </c>
      <c r="J2866">
        <v>4.2</v>
      </c>
      <c r="K2866" t="s">
        <v>29</v>
      </c>
      <c r="L2866" t="s">
        <v>18</v>
      </c>
      <c r="M2866" t="str">
        <f>VLOOKUP(D2870,Restaurant_Master!A:B,2,FALSE)</f>
        <v>https://media-cdn.tripadvisor.com/media/photo-s/1c/c7/97/b6/photo6jpg.jpg</v>
      </c>
    </row>
    <row r="2867" spans="1:13" x14ac:dyDescent="0.3">
      <c r="A2867" t="s">
        <v>2897</v>
      </c>
      <c r="B2867" s="1">
        <v>45313</v>
      </c>
      <c r="C2867" t="s">
        <v>34</v>
      </c>
      <c r="D2867" t="s">
        <v>14</v>
      </c>
      <c r="E2867">
        <v>21</v>
      </c>
      <c r="F2867" t="s">
        <v>28</v>
      </c>
      <c r="G2867">
        <v>1036.01</v>
      </c>
      <c r="H2867">
        <v>55</v>
      </c>
      <c r="I2867" t="s">
        <v>16</v>
      </c>
      <c r="J2867">
        <v>5</v>
      </c>
      <c r="K2867" t="s">
        <v>26</v>
      </c>
      <c r="L2867" t="s">
        <v>18</v>
      </c>
      <c r="M2867" t="str">
        <f>VLOOKUP(D2871,Restaurant_Master!A:B,2,FALSE)</f>
        <v>https://dynamic-media-cdn.tripadvisor.com/media/photo-o/1c/e7/04/0d/front-of-the-local-easily.jpg</v>
      </c>
    </row>
    <row r="2868" spans="1:13" x14ac:dyDescent="0.3">
      <c r="A2868" t="s">
        <v>2898</v>
      </c>
      <c r="B2868" s="1">
        <v>45567</v>
      </c>
      <c r="C2868" t="s">
        <v>43</v>
      </c>
      <c r="D2868" t="s">
        <v>38</v>
      </c>
      <c r="E2868">
        <v>52</v>
      </c>
      <c r="F2868" t="s">
        <v>15</v>
      </c>
      <c r="G2868">
        <v>415.25</v>
      </c>
      <c r="H2868">
        <v>35</v>
      </c>
      <c r="I2868" t="s">
        <v>22</v>
      </c>
      <c r="J2868">
        <v>3.2</v>
      </c>
      <c r="K2868" t="s">
        <v>26</v>
      </c>
      <c r="L2868" t="s">
        <v>18</v>
      </c>
      <c r="M2868" t="str">
        <f>VLOOKUP(D2872,Restaurant_Master!A:B,2,FALSE)</f>
        <v>https://content.jdmagicbox.com/comp/deoria/g6/9999p5568.5568.200119143033.m4g6/catalogue/biryani-house-deoria-ho-deoria-mktc2xph0o.jpg</v>
      </c>
    </row>
    <row r="2869" spans="1:13" x14ac:dyDescent="0.3">
      <c r="A2869" t="s">
        <v>2899</v>
      </c>
      <c r="B2869" s="1">
        <v>45633</v>
      </c>
      <c r="C2869" t="s">
        <v>34</v>
      </c>
      <c r="D2869" t="s">
        <v>14</v>
      </c>
      <c r="E2869">
        <v>20</v>
      </c>
      <c r="F2869" t="s">
        <v>15</v>
      </c>
      <c r="G2869">
        <v>1151.82</v>
      </c>
      <c r="H2869">
        <v>49</v>
      </c>
      <c r="I2869" t="s">
        <v>16</v>
      </c>
      <c r="J2869">
        <v>3.6</v>
      </c>
      <c r="K2869" t="s">
        <v>29</v>
      </c>
      <c r="L2869" t="s">
        <v>23</v>
      </c>
      <c r="M2869" t="str">
        <f>VLOOKUP(D2873,Restaurant_Master!A:B,2,FALSE)</f>
        <v>https://media-cdn.tripadvisor.com/media/photo-s/1c/c7/97/b6/photo6jpg.jpg</v>
      </c>
    </row>
    <row r="2870" spans="1:13" x14ac:dyDescent="0.3">
      <c r="A2870" t="s">
        <v>2900</v>
      </c>
      <c r="B2870" s="1">
        <v>45539</v>
      </c>
      <c r="C2870" t="s">
        <v>36</v>
      </c>
      <c r="D2870" t="s">
        <v>25</v>
      </c>
      <c r="E2870">
        <v>37</v>
      </c>
      <c r="F2870" t="s">
        <v>15</v>
      </c>
      <c r="G2870">
        <v>343.41</v>
      </c>
      <c r="H2870">
        <v>27</v>
      </c>
      <c r="I2870" t="s">
        <v>22</v>
      </c>
      <c r="J2870">
        <v>4.9000000000000004</v>
      </c>
      <c r="K2870" t="s">
        <v>26</v>
      </c>
      <c r="L2870" t="s">
        <v>18</v>
      </c>
      <c r="M2870" t="str">
        <f>VLOOKUP(D2874,Restaurant_Master!A:B,2,FALSE)</f>
        <v>https://dynamic-media-cdn.tripadvisor.com/media/photo-o/1c/e7/04/0d/front-of-the-local-easily.jpg</v>
      </c>
    </row>
    <row r="2871" spans="1:13" x14ac:dyDescent="0.3">
      <c r="A2871" t="s">
        <v>2901</v>
      </c>
      <c r="B2871" s="1">
        <v>45322</v>
      </c>
      <c r="C2871" t="s">
        <v>36</v>
      </c>
      <c r="D2871" t="s">
        <v>21</v>
      </c>
      <c r="E2871">
        <v>21</v>
      </c>
      <c r="F2871" t="s">
        <v>28</v>
      </c>
      <c r="G2871">
        <v>550.16999999999996</v>
      </c>
      <c r="H2871">
        <v>53</v>
      </c>
      <c r="I2871" t="s">
        <v>16</v>
      </c>
      <c r="J2871">
        <v>3.2</v>
      </c>
      <c r="K2871" t="s">
        <v>29</v>
      </c>
      <c r="L2871" t="s">
        <v>18</v>
      </c>
      <c r="M2871" t="str">
        <f>VLOOKUP(D2875,Restaurant_Master!A:B,2,FALSE)</f>
        <v>https://www.chatswoodinterchange.com/storages/2018/08/Sushi-World_666x448.jpg</v>
      </c>
    </row>
    <row r="2872" spans="1:13" x14ac:dyDescent="0.3">
      <c r="A2872" t="s">
        <v>2902</v>
      </c>
      <c r="B2872" s="1">
        <v>45403</v>
      </c>
      <c r="C2872" t="s">
        <v>20</v>
      </c>
      <c r="D2872" t="s">
        <v>32</v>
      </c>
      <c r="E2872">
        <v>54</v>
      </c>
      <c r="F2872" t="s">
        <v>15</v>
      </c>
      <c r="G2872">
        <v>651.15</v>
      </c>
      <c r="H2872">
        <v>44</v>
      </c>
      <c r="I2872" t="s">
        <v>16</v>
      </c>
      <c r="J2872">
        <v>4.7</v>
      </c>
      <c r="K2872" t="s">
        <v>17</v>
      </c>
      <c r="L2872" t="s">
        <v>23</v>
      </c>
      <c r="M2872" t="str">
        <f>VLOOKUP(D2876,Restaurant_Master!A:B,2,FALSE)</f>
        <v>https://dineout-media-assets.swiggy.com/swiggy/image/upload/fl_lossy,f_auto,q_auto/v1660793737/fdqxvxcxg1wtdwvyv45v.jpg</v>
      </c>
    </row>
    <row r="2873" spans="1:13" x14ac:dyDescent="0.3">
      <c r="A2873" t="s">
        <v>2903</v>
      </c>
      <c r="B2873" s="1">
        <v>45542</v>
      </c>
      <c r="C2873" t="s">
        <v>36</v>
      </c>
      <c r="D2873" t="s">
        <v>25</v>
      </c>
      <c r="E2873">
        <v>37</v>
      </c>
      <c r="F2873" t="s">
        <v>15</v>
      </c>
      <c r="G2873">
        <v>1121.77</v>
      </c>
      <c r="H2873">
        <v>58</v>
      </c>
      <c r="I2873" t="s">
        <v>16</v>
      </c>
      <c r="J2873">
        <v>2.7</v>
      </c>
      <c r="K2873" t="s">
        <v>17</v>
      </c>
      <c r="L2873" t="s">
        <v>23</v>
      </c>
      <c r="M2873" t="str">
        <f>VLOOKUP(D2877,Restaurant_Master!A:B,2,FALSE)</f>
        <v>https://media-cdn.tripadvisor.com/media/photo-s/1c/c7/97/b6/photo6jpg.jpg</v>
      </c>
    </row>
    <row r="2874" spans="1:13" x14ac:dyDescent="0.3">
      <c r="A2874" t="s">
        <v>2904</v>
      </c>
      <c r="B2874" s="1">
        <v>45302</v>
      </c>
      <c r="C2874" t="s">
        <v>43</v>
      </c>
      <c r="D2874" t="s">
        <v>21</v>
      </c>
      <c r="E2874">
        <v>21</v>
      </c>
      <c r="F2874" t="s">
        <v>15</v>
      </c>
      <c r="G2874">
        <v>291.41000000000003</v>
      </c>
      <c r="H2874">
        <v>58</v>
      </c>
      <c r="I2874" t="s">
        <v>16</v>
      </c>
      <c r="J2874">
        <v>3</v>
      </c>
      <c r="K2874" t="s">
        <v>17</v>
      </c>
      <c r="L2874" t="s">
        <v>18</v>
      </c>
      <c r="M2874" t="str">
        <f>VLOOKUP(D2878,Restaurant_Master!A:B,2,FALSE)</f>
        <v>https://www.chatswoodinterchange.com/storages/2018/08/Sushi-World_666x448.jpg</v>
      </c>
    </row>
    <row r="2875" spans="1:13" x14ac:dyDescent="0.3">
      <c r="A2875" t="s">
        <v>2905</v>
      </c>
      <c r="B2875" s="1">
        <v>45646</v>
      </c>
      <c r="C2875" t="s">
        <v>20</v>
      </c>
      <c r="D2875" t="s">
        <v>38</v>
      </c>
      <c r="E2875">
        <v>35</v>
      </c>
      <c r="F2875" t="s">
        <v>15</v>
      </c>
      <c r="G2875">
        <v>803.61</v>
      </c>
      <c r="H2875">
        <v>34</v>
      </c>
      <c r="I2875" t="s">
        <v>22</v>
      </c>
      <c r="J2875">
        <v>3.8</v>
      </c>
      <c r="K2875" t="s">
        <v>26</v>
      </c>
      <c r="L2875" t="s">
        <v>23</v>
      </c>
      <c r="M2875" t="str">
        <f>VLOOKUP(D2879,Restaurant_Master!A:B,2,FALSE)</f>
        <v>https://www.chatswoodinterchange.com/storages/2018/08/Sushi-World_666x448.jpg</v>
      </c>
    </row>
    <row r="2876" spans="1:13" x14ac:dyDescent="0.3">
      <c r="A2876" t="s">
        <v>2906</v>
      </c>
      <c r="B2876" s="1">
        <v>45578</v>
      </c>
      <c r="C2876" t="s">
        <v>20</v>
      </c>
      <c r="D2876" t="s">
        <v>14</v>
      </c>
      <c r="E2876">
        <v>56</v>
      </c>
      <c r="F2876" t="s">
        <v>15</v>
      </c>
      <c r="G2876">
        <v>232.25</v>
      </c>
      <c r="H2876">
        <v>57</v>
      </c>
      <c r="I2876" t="s">
        <v>16</v>
      </c>
      <c r="J2876">
        <v>4.5999999999999996</v>
      </c>
      <c r="K2876" t="s">
        <v>29</v>
      </c>
      <c r="L2876" t="s">
        <v>23</v>
      </c>
      <c r="M2876" t="str">
        <f>VLOOKUP(D2880,Restaurant_Master!A:B,2,FALSE)</f>
        <v>https://media-cdn.tripadvisor.com/media/photo-s/1c/c7/97/b6/photo6jpg.jpg</v>
      </c>
    </row>
    <row r="2877" spans="1:13" x14ac:dyDescent="0.3">
      <c r="A2877" t="s">
        <v>2907</v>
      </c>
      <c r="B2877" s="1">
        <v>45445</v>
      </c>
      <c r="C2877" t="s">
        <v>13</v>
      </c>
      <c r="D2877" t="s">
        <v>25</v>
      </c>
      <c r="E2877">
        <v>58</v>
      </c>
      <c r="F2877" t="s">
        <v>15</v>
      </c>
      <c r="G2877">
        <v>952.2</v>
      </c>
      <c r="H2877">
        <v>48</v>
      </c>
      <c r="I2877" t="s">
        <v>16</v>
      </c>
      <c r="J2877">
        <v>4.3</v>
      </c>
      <c r="K2877" t="s">
        <v>26</v>
      </c>
      <c r="L2877" t="s">
        <v>18</v>
      </c>
      <c r="M2877" t="str">
        <f>VLOOKUP(D2881,Restaurant_Master!A:B,2,FALSE)</f>
        <v>https://media-cdn.tripadvisor.com/media/photo-s/1c/c7/97/b6/photo6jpg.jpg</v>
      </c>
    </row>
    <row r="2878" spans="1:13" x14ac:dyDescent="0.3">
      <c r="A2878" t="s">
        <v>2908</v>
      </c>
      <c r="B2878" s="1">
        <v>45317</v>
      </c>
      <c r="C2878" t="s">
        <v>36</v>
      </c>
      <c r="D2878" t="s">
        <v>38</v>
      </c>
      <c r="E2878">
        <v>18</v>
      </c>
      <c r="F2878" t="s">
        <v>28</v>
      </c>
      <c r="G2878">
        <v>472.17</v>
      </c>
      <c r="H2878">
        <v>27</v>
      </c>
      <c r="I2878" t="s">
        <v>22</v>
      </c>
      <c r="J2878">
        <v>4.4000000000000004</v>
      </c>
      <c r="K2878" t="s">
        <v>17</v>
      </c>
      <c r="L2878" t="s">
        <v>23</v>
      </c>
      <c r="M2878" t="str">
        <f>VLOOKUP(D2882,Restaurant_Master!A:B,2,FALSE)</f>
        <v>https://content.jdmagicbox.com/comp/deoria/g6/9999p5568.5568.200119143033.m4g6/catalogue/biryani-house-deoria-ho-deoria-mktc2xph0o.jpg</v>
      </c>
    </row>
    <row r="2879" spans="1:13" x14ac:dyDescent="0.3">
      <c r="A2879" t="s">
        <v>2909</v>
      </c>
      <c r="B2879" s="1">
        <v>45587</v>
      </c>
      <c r="C2879" t="s">
        <v>36</v>
      </c>
      <c r="D2879" t="s">
        <v>38</v>
      </c>
      <c r="E2879">
        <v>25</v>
      </c>
      <c r="F2879" t="s">
        <v>15</v>
      </c>
      <c r="G2879">
        <v>756.75</v>
      </c>
      <c r="H2879">
        <v>41</v>
      </c>
      <c r="I2879" t="s">
        <v>16</v>
      </c>
      <c r="J2879">
        <v>4.5</v>
      </c>
      <c r="K2879" t="s">
        <v>29</v>
      </c>
      <c r="L2879" t="s">
        <v>23</v>
      </c>
      <c r="M2879" t="str">
        <f>VLOOKUP(D2883,Restaurant_Master!A:B,2,FALSE)</f>
        <v>https://www.chatswoodinterchange.com/storages/2018/08/Sushi-World_666x448.jpg</v>
      </c>
    </row>
    <row r="2880" spans="1:13" x14ac:dyDescent="0.3">
      <c r="A2880" t="s">
        <v>2910</v>
      </c>
      <c r="B2880" s="1">
        <v>45587</v>
      </c>
      <c r="C2880" t="s">
        <v>20</v>
      </c>
      <c r="D2880" t="s">
        <v>25</v>
      </c>
      <c r="E2880">
        <v>52</v>
      </c>
      <c r="F2880" t="s">
        <v>15</v>
      </c>
      <c r="G2880">
        <v>1158.31</v>
      </c>
      <c r="H2880">
        <v>26</v>
      </c>
      <c r="I2880" t="s">
        <v>22</v>
      </c>
      <c r="J2880">
        <v>4.7</v>
      </c>
      <c r="K2880" t="s">
        <v>41</v>
      </c>
      <c r="L2880" t="s">
        <v>23</v>
      </c>
      <c r="M2880" t="str">
        <f>VLOOKUP(D2884,Restaurant_Master!A:B,2,FALSE)</f>
        <v>https://content.jdmagicbox.com/comp/deoria/g6/9999p5568.5568.200119143033.m4g6/catalogue/biryani-house-deoria-ho-deoria-mktc2xph0o.jpg</v>
      </c>
    </row>
    <row r="2881" spans="1:13" x14ac:dyDescent="0.3">
      <c r="A2881" t="s">
        <v>2911</v>
      </c>
      <c r="B2881" s="1">
        <v>45355</v>
      </c>
      <c r="C2881" t="s">
        <v>43</v>
      </c>
      <c r="D2881" t="s">
        <v>25</v>
      </c>
      <c r="E2881">
        <v>26</v>
      </c>
      <c r="F2881" t="s">
        <v>15</v>
      </c>
      <c r="G2881">
        <v>1184.72</v>
      </c>
      <c r="H2881">
        <v>34</v>
      </c>
      <c r="I2881" t="s">
        <v>22</v>
      </c>
      <c r="J2881">
        <v>4.9000000000000004</v>
      </c>
      <c r="K2881" t="s">
        <v>26</v>
      </c>
      <c r="L2881" t="s">
        <v>23</v>
      </c>
      <c r="M2881" t="str">
        <f>VLOOKUP(D2885,Restaurant_Master!A:B,2,FALSE)</f>
        <v>https://dineout-media-assets.swiggy.com/swiggy/image/upload/fl_lossy,f_auto,q_auto/v1660793737/fdqxvxcxg1wtdwvyv45v.jpg</v>
      </c>
    </row>
    <row r="2882" spans="1:13" x14ac:dyDescent="0.3">
      <c r="A2882" t="s">
        <v>2912</v>
      </c>
      <c r="B2882" s="1">
        <v>45406</v>
      </c>
      <c r="C2882" t="s">
        <v>13</v>
      </c>
      <c r="D2882" t="s">
        <v>32</v>
      </c>
      <c r="E2882">
        <v>59</v>
      </c>
      <c r="F2882" t="s">
        <v>28</v>
      </c>
      <c r="G2882">
        <v>192.26</v>
      </c>
      <c r="H2882">
        <v>26</v>
      </c>
      <c r="I2882" t="s">
        <v>22</v>
      </c>
      <c r="J2882">
        <v>4.8</v>
      </c>
      <c r="K2882" t="s">
        <v>17</v>
      </c>
      <c r="L2882" t="s">
        <v>18</v>
      </c>
      <c r="M2882" t="str">
        <f>VLOOKUP(D2886,Restaurant_Master!A:B,2,FALSE)</f>
        <v>https://content.jdmagicbox.com/comp/deoria/g6/9999p5568.5568.200119143033.m4g6/catalogue/biryani-house-deoria-ho-deoria-mktc2xph0o.jpg</v>
      </c>
    </row>
    <row r="2883" spans="1:13" x14ac:dyDescent="0.3">
      <c r="A2883" t="s">
        <v>2913</v>
      </c>
      <c r="B2883" s="1">
        <v>45323</v>
      </c>
      <c r="C2883" t="s">
        <v>34</v>
      </c>
      <c r="D2883" t="s">
        <v>38</v>
      </c>
      <c r="E2883">
        <v>54</v>
      </c>
      <c r="F2883" t="s">
        <v>28</v>
      </c>
      <c r="G2883">
        <v>1020.36</v>
      </c>
      <c r="H2883">
        <v>38</v>
      </c>
      <c r="I2883" t="s">
        <v>22</v>
      </c>
      <c r="J2883">
        <v>2.7</v>
      </c>
      <c r="K2883" t="s">
        <v>17</v>
      </c>
      <c r="L2883" t="s">
        <v>18</v>
      </c>
      <c r="M2883" t="str">
        <f>VLOOKUP(D2887,Restaurant_Master!A:B,2,FALSE)</f>
        <v>https://dynamic-media-cdn.tripadvisor.com/media/photo-o/1c/e7/04/0d/front-of-the-local-easily.jpg</v>
      </c>
    </row>
    <row r="2884" spans="1:13" x14ac:dyDescent="0.3">
      <c r="A2884" t="s">
        <v>2914</v>
      </c>
      <c r="B2884" s="1">
        <v>45556</v>
      </c>
      <c r="C2884" t="s">
        <v>20</v>
      </c>
      <c r="D2884" t="s">
        <v>32</v>
      </c>
      <c r="E2884">
        <v>22</v>
      </c>
      <c r="F2884" t="s">
        <v>15</v>
      </c>
      <c r="G2884">
        <v>933.83</v>
      </c>
      <c r="H2884">
        <v>47</v>
      </c>
      <c r="I2884" t="s">
        <v>16</v>
      </c>
      <c r="J2884">
        <v>4</v>
      </c>
      <c r="K2884" t="s">
        <v>17</v>
      </c>
      <c r="L2884" t="s">
        <v>18</v>
      </c>
      <c r="M2884" t="str">
        <f>VLOOKUP(D2888,Restaurant_Master!A:B,2,FALSE)</f>
        <v>https://www.chatswoodinterchange.com/storages/2018/08/Sushi-World_666x448.jpg</v>
      </c>
    </row>
    <row r="2885" spans="1:13" x14ac:dyDescent="0.3">
      <c r="A2885" t="s">
        <v>2915</v>
      </c>
      <c r="B2885" s="1">
        <v>45620</v>
      </c>
      <c r="C2885" t="s">
        <v>36</v>
      </c>
      <c r="D2885" t="s">
        <v>14</v>
      </c>
      <c r="E2885">
        <v>20</v>
      </c>
      <c r="F2885" t="s">
        <v>15</v>
      </c>
      <c r="G2885">
        <v>761.13</v>
      </c>
      <c r="H2885">
        <v>51</v>
      </c>
      <c r="I2885" t="s">
        <v>16</v>
      </c>
      <c r="J2885">
        <v>2.9</v>
      </c>
      <c r="K2885" t="s">
        <v>17</v>
      </c>
      <c r="L2885" t="s">
        <v>23</v>
      </c>
      <c r="M2885" t="str">
        <f>VLOOKUP(D2889,Restaurant_Master!A:B,2,FALSE)</f>
        <v>https://dynamic-media-cdn.tripadvisor.com/media/photo-o/1c/e7/04/0d/front-of-the-local-easily.jpg</v>
      </c>
    </row>
    <row r="2886" spans="1:13" x14ac:dyDescent="0.3">
      <c r="A2886" t="s">
        <v>2916</v>
      </c>
      <c r="B2886" s="1">
        <v>45568</v>
      </c>
      <c r="C2886" t="s">
        <v>36</v>
      </c>
      <c r="D2886" t="s">
        <v>32</v>
      </c>
      <c r="E2886">
        <v>53</v>
      </c>
      <c r="F2886" t="s">
        <v>28</v>
      </c>
      <c r="G2886">
        <v>283.08999999999997</v>
      </c>
      <c r="H2886">
        <v>58</v>
      </c>
      <c r="I2886" t="s">
        <v>16</v>
      </c>
      <c r="J2886">
        <v>4.8</v>
      </c>
      <c r="K2886" t="s">
        <v>29</v>
      </c>
      <c r="L2886" t="s">
        <v>18</v>
      </c>
      <c r="M2886" t="str">
        <f>VLOOKUP(D2890,Restaurant_Master!A:B,2,FALSE)</f>
        <v>https://www.chatswoodinterchange.com/storages/2018/08/Sushi-World_666x448.jpg</v>
      </c>
    </row>
    <row r="2887" spans="1:13" x14ac:dyDescent="0.3">
      <c r="A2887" t="s">
        <v>2917</v>
      </c>
      <c r="B2887" s="1">
        <v>45435</v>
      </c>
      <c r="C2887" t="s">
        <v>43</v>
      </c>
      <c r="D2887" t="s">
        <v>21</v>
      </c>
      <c r="E2887">
        <v>19</v>
      </c>
      <c r="F2887" t="s">
        <v>28</v>
      </c>
      <c r="G2887">
        <v>1159.25</v>
      </c>
      <c r="H2887">
        <v>55</v>
      </c>
      <c r="I2887" t="s">
        <v>16</v>
      </c>
      <c r="J2887">
        <v>3.7</v>
      </c>
      <c r="K2887" t="s">
        <v>41</v>
      </c>
      <c r="L2887" t="s">
        <v>18</v>
      </c>
      <c r="M2887" t="str">
        <f>VLOOKUP(D2891,Restaurant_Master!A:B,2,FALSE)</f>
        <v>https://dynamic-media-cdn.tripadvisor.com/media/photo-o/1c/e7/04/0d/front-of-the-local-easily.jpg</v>
      </c>
    </row>
    <row r="2888" spans="1:13" x14ac:dyDescent="0.3">
      <c r="A2888" t="s">
        <v>2918</v>
      </c>
      <c r="B2888" s="1">
        <v>45589</v>
      </c>
      <c r="C2888" t="s">
        <v>20</v>
      </c>
      <c r="D2888" t="s">
        <v>38</v>
      </c>
      <c r="E2888">
        <v>26</v>
      </c>
      <c r="F2888" t="s">
        <v>28</v>
      </c>
      <c r="G2888">
        <v>226.32</v>
      </c>
      <c r="H2888">
        <v>54</v>
      </c>
      <c r="I2888" t="s">
        <v>16</v>
      </c>
      <c r="J2888">
        <v>3.5</v>
      </c>
      <c r="K2888" t="s">
        <v>26</v>
      </c>
      <c r="L2888" t="s">
        <v>18</v>
      </c>
      <c r="M2888" t="str">
        <f>VLOOKUP(D2892,Restaurant_Master!A:B,2,FALSE)</f>
        <v>https://dineout-media-assets.swiggy.com/swiggy/image/upload/fl_lossy,f_auto,q_auto/v1660793737/fdqxvxcxg1wtdwvyv45v.jpg</v>
      </c>
    </row>
    <row r="2889" spans="1:13" x14ac:dyDescent="0.3">
      <c r="A2889" t="s">
        <v>2919</v>
      </c>
      <c r="B2889" s="1">
        <v>45294</v>
      </c>
      <c r="C2889" t="s">
        <v>20</v>
      </c>
      <c r="D2889" t="s">
        <v>21</v>
      </c>
      <c r="E2889">
        <v>39</v>
      </c>
      <c r="F2889" t="s">
        <v>15</v>
      </c>
      <c r="G2889">
        <v>994.29</v>
      </c>
      <c r="H2889">
        <v>60</v>
      </c>
      <c r="I2889" t="s">
        <v>16</v>
      </c>
      <c r="J2889">
        <v>4.0999999999999996</v>
      </c>
      <c r="K2889" t="s">
        <v>41</v>
      </c>
      <c r="L2889" t="s">
        <v>18</v>
      </c>
      <c r="M2889" t="str">
        <f>VLOOKUP(D2893,Restaurant_Master!A:B,2,FALSE)</f>
        <v>https://www.chatswoodinterchange.com/storages/2018/08/Sushi-World_666x448.jpg</v>
      </c>
    </row>
    <row r="2890" spans="1:13" x14ac:dyDescent="0.3">
      <c r="A2890" t="s">
        <v>2920</v>
      </c>
      <c r="B2890" s="1">
        <v>45551</v>
      </c>
      <c r="C2890" t="s">
        <v>20</v>
      </c>
      <c r="D2890" t="s">
        <v>38</v>
      </c>
      <c r="E2890">
        <v>44</v>
      </c>
      <c r="F2890" t="s">
        <v>28</v>
      </c>
      <c r="G2890">
        <v>620.35</v>
      </c>
      <c r="H2890">
        <v>56</v>
      </c>
      <c r="I2890" t="s">
        <v>16</v>
      </c>
      <c r="J2890">
        <v>3.3</v>
      </c>
      <c r="K2890" t="s">
        <v>29</v>
      </c>
      <c r="L2890" t="s">
        <v>23</v>
      </c>
      <c r="M2890" t="str">
        <f>VLOOKUP(D2894,Restaurant_Master!A:B,2,FALSE)</f>
        <v>https://www.chatswoodinterchange.com/storages/2018/08/Sushi-World_666x448.jpg</v>
      </c>
    </row>
    <row r="2891" spans="1:13" x14ac:dyDescent="0.3">
      <c r="A2891" t="s">
        <v>2921</v>
      </c>
      <c r="B2891" s="1">
        <v>45575</v>
      </c>
      <c r="C2891" t="s">
        <v>20</v>
      </c>
      <c r="D2891" t="s">
        <v>21</v>
      </c>
      <c r="E2891">
        <v>41</v>
      </c>
      <c r="F2891" t="s">
        <v>28</v>
      </c>
      <c r="G2891">
        <v>1168.6400000000001</v>
      </c>
      <c r="H2891">
        <v>41</v>
      </c>
      <c r="I2891" t="s">
        <v>16</v>
      </c>
      <c r="J2891">
        <v>3.4</v>
      </c>
      <c r="K2891" t="s">
        <v>29</v>
      </c>
      <c r="L2891" t="s">
        <v>23</v>
      </c>
      <c r="M2891" t="str">
        <f>VLOOKUP(D2895,Restaurant_Master!A:B,2,FALSE)</f>
        <v>https://media-cdn.tripadvisor.com/media/photo-s/1c/c7/97/b6/photo6jpg.jpg</v>
      </c>
    </row>
    <row r="2892" spans="1:13" x14ac:dyDescent="0.3">
      <c r="A2892" t="s">
        <v>2922</v>
      </c>
      <c r="B2892" s="1">
        <v>45567</v>
      </c>
      <c r="C2892" t="s">
        <v>43</v>
      </c>
      <c r="D2892" t="s">
        <v>14</v>
      </c>
      <c r="E2892">
        <v>25</v>
      </c>
      <c r="F2892" t="s">
        <v>28</v>
      </c>
      <c r="G2892">
        <v>257.74</v>
      </c>
      <c r="H2892">
        <v>60</v>
      </c>
      <c r="I2892" t="s">
        <v>16</v>
      </c>
      <c r="J2892">
        <v>3.3</v>
      </c>
      <c r="K2892" t="s">
        <v>26</v>
      </c>
      <c r="L2892" t="s">
        <v>23</v>
      </c>
      <c r="M2892" t="str">
        <f>VLOOKUP(D2896,Restaurant_Master!A:B,2,FALSE)</f>
        <v>https://dynamic-media-cdn.tripadvisor.com/media/photo-o/1c/e7/04/0d/front-of-the-local-easily.jpg</v>
      </c>
    </row>
    <row r="2893" spans="1:13" x14ac:dyDescent="0.3">
      <c r="A2893" t="s">
        <v>2923</v>
      </c>
      <c r="B2893" s="1">
        <v>45449</v>
      </c>
      <c r="C2893" t="s">
        <v>43</v>
      </c>
      <c r="D2893" t="s">
        <v>38</v>
      </c>
      <c r="E2893">
        <v>58</v>
      </c>
      <c r="F2893" t="s">
        <v>28</v>
      </c>
      <c r="G2893">
        <v>851.18</v>
      </c>
      <c r="H2893">
        <v>31</v>
      </c>
      <c r="I2893" t="s">
        <v>22</v>
      </c>
      <c r="J2893">
        <v>4.3</v>
      </c>
      <c r="K2893" t="s">
        <v>26</v>
      </c>
      <c r="L2893" t="s">
        <v>23</v>
      </c>
      <c r="M2893" t="str">
        <f>VLOOKUP(D2897,Restaurant_Master!A:B,2,FALSE)</f>
        <v>https://media-cdn.tripadvisor.com/media/photo-s/1c/c7/97/b6/photo6jpg.jpg</v>
      </c>
    </row>
    <row r="2894" spans="1:13" x14ac:dyDescent="0.3">
      <c r="A2894" t="s">
        <v>2924</v>
      </c>
      <c r="B2894" s="1">
        <v>45334</v>
      </c>
      <c r="C2894" t="s">
        <v>13</v>
      </c>
      <c r="D2894" t="s">
        <v>38</v>
      </c>
      <c r="E2894">
        <v>26</v>
      </c>
      <c r="F2894" t="s">
        <v>15</v>
      </c>
      <c r="G2894">
        <v>1141.1099999999999</v>
      </c>
      <c r="H2894">
        <v>32</v>
      </c>
      <c r="I2894" t="s">
        <v>22</v>
      </c>
      <c r="J2894">
        <v>4.0999999999999996</v>
      </c>
      <c r="K2894" t="s">
        <v>41</v>
      </c>
      <c r="L2894" t="s">
        <v>18</v>
      </c>
      <c r="M2894" t="str">
        <f>VLOOKUP(D2898,Restaurant_Master!A:B,2,FALSE)</f>
        <v>https://dineout-media-assets.swiggy.com/swiggy/image/upload/fl_lossy,f_auto,q_auto/v1660793737/fdqxvxcxg1wtdwvyv45v.jpg</v>
      </c>
    </row>
    <row r="2895" spans="1:13" x14ac:dyDescent="0.3">
      <c r="A2895" t="s">
        <v>2925</v>
      </c>
      <c r="B2895" s="1">
        <v>45554</v>
      </c>
      <c r="C2895" t="s">
        <v>13</v>
      </c>
      <c r="D2895" t="s">
        <v>25</v>
      </c>
      <c r="E2895">
        <v>39</v>
      </c>
      <c r="F2895" t="s">
        <v>15</v>
      </c>
      <c r="G2895">
        <v>329.51</v>
      </c>
      <c r="H2895">
        <v>22</v>
      </c>
      <c r="I2895" t="s">
        <v>22</v>
      </c>
      <c r="J2895">
        <v>4.4000000000000004</v>
      </c>
      <c r="K2895" t="s">
        <v>26</v>
      </c>
      <c r="L2895" t="s">
        <v>18</v>
      </c>
      <c r="M2895" t="str">
        <f>VLOOKUP(D2899,Restaurant_Master!A:B,2,FALSE)</f>
        <v>https://dynamic-media-cdn.tripadvisor.com/media/photo-o/1c/e7/04/0d/front-of-the-local-easily.jpg</v>
      </c>
    </row>
    <row r="2896" spans="1:13" x14ac:dyDescent="0.3">
      <c r="A2896" t="s">
        <v>2926</v>
      </c>
      <c r="B2896" s="1">
        <v>45460</v>
      </c>
      <c r="C2896" t="s">
        <v>43</v>
      </c>
      <c r="D2896" t="s">
        <v>21</v>
      </c>
      <c r="E2896">
        <v>20</v>
      </c>
      <c r="F2896" t="s">
        <v>15</v>
      </c>
      <c r="G2896">
        <v>1189.49</v>
      </c>
      <c r="H2896">
        <v>57</v>
      </c>
      <c r="I2896" t="s">
        <v>16</v>
      </c>
      <c r="J2896">
        <v>3.4</v>
      </c>
      <c r="K2896" t="s">
        <v>29</v>
      </c>
      <c r="L2896" t="s">
        <v>18</v>
      </c>
      <c r="M2896" t="str">
        <f>VLOOKUP(D2900,Restaurant_Master!A:B,2,FALSE)</f>
        <v>https://content.jdmagicbox.com/comp/deoria/g6/9999p5568.5568.200119143033.m4g6/catalogue/biryani-house-deoria-ho-deoria-mktc2xph0o.jpg</v>
      </c>
    </row>
    <row r="2897" spans="1:13" x14ac:dyDescent="0.3">
      <c r="A2897" t="s">
        <v>2927</v>
      </c>
      <c r="B2897" s="1">
        <v>45403</v>
      </c>
      <c r="C2897" t="s">
        <v>20</v>
      </c>
      <c r="D2897" t="s">
        <v>25</v>
      </c>
      <c r="E2897">
        <v>33</v>
      </c>
      <c r="F2897" t="s">
        <v>15</v>
      </c>
      <c r="G2897">
        <v>580.25</v>
      </c>
      <c r="H2897">
        <v>25</v>
      </c>
      <c r="I2897" t="s">
        <v>22</v>
      </c>
      <c r="J2897">
        <v>3.2</v>
      </c>
      <c r="K2897" t="s">
        <v>29</v>
      </c>
      <c r="L2897" t="s">
        <v>23</v>
      </c>
      <c r="M2897" t="str">
        <f>VLOOKUP(D2901,Restaurant_Master!A:B,2,FALSE)</f>
        <v>https://dynamic-media-cdn.tripadvisor.com/media/photo-o/1c/e7/04/0d/front-of-the-local-easily.jpg</v>
      </c>
    </row>
    <row r="2898" spans="1:13" x14ac:dyDescent="0.3">
      <c r="A2898" t="s">
        <v>2928</v>
      </c>
      <c r="B2898" s="1">
        <v>45330</v>
      </c>
      <c r="C2898" t="s">
        <v>34</v>
      </c>
      <c r="D2898" t="s">
        <v>14</v>
      </c>
      <c r="E2898">
        <v>35</v>
      </c>
      <c r="F2898" t="s">
        <v>28</v>
      </c>
      <c r="G2898">
        <v>564.41999999999996</v>
      </c>
      <c r="H2898">
        <v>21</v>
      </c>
      <c r="I2898" t="s">
        <v>22</v>
      </c>
      <c r="J2898">
        <v>3.3</v>
      </c>
      <c r="K2898" t="s">
        <v>29</v>
      </c>
      <c r="L2898" t="s">
        <v>23</v>
      </c>
      <c r="M2898" t="str">
        <f>VLOOKUP(D2902,Restaurant_Master!A:B,2,FALSE)</f>
        <v>https://dineout-media-assets.swiggy.com/swiggy/image/upload/fl_lossy,f_auto,q_auto/v1660793737/fdqxvxcxg1wtdwvyv45v.jpg</v>
      </c>
    </row>
    <row r="2899" spans="1:13" x14ac:dyDescent="0.3">
      <c r="A2899" t="s">
        <v>2929</v>
      </c>
      <c r="B2899" s="1">
        <v>45454</v>
      </c>
      <c r="C2899" t="s">
        <v>36</v>
      </c>
      <c r="D2899" t="s">
        <v>21</v>
      </c>
      <c r="E2899">
        <v>47</v>
      </c>
      <c r="F2899" t="s">
        <v>15</v>
      </c>
      <c r="G2899">
        <v>595.72</v>
      </c>
      <c r="H2899">
        <v>53</v>
      </c>
      <c r="I2899" t="s">
        <v>16</v>
      </c>
      <c r="J2899">
        <v>4.9000000000000004</v>
      </c>
      <c r="K2899" t="s">
        <v>17</v>
      </c>
      <c r="L2899" t="s">
        <v>18</v>
      </c>
      <c r="M2899" t="str">
        <f>VLOOKUP(D2903,Restaurant_Master!A:B,2,FALSE)</f>
        <v>https://www.chatswoodinterchange.com/storages/2018/08/Sushi-World_666x448.jpg</v>
      </c>
    </row>
    <row r="2900" spans="1:13" x14ac:dyDescent="0.3">
      <c r="A2900" t="s">
        <v>2930</v>
      </c>
      <c r="B2900" s="1">
        <v>45619</v>
      </c>
      <c r="C2900" t="s">
        <v>13</v>
      </c>
      <c r="D2900" t="s">
        <v>32</v>
      </c>
      <c r="E2900">
        <v>25</v>
      </c>
      <c r="F2900" t="s">
        <v>15</v>
      </c>
      <c r="G2900">
        <v>1040.3699999999999</v>
      </c>
      <c r="H2900">
        <v>54</v>
      </c>
      <c r="I2900" t="s">
        <v>16</v>
      </c>
      <c r="J2900">
        <v>3.6</v>
      </c>
      <c r="K2900" t="s">
        <v>41</v>
      </c>
      <c r="L2900" t="s">
        <v>23</v>
      </c>
      <c r="M2900" t="str">
        <f>VLOOKUP(D2904,Restaurant_Master!A:B,2,FALSE)</f>
        <v>https://www.chatswoodinterchange.com/storages/2018/08/Sushi-World_666x448.jpg</v>
      </c>
    </row>
    <row r="2901" spans="1:13" x14ac:dyDescent="0.3">
      <c r="A2901" t="s">
        <v>2931</v>
      </c>
      <c r="B2901" s="1">
        <v>45513</v>
      </c>
      <c r="C2901" t="s">
        <v>36</v>
      </c>
      <c r="D2901" t="s">
        <v>21</v>
      </c>
      <c r="E2901">
        <v>41</v>
      </c>
      <c r="F2901" t="s">
        <v>28</v>
      </c>
      <c r="G2901">
        <v>1072.0899999999999</v>
      </c>
      <c r="H2901">
        <v>52</v>
      </c>
      <c r="I2901" t="s">
        <v>16</v>
      </c>
      <c r="J2901">
        <v>4.0999999999999996</v>
      </c>
      <c r="K2901" t="s">
        <v>17</v>
      </c>
      <c r="L2901" t="s">
        <v>23</v>
      </c>
      <c r="M2901" t="str">
        <f>VLOOKUP(D2905,Restaurant_Master!A:B,2,FALSE)</f>
        <v>https://dynamic-media-cdn.tripadvisor.com/media/photo-o/1c/e7/04/0d/front-of-the-local-easily.jpg</v>
      </c>
    </row>
    <row r="2902" spans="1:13" x14ac:dyDescent="0.3">
      <c r="A2902" t="s">
        <v>2932</v>
      </c>
      <c r="B2902" s="1">
        <v>45616</v>
      </c>
      <c r="C2902" t="s">
        <v>20</v>
      </c>
      <c r="D2902" t="s">
        <v>14</v>
      </c>
      <c r="E2902">
        <v>50</v>
      </c>
      <c r="F2902" t="s">
        <v>28</v>
      </c>
      <c r="G2902">
        <v>573.74</v>
      </c>
      <c r="H2902">
        <v>56</v>
      </c>
      <c r="I2902" t="s">
        <v>16</v>
      </c>
      <c r="J2902">
        <v>2.9</v>
      </c>
      <c r="K2902" t="s">
        <v>29</v>
      </c>
      <c r="L2902" t="s">
        <v>23</v>
      </c>
      <c r="M2902" t="str">
        <f>VLOOKUP(D2906,Restaurant_Master!A:B,2,FALSE)</f>
        <v>https://content.jdmagicbox.com/comp/deoria/g6/9999p5568.5568.200119143033.m4g6/catalogue/biryani-house-deoria-ho-deoria-mktc2xph0o.jpg</v>
      </c>
    </row>
    <row r="2903" spans="1:13" x14ac:dyDescent="0.3">
      <c r="A2903" t="s">
        <v>2933</v>
      </c>
      <c r="B2903" s="1">
        <v>45566</v>
      </c>
      <c r="C2903" t="s">
        <v>34</v>
      </c>
      <c r="D2903" t="s">
        <v>38</v>
      </c>
      <c r="E2903">
        <v>49</v>
      </c>
      <c r="F2903" t="s">
        <v>28</v>
      </c>
      <c r="G2903">
        <v>730.58</v>
      </c>
      <c r="H2903">
        <v>53</v>
      </c>
      <c r="I2903" t="s">
        <v>16</v>
      </c>
      <c r="J2903">
        <v>4.5</v>
      </c>
      <c r="K2903" t="s">
        <v>29</v>
      </c>
      <c r="L2903" t="s">
        <v>18</v>
      </c>
      <c r="M2903" t="str">
        <f>VLOOKUP(D2907,Restaurant_Master!A:B,2,FALSE)</f>
        <v>https://dineout-media-assets.swiggy.com/swiggy/image/upload/fl_lossy,f_auto,q_auto/v1660793737/fdqxvxcxg1wtdwvyv45v.jpg</v>
      </c>
    </row>
    <row r="2904" spans="1:13" x14ac:dyDescent="0.3">
      <c r="A2904" t="s">
        <v>2934</v>
      </c>
      <c r="B2904" s="1">
        <v>45367</v>
      </c>
      <c r="C2904" t="s">
        <v>34</v>
      </c>
      <c r="D2904" t="s">
        <v>38</v>
      </c>
      <c r="E2904">
        <v>41</v>
      </c>
      <c r="F2904" t="s">
        <v>28</v>
      </c>
      <c r="G2904">
        <v>578.66999999999996</v>
      </c>
      <c r="H2904">
        <v>31</v>
      </c>
      <c r="I2904" t="s">
        <v>22</v>
      </c>
      <c r="J2904">
        <v>4.5</v>
      </c>
      <c r="K2904" t="s">
        <v>29</v>
      </c>
      <c r="L2904" t="s">
        <v>23</v>
      </c>
      <c r="M2904" t="str">
        <f>VLOOKUP(D2908,Restaurant_Master!A:B,2,FALSE)</f>
        <v>https://dynamic-media-cdn.tripadvisor.com/media/photo-o/1c/e7/04/0d/front-of-the-local-easily.jpg</v>
      </c>
    </row>
    <row r="2905" spans="1:13" x14ac:dyDescent="0.3">
      <c r="A2905" t="s">
        <v>2935</v>
      </c>
      <c r="B2905" s="1">
        <v>45337</v>
      </c>
      <c r="C2905" t="s">
        <v>43</v>
      </c>
      <c r="D2905" t="s">
        <v>21</v>
      </c>
      <c r="E2905">
        <v>43</v>
      </c>
      <c r="F2905" t="s">
        <v>28</v>
      </c>
      <c r="G2905">
        <v>648.66999999999996</v>
      </c>
      <c r="H2905">
        <v>41</v>
      </c>
      <c r="I2905" t="s">
        <v>16</v>
      </c>
      <c r="J2905">
        <v>4.0999999999999996</v>
      </c>
      <c r="K2905" t="s">
        <v>41</v>
      </c>
      <c r="L2905" t="s">
        <v>23</v>
      </c>
      <c r="M2905" t="str">
        <f>VLOOKUP(D2909,Restaurant_Master!A:B,2,FALSE)</f>
        <v>https://dineout-media-assets.swiggy.com/swiggy/image/upload/fl_lossy,f_auto,q_auto/v1660793737/fdqxvxcxg1wtdwvyv45v.jpg</v>
      </c>
    </row>
    <row r="2906" spans="1:13" x14ac:dyDescent="0.3">
      <c r="A2906" t="s">
        <v>2936</v>
      </c>
      <c r="B2906" s="1">
        <v>45592</v>
      </c>
      <c r="C2906" t="s">
        <v>34</v>
      </c>
      <c r="D2906" t="s">
        <v>32</v>
      </c>
      <c r="E2906">
        <v>43</v>
      </c>
      <c r="F2906" t="s">
        <v>15</v>
      </c>
      <c r="G2906">
        <v>496.39</v>
      </c>
      <c r="H2906">
        <v>37</v>
      </c>
      <c r="I2906" t="s">
        <v>22</v>
      </c>
      <c r="J2906">
        <v>4</v>
      </c>
      <c r="K2906" t="s">
        <v>29</v>
      </c>
      <c r="L2906" t="s">
        <v>23</v>
      </c>
      <c r="M2906" t="str">
        <f>VLOOKUP(D2910,Restaurant_Master!A:B,2,FALSE)</f>
        <v>https://media-cdn.tripadvisor.com/media/photo-s/1c/c7/97/b6/photo6jpg.jpg</v>
      </c>
    </row>
    <row r="2907" spans="1:13" x14ac:dyDescent="0.3">
      <c r="A2907" t="s">
        <v>2937</v>
      </c>
      <c r="B2907" s="1">
        <v>45297</v>
      </c>
      <c r="C2907" t="s">
        <v>43</v>
      </c>
      <c r="D2907" t="s">
        <v>14</v>
      </c>
      <c r="E2907">
        <v>19</v>
      </c>
      <c r="F2907" t="s">
        <v>15</v>
      </c>
      <c r="G2907">
        <v>629.74</v>
      </c>
      <c r="H2907">
        <v>25</v>
      </c>
      <c r="I2907" t="s">
        <v>22</v>
      </c>
      <c r="J2907">
        <v>4.7</v>
      </c>
      <c r="K2907" t="s">
        <v>41</v>
      </c>
      <c r="L2907" t="s">
        <v>23</v>
      </c>
      <c r="M2907" t="str">
        <f>VLOOKUP(D2911,Restaurant_Master!A:B,2,FALSE)</f>
        <v>https://media-cdn.tripadvisor.com/media/photo-s/1c/c7/97/b6/photo6jpg.jpg</v>
      </c>
    </row>
    <row r="2908" spans="1:13" x14ac:dyDescent="0.3">
      <c r="A2908" t="s">
        <v>2938</v>
      </c>
      <c r="B2908" s="1">
        <v>45379</v>
      </c>
      <c r="C2908" t="s">
        <v>34</v>
      </c>
      <c r="D2908" t="s">
        <v>21</v>
      </c>
      <c r="E2908">
        <v>60</v>
      </c>
      <c r="F2908" t="s">
        <v>15</v>
      </c>
      <c r="G2908">
        <v>353</v>
      </c>
      <c r="H2908">
        <v>58</v>
      </c>
      <c r="I2908" t="s">
        <v>16</v>
      </c>
      <c r="J2908">
        <v>3</v>
      </c>
      <c r="K2908" t="s">
        <v>41</v>
      </c>
      <c r="L2908" t="s">
        <v>23</v>
      </c>
      <c r="M2908" t="str">
        <f>VLOOKUP(D2912,Restaurant_Master!A:B,2,FALSE)</f>
        <v>https://dineout-media-assets.swiggy.com/swiggy/image/upload/fl_lossy,f_auto,q_auto/v1660793737/fdqxvxcxg1wtdwvyv45v.jpg</v>
      </c>
    </row>
    <row r="2909" spans="1:13" x14ac:dyDescent="0.3">
      <c r="A2909" t="s">
        <v>2939</v>
      </c>
      <c r="B2909" s="1">
        <v>45498</v>
      </c>
      <c r="C2909" t="s">
        <v>13</v>
      </c>
      <c r="D2909" t="s">
        <v>14</v>
      </c>
      <c r="E2909">
        <v>49</v>
      </c>
      <c r="F2909" t="s">
        <v>15</v>
      </c>
      <c r="G2909">
        <v>894.82</v>
      </c>
      <c r="H2909">
        <v>50</v>
      </c>
      <c r="I2909" t="s">
        <v>16</v>
      </c>
      <c r="J2909">
        <v>3.9</v>
      </c>
      <c r="K2909" t="s">
        <v>41</v>
      </c>
      <c r="L2909" t="s">
        <v>18</v>
      </c>
      <c r="M2909" t="str">
        <f>VLOOKUP(D2913,Restaurant_Master!A:B,2,FALSE)</f>
        <v>https://www.chatswoodinterchange.com/storages/2018/08/Sushi-World_666x448.jpg</v>
      </c>
    </row>
    <row r="2910" spans="1:13" x14ac:dyDescent="0.3">
      <c r="A2910" t="s">
        <v>2940</v>
      </c>
      <c r="B2910" s="1">
        <v>45592</v>
      </c>
      <c r="C2910" t="s">
        <v>36</v>
      </c>
      <c r="D2910" t="s">
        <v>25</v>
      </c>
      <c r="E2910">
        <v>40</v>
      </c>
      <c r="F2910" t="s">
        <v>28</v>
      </c>
      <c r="G2910">
        <v>744.18</v>
      </c>
      <c r="H2910">
        <v>34</v>
      </c>
      <c r="I2910" t="s">
        <v>22</v>
      </c>
      <c r="J2910">
        <v>3.2</v>
      </c>
      <c r="K2910" t="s">
        <v>41</v>
      </c>
      <c r="L2910" t="s">
        <v>23</v>
      </c>
      <c r="M2910" t="str">
        <f>VLOOKUP(D2914,Restaurant_Master!A:B,2,FALSE)</f>
        <v>https://media-cdn.tripadvisor.com/media/photo-s/1c/c7/97/b6/photo6jpg.jpg</v>
      </c>
    </row>
    <row r="2911" spans="1:13" x14ac:dyDescent="0.3">
      <c r="A2911" t="s">
        <v>2941</v>
      </c>
      <c r="B2911" s="1">
        <v>45560</v>
      </c>
      <c r="C2911" t="s">
        <v>20</v>
      </c>
      <c r="D2911" t="s">
        <v>25</v>
      </c>
      <c r="E2911">
        <v>33</v>
      </c>
      <c r="F2911" t="s">
        <v>15</v>
      </c>
      <c r="G2911">
        <v>1000.36</v>
      </c>
      <c r="H2911">
        <v>34</v>
      </c>
      <c r="I2911" t="s">
        <v>22</v>
      </c>
      <c r="J2911">
        <v>3</v>
      </c>
      <c r="K2911" t="s">
        <v>29</v>
      </c>
      <c r="L2911" t="s">
        <v>18</v>
      </c>
      <c r="M2911" t="str">
        <f>VLOOKUP(D2915,Restaurant_Master!A:B,2,FALSE)</f>
        <v>https://media-cdn.tripadvisor.com/media/photo-s/1c/c7/97/b6/photo6jpg.jpg</v>
      </c>
    </row>
    <row r="2912" spans="1:13" x14ac:dyDescent="0.3">
      <c r="A2912" t="s">
        <v>2942</v>
      </c>
      <c r="B2912" s="1">
        <v>45352</v>
      </c>
      <c r="C2912" t="s">
        <v>43</v>
      </c>
      <c r="D2912" t="s">
        <v>14</v>
      </c>
      <c r="E2912">
        <v>20</v>
      </c>
      <c r="F2912" t="s">
        <v>28</v>
      </c>
      <c r="G2912">
        <v>539.4</v>
      </c>
      <c r="H2912">
        <v>59</v>
      </c>
      <c r="I2912" t="s">
        <v>16</v>
      </c>
      <c r="J2912">
        <v>3.4</v>
      </c>
      <c r="K2912" t="s">
        <v>26</v>
      </c>
      <c r="L2912" t="s">
        <v>23</v>
      </c>
      <c r="M2912" t="str">
        <f>VLOOKUP(D2916,Restaurant_Master!A:B,2,FALSE)</f>
        <v>https://content.jdmagicbox.com/comp/deoria/g6/9999p5568.5568.200119143033.m4g6/catalogue/biryani-house-deoria-ho-deoria-mktc2xph0o.jpg</v>
      </c>
    </row>
    <row r="2913" spans="1:13" x14ac:dyDescent="0.3">
      <c r="A2913" t="s">
        <v>2943</v>
      </c>
      <c r="B2913" s="1">
        <v>45477</v>
      </c>
      <c r="C2913" t="s">
        <v>43</v>
      </c>
      <c r="D2913" t="s">
        <v>38</v>
      </c>
      <c r="E2913">
        <v>19</v>
      </c>
      <c r="F2913" t="s">
        <v>15</v>
      </c>
      <c r="G2913">
        <v>753.92</v>
      </c>
      <c r="H2913">
        <v>44</v>
      </c>
      <c r="I2913" t="s">
        <v>16</v>
      </c>
      <c r="J2913">
        <v>2.8</v>
      </c>
      <c r="K2913" t="s">
        <v>41</v>
      </c>
      <c r="L2913" t="s">
        <v>23</v>
      </c>
      <c r="M2913" t="str">
        <f>VLOOKUP(D2917,Restaurant_Master!A:B,2,FALSE)</f>
        <v>https://dineout-media-assets.swiggy.com/swiggy/image/upload/fl_lossy,f_auto,q_auto/v1660793737/fdqxvxcxg1wtdwvyv45v.jpg</v>
      </c>
    </row>
    <row r="2914" spans="1:13" x14ac:dyDescent="0.3">
      <c r="A2914" t="s">
        <v>2944</v>
      </c>
      <c r="B2914" s="1">
        <v>45481</v>
      </c>
      <c r="C2914" t="s">
        <v>36</v>
      </c>
      <c r="D2914" t="s">
        <v>25</v>
      </c>
      <c r="E2914">
        <v>30</v>
      </c>
      <c r="F2914" t="s">
        <v>15</v>
      </c>
      <c r="G2914">
        <v>597.67999999999995</v>
      </c>
      <c r="H2914">
        <v>50</v>
      </c>
      <c r="I2914" t="s">
        <v>16</v>
      </c>
      <c r="J2914">
        <v>4.0999999999999996</v>
      </c>
      <c r="K2914" t="s">
        <v>17</v>
      </c>
      <c r="L2914" t="s">
        <v>18</v>
      </c>
      <c r="M2914" t="str">
        <f>VLOOKUP(D2918,Restaurant_Master!A:B,2,FALSE)</f>
        <v>https://dineout-media-assets.swiggy.com/swiggy/image/upload/fl_lossy,f_auto,q_auto/v1660793737/fdqxvxcxg1wtdwvyv45v.jpg</v>
      </c>
    </row>
    <row r="2915" spans="1:13" x14ac:dyDescent="0.3">
      <c r="A2915" t="s">
        <v>2945</v>
      </c>
      <c r="B2915" s="1">
        <v>45430</v>
      </c>
      <c r="C2915" t="s">
        <v>36</v>
      </c>
      <c r="D2915" t="s">
        <v>25</v>
      </c>
      <c r="E2915">
        <v>40</v>
      </c>
      <c r="F2915" t="s">
        <v>28</v>
      </c>
      <c r="G2915">
        <v>304.58</v>
      </c>
      <c r="H2915">
        <v>60</v>
      </c>
      <c r="I2915" t="s">
        <v>16</v>
      </c>
      <c r="J2915">
        <v>3.8</v>
      </c>
      <c r="K2915" t="s">
        <v>26</v>
      </c>
      <c r="L2915" t="s">
        <v>18</v>
      </c>
      <c r="M2915" t="str">
        <f>VLOOKUP(D2919,Restaurant_Master!A:B,2,FALSE)</f>
        <v>https://dynamic-media-cdn.tripadvisor.com/media/photo-o/1c/e7/04/0d/front-of-the-local-easily.jpg</v>
      </c>
    </row>
    <row r="2916" spans="1:13" x14ac:dyDescent="0.3">
      <c r="A2916" t="s">
        <v>2946</v>
      </c>
      <c r="B2916" s="1">
        <v>45402</v>
      </c>
      <c r="C2916" t="s">
        <v>20</v>
      </c>
      <c r="D2916" t="s">
        <v>32</v>
      </c>
      <c r="E2916">
        <v>45</v>
      </c>
      <c r="F2916" t="s">
        <v>15</v>
      </c>
      <c r="G2916">
        <v>846.96</v>
      </c>
      <c r="H2916">
        <v>22</v>
      </c>
      <c r="I2916" t="s">
        <v>22</v>
      </c>
      <c r="J2916">
        <v>4.7</v>
      </c>
      <c r="K2916" t="s">
        <v>26</v>
      </c>
      <c r="L2916" t="s">
        <v>18</v>
      </c>
      <c r="M2916" t="str">
        <f>VLOOKUP(D2920,Restaurant_Master!A:B,2,FALSE)</f>
        <v>https://www.chatswoodinterchange.com/storages/2018/08/Sushi-World_666x448.jpg</v>
      </c>
    </row>
    <row r="2917" spans="1:13" x14ac:dyDescent="0.3">
      <c r="A2917" t="s">
        <v>2947</v>
      </c>
      <c r="B2917" s="1">
        <v>45425</v>
      </c>
      <c r="C2917" t="s">
        <v>34</v>
      </c>
      <c r="D2917" t="s">
        <v>14</v>
      </c>
      <c r="E2917">
        <v>57</v>
      </c>
      <c r="F2917" t="s">
        <v>15</v>
      </c>
      <c r="G2917">
        <v>350.87</v>
      </c>
      <c r="H2917">
        <v>38</v>
      </c>
      <c r="I2917" t="s">
        <v>22</v>
      </c>
      <c r="J2917">
        <v>3.8</v>
      </c>
      <c r="K2917" t="s">
        <v>17</v>
      </c>
      <c r="L2917" t="s">
        <v>18</v>
      </c>
      <c r="M2917" t="str">
        <f>VLOOKUP(D2921,Restaurant_Master!A:B,2,FALSE)</f>
        <v>https://www.chatswoodinterchange.com/storages/2018/08/Sushi-World_666x448.jpg</v>
      </c>
    </row>
    <row r="2918" spans="1:13" x14ac:dyDescent="0.3">
      <c r="A2918" t="s">
        <v>2948</v>
      </c>
      <c r="B2918" s="1">
        <v>45611</v>
      </c>
      <c r="C2918" t="s">
        <v>20</v>
      </c>
      <c r="D2918" t="s">
        <v>14</v>
      </c>
      <c r="E2918">
        <v>42</v>
      </c>
      <c r="F2918" t="s">
        <v>28</v>
      </c>
      <c r="G2918">
        <v>953.7</v>
      </c>
      <c r="H2918">
        <v>20</v>
      </c>
      <c r="I2918" t="s">
        <v>22</v>
      </c>
      <c r="J2918">
        <v>2.5</v>
      </c>
      <c r="K2918" t="s">
        <v>26</v>
      </c>
      <c r="L2918" t="s">
        <v>18</v>
      </c>
      <c r="M2918" t="str">
        <f>VLOOKUP(D2922,Restaurant_Master!A:B,2,FALSE)</f>
        <v>https://www.chatswoodinterchange.com/storages/2018/08/Sushi-World_666x448.jpg</v>
      </c>
    </row>
    <row r="2919" spans="1:13" x14ac:dyDescent="0.3">
      <c r="A2919" t="s">
        <v>2949</v>
      </c>
      <c r="B2919" s="1">
        <v>45489</v>
      </c>
      <c r="C2919" t="s">
        <v>13</v>
      </c>
      <c r="D2919" t="s">
        <v>21</v>
      </c>
      <c r="E2919">
        <v>28</v>
      </c>
      <c r="F2919" t="s">
        <v>15</v>
      </c>
      <c r="G2919">
        <v>435.31</v>
      </c>
      <c r="H2919">
        <v>25</v>
      </c>
      <c r="I2919" t="s">
        <v>22</v>
      </c>
      <c r="J2919">
        <v>2.6</v>
      </c>
      <c r="K2919" t="s">
        <v>17</v>
      </c>
      <c r="L2919" t="s">
        <v>18</v>
      </c>
      <c r="M2919" t="str">
        <f>VLOOKUP(D2923,Restaurant_Master!A:B,2,FALSE)</f>
        <v>https://dynamic-media-cdn.tripadvisor.com/media/photo-o/1c/e7/04/0d/front-of-the-local-easily.jpg</v>
      </c>
    </row>
    <row r="2920" spans="1:13" x14ac:dyDescent="0.3">
      <c r="A2920" t="s">
        <v>2950</v>
      </c>
      <c r="B2920" s="1">
        <v>45316</v>
      </c>
      <c r="C2920" t="s">
        <v>43</v>
      </c>
      <c r="D2920" t="s">
        <v>38</v>
      </c>
      <c r="E2920">
        <v>22</v>
      </c>
      <c r="F2920" t="s">
        <v>15</v>
      </c>
      <c r="G2920">
        <v>927.41</v>
      </c>
      <c r="H2920">
        <v>38</v>
      </c>
      <c r="I2920" t="s">
        <v>22</v>
      </c>
      <c r="J2920">
        <v>3.6</v>
      </c>
      <c r="K2920" t="s">
        <v>17</v>
      </c>
      <c r="L2920" t="s">
        <v>18</v>
      </c>
      <c r="M2920" t="str">
        <f>VLOOKUP(D2924,Restaurant_Master!A:B,2,FALSE)</f>
        <v>https://dineout-media-assets.swiggy.com/swiggy/image/upload/fl_lossy,f_auto,q_auto/v1660793737/fdqxvxcxg1wtdwvyv45v.jpg</v>
      </c>
    </row>
    <row r="2921" spans="1:13" x14ac:dyDescent="0.3">
      <c r="A2921" t="s">
        <v>2951</v>
      </c>
      <c r="B2921" s="1">
        <v>45617</v>
      </c>
      <c r="C2921" t="s">
        <v>20</v>
      </c>
      <c r="D2921" t="s">
        <v>38</v>
      </c>
      <c r="E2921">
        <v>47</v>
      </c>
      <c r="F2921" t="s">
        <v>28</v>
      </c>
      <c r="G2921">
        <v>506.78</v>
      </c>
      <c r="H2921">
        <v>29</v>
      </c>
      <c r="I2921" t="s">
        <v>22</v>
      </c>
      <c r="J2921">
        <v>3.7</v>
      </c>
      <c r="K2921" t="s">
        <v>26</v>
      </c>
      <c r="L2921" t="s">
        <v>18</v>
      </c>
      <c r="M2921" t="str">
        <f>VLOOKUP(D2925,Restaurant_Master!A:B,2,FALSE)</f>
        <v>https://content.jdmagicbox.com/comp/deoria/g6/9999p5568.5568.200119143033.m4g6/catalogue/biryani-house-deoria-ho-deoria-mktc2xph0o.jpg</v>
      </c>
    </row>
    <row r="2922" spans="1:13" x14ac:dyDescent="0.3">
      <c r="A2922" t="s">
        <v>2952</v>
      </c>
      <c r="B2922" s="1">
        <v>45469</v>
      </c>
      <c r="C2922" t="s">
        <v>20</v>
      </c>
      <c r="D2922" t="s">
        <v>38</v>
      </c>
      <c r="E2922">
        <v>35</v>
      </c>
      <c r="F2922" t="s">
        <v>15</v>
      </c>
      <c r="G2922">
        <v>742.18</v>
      </c>
      <c r="H2922">
        <v>36</v>
      </c>
      <c r="I2922" t="s">
        <v>22</v>
      </c>
      <c r="J2922">
        <v>4.8</v>
      </c>
      <c r="K2922" t="s">
        <v>17</v>
      </c>
      <c r="L2922" t="s">
        <v>23</v>
      </c>
      <c r="M2922" t="str">
        <f>VLOOKUP(D2926,Restaurant_Master!A:B,2,FALSE)</f>
        <v>https://www.chatswoodinterchange.com/storages/2018/08/Sushi-World_666x448.jpg</v>
      </c>
    </row>
    <row r="2923" spans="1:13" x14ac:dyDescent="0.3">
      <c r="A2923" t="s">
        <v>2953</v>
      </c>
      <c r="B2923" s="1">
        <v>45351</v>
      </c>
      <c r="C2923" t="s">
        <v>43</v>
      </c>
      <c r="D2923" t="s">
        <v>21</v>
      </c>
      <c r="E2923">
        <v>46</v>
      </c>
      <c r="F2923" t="s">
        <v>15</v>
      </c>
      <c r="G2923">
        <v>388</v>
      </c>
      <c r="H2923">
        <v>44</v>
      </c>
      <c r="I2923" t="s">
        <v>16</v>
      </c>
      <c r="J2923">
        <v>2.7</v>
      </c>
      <c r="K2923" t="s">
        <v>17</v>
      </c>
      <c r="L2923" t="s">
        <v>23</v>
      </c>
      <c r="M2923" t="str">
        <f>VLOOKUP(D2927,Restaurant_Master!A:B,2,FALSE)</f>
        <v>https://content.jdmagicbox.com/comp/deoria/g6/9999p5568.5568.200119143033.m4g6/catalogue/biryani-house-deoria-ho-deoria-mktc2xph0o.jpg</v>
      </c>
    </row>
    <row r="2924" spans="1:13" x14ac:dyDescent="0.3">
      <c r="A2924" t="s">
        <v>2954</v>
      </c>
      <c r="B2924" s="1">
        <v>45614</v>
      </c>
      <c r="C2924" t="s">
        <v>34</v>
      </c>
      <c r="D2924" t="s">
        <v>14</v>
      </c>
      <c r="E2924">
        <v>57</v>
      </c>
      <c r="F2924" t="s">
        <v>15</v>
      </c>
      <c r="G2924">
        <v>493.22</v>
      </c>
      <c r="H2924">
        <v>23</v>
      </c>
      <c r="I2924" t="s">
        <v>22</v>
      </c>
      <c r="J2924">
        <v>3.7</v>
      </c>
      <c r="K2924" t="s">
        <v>29</v>
      </c>
      <c r="L2924" t="s">
        <v>18</v>
      </c>
      <c r="M2924" t="str">
        <f>VLOOKUP(D2928,Restaurant_Master!A:B,2,FALSE)</f>
        <v>https://dynamic-media-cdn.tripadvisor.com/media/photo-o/1c/e7/04/0d/front-of-the-local-easily.jpg</v>
      </c>
    </row>
    <row r="2925" spans="1:13" x14ac:dyDescent="0.3">
      <c r="A2925" t="s">
        <v>2955</v>
      </c>
      <c r="B2925" s="1">
        <v>45642</v>
      </c>
      <c r="C2925" t="s">
        <v>13</v>
      </c>
      <c r="D2925" t="s">
        <v>32</v>
      </c>
      <c r="E2925">
        <v>49</v>
      </c>
      <c r="F2925" t="s">
        <v>28</v>
      </c>
      <c r="G2925">
        <v>664.56</v>
      </c>
      <c r="H2925">
        <v>39</v>
      </c>
      <c r="I2925" t="s">
        <v>22</v>
      </c>
      <c r="J2925">
        <v>3.3</v>
      </c>
      <c r="K2925" t="s">
        <v>41</v>
      </c>
      <c r="L2925" t="s">
        <v>18</v>
      </c>
      <c r="M2925" t="str">
        <f>VLOOKUP(D2929,Restaurant_Master!A:B,2,FALSE)</f>
        <v>https://media-cdn.tripadvisor.com/media/photo-s/1c/c7/97/b6/photo6jpg.jpg</v>
      </c>
    </row>
    <row r="2926" spans="1:13" x14ac:dyDescent="0.3">
      <c r="A2926" t="s">
        <v>2956</v>
      </c>
      <c r="B2926" s="1">
        <v>45628</v>
      </c>
      <c r="C2926" t="s">
        <v>34</v>
      </c>
      <c r="D2926" t="s">
        <v>38</v>
      </c>
      <c r="E2926">
        <v>30</v>
      </c>
      <c r="F2926" t="s">
        <v>28</v>
      </c>
      <c r="G2926">
        <v>245.95</v>
      </c>
      <c r="H2926">
        <v>26</v>
      </c>
      <c r="I2926" t="s">
        <v>22</v>
      </c>
      <c r="J2926">
        <v>3.1</v>
      </c>
      <c r="K2926" t="s">
        <v>29</v>
      </c>
      <c r="L2926" t="s">
        <v>18</v>
      </c>
      <c r="M2926" t="str">
        <f>VLOOKUP(D2930,Restaurant_Master!A:B,2,FALSE)</f>
        <v>https://www.chatswoodinterchange.com/storages/2018/08/Sushi-World_666x448.jpg</v>
      </c>
    </row>
    <row r="2927" spans="1:13" x14ac:dyDescent="0.3">
      <c r="A2927" t="s">
        <v>2957</v>
      </c>
      <c r="B2927" s="1">
        <v>45487</v>
      </c>
      <c r="C2927" t="s">
        <v>20</v>
      </c>
      <c r="D2927" t="s">
        <v>32</v>
      </c>
      <c r="E2927">
        <v>29</v>
      </c>
      <c r="F2927" t="s">
        <v>28</v>
      </c>
      <c r="G2927">
        <v>485.44</v>
      </c>
      <c r="H2927">
        <v>59</v>
      </c>
      <c r="I2927" t="s">
        <v>16</v>
      </c>
      <c r="J2927">
        <v>4.0999999999999996</v>
      </c>
      <c r="K2927" t="s">
        <v>41</v>
      </c>
      <c r="L2927" t="s">
        <v>18</v>
      </c>
      <c r="M2927" t="str">
        <f>VLOOKUP(D2931,Restaurant_Master!A:B,2,FALSE)</f>
        <v>https://content.jdmagicbox.com/comp/deoria/g6/9999p5568.5568.200119143033.m4g6/catalogue/biryani-house-deoria-ho-deoria-mktc2xph0o.jpg</v>
      </c>
    </row>
    <row r="2928" spans="1:13" x14ac:dyDescent="0.3">
      <c r="A2928" t="s">
        <v>2958</v>
      </c>
      <c r="B2928" s="1">
        <v>45628</v>
      </c>
      <c r="C2928" t="s">
        <v>34</v>
      </c>
      <c r="D2928" t="s">
        <v>21</v>
      </c>
      <c r="E2928">
        <v>59</v>
      </c>
      <c r="F2928" t="s">
        <v>15</v>
      </c>
      <c r="G2928">
        <v>241.24</v>
      </c>
      <c r="H2928">
        <v>20</v>
      </c>
      <c r="I2928" t="s">
        <v>22</v>
      </c>
      <c r="J2928">
        <v>3.3</v>
      </c>
      <c r="K2928" t="s">
        <v>26</v>
      </c>
      <c r="L2928" t="s">
        <v>18</v>
      </c>
      <c r="M2928" t="str">
        <f>VLOOKUP(D2932,Restaurant_Master!A:B,2,FALSE)</f>
        <v>https://media-cdn.tripadvisor.com/media/photo-s/1c/c7/97/b6/photo6jpg.jpg</v>
      </c>
    </row>
    <row r="2929" spans="1:13" x14ac:dyDescent="0.3">
      <c r="A2929" t="s">
        <v>2959</v>
      </c>
      <c r="B2929" s="1">
        <v>45613</v>
      </c>
      <c r="C2929" t="s">
        <v>36</v>
      </c>
      <c r="D2929" t="s">
        <v>25</v>
      </c>
      <c r="E2929">
        <v>37</v>
      </c>
      <c r="F2929" t="s">
        <v>28</v>
      </c>
      <c r="G2929">
        <v>857.34</v>
      </c>
      <c r="H2929">
        <v>41</v>
      </c>
      <c r="I2929" t="s">
        <v>16</v>
      </c>
      <c r="J2929">
        <v>3.6</v>
      </c>
      <c r="K2929" t="s">
        <v>26</v>
      </c>
      <c r="L2929" t="s">
        <v>23</v>
      </c>
      <c r="M2929" t="str">
        <f>VLOOKUP(D2933,Restaurant_Master!A:B,2,FALSE)</f>
        <v>https://dineout-media-assets.swiggy.com/swiggy/image/upload/fl_lossy,f_auto,q_auto/v1660793737/fdqxvxcxg1wtdwvyv45v.jpg</v>
      </c>
    </row>
    <row r="2930" spans="1:13" x14ac:dyDescent="0.3">
      <c r="A2930" t="s">
        <v>2960</v>
      </c>
      <c r="B2930" s="1">
        <v>45510</v>
      </c>
      <c r="C2930" t="s">
        <v>20</v>
      </c>
      <c r="D2930" t="s">
        <v>38</v>
      </c>
      <c r="E2930">
        <v>40</v>
      </c>
      <c r="F2930" t="s">
        <v>15</v>
      </c>
      <c r="G2930">
        <v>1158.03</v>
      </c>
      <c r="H2930">
        <v>33</v>
      </c>
      <c r="I2930" t="s">
        <v>22</v>
      </c>
      <c r="J2930">
        <v>4</v>
      </c>
      <c r="K2930" t="s">
        <v>26</v>
      </c>
      <c r="L2930" t="s">
        <v>23</v>
      </c>
      <c r="M2930" t="str">
        <f>VLOOKUP(D2934,Restaurant_Master!A:B,2,FALSE)</f>
        <v>https://content.jdmagicbox.com/comp/deoria/g6/9999p5568.5568.200119143033.m4g6/catalogue/biryani-house-deoria-ho-deoria-mktc2xph0o.jpg</v>
      </c>
    </row>
    <row r="2931" spans="1:13" x14ac:dyDescent="0.3">
      <c r="A2931" t="s">
        <v>2961</v>
      </c>
      <c r="B2931" s="1">
        <v>45536</v>
      </c>
      <c r="C2931" t="s">
        <v>34</v>
      </c>
      <c r="D2931" t="s">
        <v>32</v>
      </c>
      <c r="E2931">
        <v>54</v>
      </c>
      <c r="F2931" t="s">
        <v>28</v>
      </c>
      <c r="G2931">
        <v>489.32</v>
      </c>
      <c r="H2931">
        <v>43</v>
      </c>
      <c r="I2931" t="s">
        <v>16</v>
      </c>
      <c r="J2931">
        <v>4.5</v>
      </c>
      <c r="K2931" t="s">
        <v>26</v>
      </c>
      <c r="L2931" t="s">
        <v>23</v>
      </c>
      <c r="M2931" t="str">
        <f>VLOOKUP(D2935,Restaurant_Master!A:B,2,FALSE)</f>
        <v>https://content.jdmagicbox.com/comp/deoria/g6/9999p5568.5568.200119143033.m4g6/catalogue/biryani-house-deoria-ho-deoria-mktc2xph0o.jpg</v>
      </c>
    </row>
    <row r="2932" spans="1:13" x14ac:dyDescent="0.3">
      <c r="A2932" t="s">
        <v>2962</v>
      </c>
      <c r="B2932" s="1">
        <v>45554</v>
      </c>
      <c r="C2932" t="s">
        <v>36</v>
      </c>
      <c r="D2932" t="s">
        <v>25</v>
      </c>
      <c r="E2932">
        <v>30</v>
      </c>
      <c r="F2932" t="s">
        <v>28</v>
      </c>
      <c r="G2932">
        <v>1172.93</v>
      </c>
      <c r="H2932">
        <v>30</v>
      </c>
      <c r="I2932" t="s">
        <v>22</v>
      </c>
      <c r="J2932">
        <v>3.3</v>
      </c>
      <c r="K2932" t="s">
        <v>41</v>
      </c>
      <c r="L2932" t="s">
        <v>23</v>
      </c>
      <c r="M2932" t="str">
        <f>VLOOKUP(D2936,Restaurant_Master!A:B,2,FALSE)</f>
        <v>https://content.jdmagicbox.com/comp/deoria/g6/9999p5568.5568.200119143033.m4g6/catalogue/biryani-house-deoria-ho-deoria-mktc2xph0o.jpg</v>
      </c>
    </row>
    <row r="2933" spans="1:13" x14ac:dyDescent="0.3">
      <c r="A2933" t="s">
        <v>2963</v>
      </c>
      <c r="B2933" s="1">
        <v>45578</v>
      </c>
      <c r="C2933" t="s">
        <v>34</v>
      </c>
      <c r="D2933" t="s">
        <v>14</v>
      </c>
      <c r="E2933">
        <v>42</v>
      </c>
      <c r="F2933" t="s">
        <v>28</v>
      </c>
      <c r="G2933">
        <v>970.31</v>
      </c>
      <c r="H2933">
        <v>47</v>
      </c>
      <c r="I2933" t="s">
        <v>16</v>
      </c>
      <c r="J2933">
        <v>4.5999999999999996</v>
      </c>
      <c r="K2933" t="s">
        <v>17</v>
      </c>
      <c r="L2933" t="s">
        <v>18</v>
      </c>
      <c r="M2933" t="str">
        <f>VLOOKUP(D2937,Restaurant_Master!A:B,2,FALSE)</f>
        <v>https://media-cdn.tripadvisor.com/media/photo-s/1c/c7/97/b6/photo6jpg.jpg</v>
      </c>
    </row>
    <row r="2934" spans="1:13" x14ac:dyDescent="0.3">
      <c r="A2934" t="s">
        <v>2964</v>
      </c>
      <c r="B2934" s="1">
        <v>45403</v>
      </c>
      <c r="C2934" t="s">
        <v>13</v>
      </c>
      <c r="D2934" t="s">
        <v>32</v>
      </c>
      <c r="E2934">
        <v>52</v>
      </c>
      <c r="F2934" t="s">
        <v>28</v>
      </c>
      <c r="G2934">
        <v>470.91</v>
      </c>
      <c r="H2934">
        <v>37</v>
      </c>
      <c r="I2934" t="s">
        <v>22</v>
      </c>
      <c r="J2934">
        <v>2.5</v>
      </c>
      <c r="K2934" t="s">
        <v>29</v>
      </c>
      <c r="L2934" t="s">
        <v>23</v>
      </c>
      <c r="M2934" t="str">
        <f>VLOOKUP(D2938,Restaurant_Master!A:B,2,FALSE)</f>
        <v>https://dynamic-media-cdn.tripadvisor.com/media/photo-o/1c/e7/04/0d/front-of-the-local-easily.jpg</v>
      </c>
    </row>
    <row r="2935" spans="1:13" x14ac:dyDescent="0.3">
      <c r="A2935" t="s">
        <v>2965</v>
      </c>
      <c r="B2935" s="1">
        <v>45315</v>
      </c>
      <c r="C2935" t="s">
        <v>34</v>
      </c>
      <c r="D2935" t="s">
        <v>32</v>
      </c>
      <c r="E2935">
        <v>45</v>
      </c>
      <c r="F2935" t="s">
        <v>28</v>
      </c>
      <c r="G2935">
        <v>651.12</v>
      </c>
      <c r="H2935">
        <v>48</v>
      </c>
      <c r="I2935" t="s">
        <v>16</v>
      </c>
      <c r="J2935">
        <v>4.4000000000000004</v>
      </c>
      <c r="K2935" t="s">
        <v>17</v>
      </c>
      <c r="L2935" t="s">
        <v>18</v>
      </c>
      <c r="M2935" t="str">
        <f>VLOOKUP(D2939,Restaurant_Master!A:B,2,FALSE)</f>
        <v>https://dineout-media-assets.swiggy.com/swiggy/image/upload/fl_lossy,f_auto,q_auto/v1660793737/fdqxvxcxg1wtdwvyv45v.jpg</v>
      </c>
    </row>
    <row r="2936" spans="1:13" x14ac:dyDescent="0.3">
      <c r="A2936" t="s">
        <v>2966</v>
      </c>
      <c r="B2936" s="1">
        <v>45315</v>
      </c>
      <c r="C2936" t="s">
        <v>34</v>
      </c>
      <c r="D2936" t="s">
        <v>32</v>
      </c>
      <c r="E2936">
        <v>60</v>
      </c>
      <c r="F2936" t="s">
        <v>28</v>
      </c>
      <c r="G2936">
        <v>1126.6400000000001</v>
      </c>
      <c r="H2936">
        <v>32</v>
      </c>
      <c r="I2936" t="s">
        <v>22</v>
      </c>
      <c r="J2936">
        <v>3</v>
      </c>
      <c r="K2936" t="s">
        <v>41</v>
      </c>
      <c r="L2936" t="s">
        <v>23</v>
      </c>
      <c r="M2936" t="str">
        <f>VLOOKUP(D2940,Restaurant_Master!A:B,2,FALSE)</f>
        <v>https://dynamic-media-cdn.tripadvisor.com/media/photo-o/1c/e7/04/0d/front-of-the-local-easily.jpg</v>
      </c>
    </row>
    <row r="2937" spans="1:13" x14ac:dyDescent="0.3">
      <c r="A2937" t="s">
        <v>2967</v>
      </c>
      <c r="B2937" s="1">
        <v>45487</v>
      </c>
      <c r="C2937" t="s">
        <v>36</v>
      </c>
      <c r="D2937" t="s">
        <v>25</v>
      </c>
      <c r="E2937">
        <v>59</v>
      </c>
      <c r="F2937" t="s">
        <v>15</v>
      </c>
      <c r="G2937">
        <v>314.25</v>
      </c>
      <c r="H2937">
        <v>22</v>
      </c>
      <c r="I2937" t="s">
        <v>22</v>
      </c>
      <c r="J2937">
        <v>4.7</v>
      </c>
      <c r="K2937" t="s">
        <v>41</v>
      </c>
      <c r="L2937" t="s">
        <v>23</v>
      </c>
      <c r="M2937" t="str">
        <f>VLOOKUP(D2941,Restaurant_Master!A:B,2,FALSE)</f>
        <v>https://dynamic-media-cdn.tripadvisor.com/media/photo-o/1c/e7/04/0d/front-of-the-local-easily.jpg</v>
      </c>
    </row>
    <row r="2938" spans="1:13" x14ac:dyDescent="0.3">
      <c r="A2938" t="s">
        <v>2968</v>
      </c>
      <c r="B2938" s="1">
        <v>45477</v>
      </c>
      <c r="C2938" t="s">
        <v>43</v>
      </c>
      <c r="D2938" t="s">
        <v>21</v>
      </c>
      <c r="E2938">
        <v>25</v>
      </c>
      <c r="F2938" t="s">
        <v>28</v>
      </c>
      <c r="G2938">
        <v>596.72</v>
      </c>
      <c r="H2938">
        <v>20</v>
      </c>
      <c r="I2938" t="s">
        <v>22</v>
      </c>
      <c r="J2938">
        <v>4.9000000000000004</v>
      </c>
      <c r="K2938" t="s">
        <v>29</v>
      </c>
      <c r="L2938" t="s">
        <v>23</v>
      </c>
      <c r="M2938" t="str">
        <f>VLOOKUP(D2942,Restaurant_Master!A:B,2,FALSE)</f>
        <v>https://www.chatswoodinterchange.com/storages/2018/08/Sushi-World_666x448.jpg</v>
      </c>
    </row>
    <row r="2939" spans="1:13" x14ac:dyDescent="0.3">
      <c r="A2939" t="s">
        <v>2969</v>
      </c>
      <c r="B2939" s="1">
        <v>45616</v>
      </c>
      <c r="C2939" t="s">
        <v>43</v>
      </c>
      <c r="D2939" t="s">
        <v>14</v>
      </c>
      <c r="E2939">
        <v>25</v>
      </c>
      <c r="F2939" t="s">
        <v>28</v>
      </c>
      <c r="G2939">
        <v>1050.52</v>
      </c>
      <c r="H2939">
        <v>46</v>
      </c>
      <c r="I2939" t="s">
        <v>16</v>
      </c>
      <c r="J2939">
        <v>3.7</v>
      </c>
      <c r="K2939" t="s">
        <v>17</v>
      </c>
      <c r="L2939" t="s">
        <v>18</v>
      </c>
      <c r="M2939" t="str">
        <f>VLOOKUP(D2943,Restaurant_Master!A:B,2,FALSE)</f>
        <v>https://dynamic-media-cdn.tripadvisor.com/media/photo-o/1c/e7/04/0d/front-of-the-local-easily.jpg</v>
      </c>
    </row>
    <row r="2940" spans="1:13" x14ac:dyDescent="0.3">
      <c r="A2940" t="s">
        <v>2970</v>
      </c>
      <c r="B2940" s="1">
        <v>45360</v>
      </c>
      <c r="C2940" t="s">
        <v>20</v>
      </c>
      <c r="D2940" t="s">
        <v>21</v>
      </c>
      <c r="E2940">
        <v>43</v>
      </c>
      <c r="F2940" t="s">
        <v>28</v>
      </c>
      <c r="G2940">
        <v>187.48</v>
      </c>
      <c r="H2940">
        <v>30</v>
      </c>
      <c r="I2940" t="s">
        <v>22</v>
      </c>
      <c r="J2940">
        <v>3.3</v>
      </c>
      <c r="K2940" t="s">
        <v>17</v>
      </c>
      <c r="L2940" t="s">
        <v>23</v>
      </c>
      <c r="M2940" t="str">
        <f>VLOOKUP(D2944,Restaurant_Master!A:B,2,FALSE)</f>
        <v>https://www.chatswoodinterchange.com/storages/2018/08/Sushi-World_666x448.jpg</v>
      </c>
    </row>
    <row r="2941" spans="1:13" x14ac:dyDescent="0.3">
      <c r="A2941" t="s">
        <v>2971</v>
      </c>
      <c r="B2941" s="1">
        <v>45422</v>
      </c>
      <c r="C2941" t="s">
        <v>34</v>
      </c>
      <c r="D2941" t="s">
        <v>21</v>
      </c>
      <c r="E2941">
        <v>22</v>
      </c>
      <c r="F2941" t="s">
        <v>28</v>
      </c>
      <c r="G2941">
        <v>1048.42</v>
      </c>
      <c r="H2941">
        <v>53</v>
      </c>
      <c r="I2941" t="s">
        <v>16</v>
      </c>
      <c r="J2941">
        <v>3.4</v>
      </c>
      <c r="K2941" t="s">
        <v>41</v>
      </c>
      <c r="L2941" t="s">
        <v>23</v>
      </c>
      <c r="M2941" t="str">
        <f>VLOOKUP(D2945,Restaurant_Master!A:B,2,FALSE)</f>
        <v>https://www.chatswoodinterchange.com/storages/2018/08/Sushi-World_666x448.jpg</v>
      </c>
    </row>
    <row r="2942" spans="1:13" x14ac:dyDescent="0.3">
      <c r="A2942" t="s">
        <v>2972</v>
      </c>
      <c r="B2942" s="1">
        <v>45482</v>
      </c>
      <c r="C2942" t="s">
        <v>13</v>
      </c>
      <c r="D2942" t="s">
        <v>38</v>
      </c>
      <c r="E2942">
        <v>56</v>
      </c>
      <c r="F2942" t="s">
        <v>28</v>
      </c>
      <c r="G2942">
        <v>330.64</v>
      </c>
      <c r="H2942">
        <v>22</v>
      </c>
      <c r="I2942" t="s">
        <v>22</v>
      </c>
      <c r="J2942">
        <v>2.5</v>
      </c>
      <c r="K2942" t="s">
        <v>17</v>
      </c>
      <c r="L2942" t="s">
        <v>18</v>
      </c>
      <c r="M2942" t="str">
        <f>VLOOKUP(D2946,Restaurant_Master!A:B,2,FALSE)</f>
        <v>https://content.jdmagicbox.com/comp/deoria/g6/9999p5568.5568.200119143033.m4g6/catalogue/biryani-house-deoria-ho-deoria-mktc2xph0o.jpg</v>
      </c>
    </row>
    <row r="2943" spans="1:13" x14ac:dyDescent="0.3">
      <c r="A2943" t="s">
        <v>2973</v>
      </c>
      <c r="B2943" s="1">
        <v>45560</v>
      </c>
      <c r="C2943" t="s">
        <v>13</v>
      </c>
      <c r="D2943" t="s">
        <v>21</v>
      </c>
      <c r="E2943">
        <v>56</v>
      </c>
      <c r="F2943" t="s">
        <v>28</v>
      </c>
      <c r="G2943">
        <v>619.03</v>
      </c>
      <c r="H2943">
        <v>23</v>
      </c>
      <c r="I2943" t="s">
        <v>22</v>
      </c>
      <c r="J2943">
        <v>4.7</v>
      </c>
      <c r="K2943" t="s">
        <v>17</v>
      </c>
      <c r="L2943" t="s">
        <v>23</v>
      </c>
      <c r="M2943" t="str">
        <f>VLOOKUP(D2947,Restaurant_Master!A:B,2,FALSE)</f>
        <v>https://www.chatswoodinterchange.com/storages/2018/08/Sushi-World_666x448.jpg</v>
      </c>
    </row>
    <row r="2944" spans="1:13" x14ac:dyDescent="0.3">
      <c r="A2944" t="s">
        <v>2974</v>
      </c>
      <c r="B2944" s="1">
        <v>45467</v>
      </c>
      <c r="C2944" t="s">
        <v>34</v>
      </c>
      <c r="D2944" t="s">
        <v>38</v>
      </c>
      <c r="E2944">
        <v>37</v>
      </c>
      <c r="F2944" t="s">
        <v>28</v>
      </c>
      <c r="G2944">
        <v>408.61</v>
      </c>
      <c r="H2944">
        <v>34</v>
      </c>
      <c r="I2944" t="s">
        <v>22</v>
      </c>
      <c r="J2944">
        <v>2.9</v>
      </c>
      <c r="K2944" t="s">
        <v>29</v>
      </c>
      <c r="L2944" t="s">
        <v>18</v>
      </c>
      <c r="M2944" t="str">
        <f>VLOOKUP(D2948,Restaurant_Master!A:B,2,FALSE)</f>
        <v>https://media-cdn.tripadvisor.com/media/photo-s/1c/c7/97/b6/photo6jpg.jpg</v>
      </c>
    </row>
    <row r="2945" spans="1:13" x14ac:dyDescent="0.3">
      <c r="A2945" t="s">
        <v>2975</v>
      </c>
      <c r="B2945" s="1">
        <v>45630</v>
      </c>
      <c r="C2945" t="s">
        <v>13</v>
      </c>
      <c r="D2945" t="s">
        <v>38</v>
      </c>
      <c r="E2945">
        <v>33</v>
      </c>
      <c r="F2945" t="s">
        <v>15</v>
      </c>
      <c r="G2945">
        <v>425.73</v>
      </c>
      <c r="H2945">
        <v>55</v>
      </c>
      <c r="I2945" t="s">
        <v>16</v>
      </c>
      <c r="J2945">
        <v>4.2</v>
      </c>
      <c r="K2945" t="s">
        <v>29</v>
      </c>
      <c r="L2945" t="s">
        <v>23</v>
      </c>
      <c r="M2945" t="str">
        <f>VLOOKUP(D2949,Restaurant_Master!A:B,2,FALSE)</f>
        <v>https://content.jdmagicbox.com/comp/deoria/g6/9999p5568.5568.200119143033.m4g6/catalogue/biryani-house-deoria-ho-deoria-mktc2xph0o.jpg</v>
      </c>
    </row>
    <row r="2946" spans="1:13" x14ac:dyDescent="0.3">
      <c r="A2946" t="s">
        <v>2976</v>
      </c>
      <c r="B2946" s="1">
        <v>45559</v>
      </c>
      <c r="C2946" t="s">
        <v>13</v>
      </c>
      <c r="D2946" t="s">
        <v>32</v>
      </c>
      <c r="E2946">
        <v>41</v>
      </c>
      <c r="F2946" t="s">
        <v>15</v>
      </c>
      <c r="G2946">
        <v>622.61</v>
      </c>
      <c r="H2946">
        <v>51</v>
      </c>
      <c r="I2946" t="s">
        <v>16</v>
      </c>
      <c r="J2946">
        <v>4.5</v>
      </c>
      <c r="K2946" t="s">
        <v>26</v>
      </c>
      <c r="L2946" t="s">
        <v>23</v>
      </c>
      <c r="M2946" t="str">
        <f>VLOOKUP(D2950,Restaurant_Master!A:B,2,FALSE)</f>
        <v>https://www.chatswoodinterchange.com/storages/2018/08/Sushi-World_666x448.jpg</v>
      </c>
    </row>
    <row r="2947" spans="1:13" x14ac:dyDescent="0.3">
      <c r="A2947" t="s">
        <v>2977</v>
      </c>
      <c r="B2947" s="1">
        <v>45295</v>
      </c>
      <c r="C2947" t="s">
        <v>34</v>
      </c>
      <c r="D2947" t="s">
        <v>38</v>
      </c>
      <c r="E2947">
        <v>52</v>
      </c>
      <c r="F2947" t="s">
        <v>28</v>
      </c>
      <c r="G2947">
        <v>800.46</v>
      </c>
      <c r="H2947">
        <v>55</v>
      </c>
      <c r="I2947" t="s">
        <v>16</v>
      </c>
      <c r="J2947">
        <v>4.2</v>
      </c>
      <c r="K2947" t="s">
        <v>41</v>
      </c>
      <c r="L2947" t="s">
        <v>18</v>
      </c>
      <c r="M2947" t="str">
        <f>VLOOKUP(D2951,Restaurant_Master!A:B,2,FALSE)</f>
        <v>https://www.chatswoodinterchange.com/storages/2018/08/Sushi-World_666x448.jpg</v>
      </c>
    </row>
    <row r="2948" spans="1:13" x14ac:dyDescent="0.3">
      <c r="A2948" t="s">
        <v>2978</v>
      </c>
      <c r="B2948" s="1">
        <v>45485</v>
      </c>
      <c r="C2948" t="s">
        <v>13</v>
      </c>
      <c r="D2948" t="s">
        <v>25</v>
      </c>
      <c r="E2948">
        <v>46</v>
      </c>
      <c r="F2948" t="s">
        <v>28</v>
      </c>
      <c r="G2948">
        <v>246.3</v>
      </c>
      <c r="H2948">
        <v>35</v>
      </c>
      <c r="I2948" t="s">
        <v>22</v>
      </c>
      <c r="J2948">
        <v>2.6</v>
      </c>
      <c r="K2948" t="s">
        <v>17</v>
      </c>
      <c r="L2948" t="s">
        <v>18</v>
      </c>
      <c r="M2948" t="str">
        <f>VLOOKUP(D2952,Restaurant_Master!A:B,2,FALSE)</f>
        <v>https://dineout-media-assets.swiggy.com/swiggy/image/upload/fl_lossy,f_auto,q_auto/v1660793737/fdqxvxcxg1wtdwvyv45v.jpg</v>
      </c>
    </row>
    <row r="2949" spans="1:13" x14ac:dyDescent="0.3">
      <c r="A2949" t="s">
        <v>2979</v>
      </c>
      <c r="B2949" s="1">
        <v>45569</v>
      </c>
      <c r="C2949" t="s">
        <v>43</v>
      </c>
      <c r="D2949" t="s">
        <v>32</v>
      </c>
      <c r="E2949">
        <v>45</v>
      </c>
      <c r="F2949" t="s">
        <v>28</v>
      </c>
      <c r="G2949">
        <v>777.57</v>
      </c>
      <c r="H2949">
        <v>21</v>
      </c>
      <c r="I2949" t="s">
        <v>22</v>
      </c>
      <c r="J2949">
        <v>4.3</v>
      </c>
      <c r="K2949" t="s">
        <v>26</v>
      </c>
      <c r="L2949" t="s">
        <v>18</v>
      </c>
      <c r="M2949" t="str">
        <f>VLOOKUP(D2953,Restaurant_Master!A:B,2,FALSE)</f>
        <v>https://content.jdmagicbox.com/comp/deoria/g6/9999p5568.5568.200119143033.m4g6/catalogue/biryani-house-deoria-ho-deoria-mktc2xph0o.jpg</v>
      </c>
    </row>
    <row r="2950" spans="1:13" x14ac:dyDescent="0.3">
      <c r="A2950" t="s">
        <v>2980</v>
      </c>
      <c r="B2950" s="1">
        <v>45557</v>
      </c>
      <c r="C2950" t="s">
        <v>43</v>
      </c>
      <c r="D2950" t="s">
        <v>38</v>
      </c>
      <c r="E2950">
        <v>55</v>
      </c>
      <c r="F2950" t="s">
        <v>28</v>
      </c>
      <c r="G2950">
        <v>1055.68</v>
      </c>
      <c r="H2950">
        <v>22</v>
      </c>
      <c r="I2950" t="s">
        <v>22</v>
      </c>
      <c r="J2950">
        <v>5</v>
      </c>
      <c r="K2950" t="s">
        <v>17</v>
      </c>
      <c r="L2950" t="s">
        <v>23</v>
      </c>
      <c r="M2950" t="str">
        <f>VLOOKUP(D2954,Restaurant_Master!A:B,2,FALSE)</f>
        <v>https://dineout-media-assets.swiggy.com/swiggy/image/upload/fl_lossy,f_auto,q_auto/v1660793737/fdqxvxcxg1wtdwvyv45v.jpg</v>
      </c>
    </row>
    <row r="2951" spans="1:13" x14ac:dyDescent="0.3">
      <c r="A2951" t="s">
        <v>2981</v>
      </c>
      <c r="B2951" s="1">
        <v>45500</v>
      </c>
      <c r="C2951" t="s">
        <v>20</v>
      </c>
      <c r="D2951" t="s">
        <v>38</v>
      </c>
      <c r="E2951">
        <v>21</v>
      </c>
      <c r="F2951" t="s">
        <v>15</v>
      </c>
      <c r="G2951">
        <v>715.15</v>
      </c>
      <c r="H2951">
        <v>50</v>
      </c>
      <c r="I2951" t="s">
        <v>16</v>
      </c>
      <c r="J2951">
        <v>4.8</v>
      </c>
      <c r="K2951" t="s">
        <v>41</v>
      </c>
      <c r="L2951" t="s">
        <v>23</v>
      </c>
      <c r="M2951" t="str">
        <f>VLOOKUP(D2955,Restaurant_Master!A:B,2,FALSE)</f>
        <v>https://dynamic-media-cdn.tripadvisor.com/media/photo-o/1c/e7/04/0d/front-of-the-local-easily.jpg</v>
      </c>
    </row>
    <row r="2952" spans="1:13" x14ac:dyDescent="0.3">
      <c r="A2952" t="s">
        <v>2982</v>
      </c>
      <c r="B2952" s="1">
        <v>45547</v>
      </c>
      <c r="C2952" t="s">
        <v>36</v>
      </c>
      <c r="D2952" t="s">
        <v>14</v>
      </c>
      <c r="E2952">
        <v>26</v>
      </c>
      <c r="F2952" t="s">
        <v>28</v>
      </c>
      <c r="G2952">
        <v>1106.5</v>
      </c>
      <c r="H2952">
        <v>27</v>
      </c>
      <c r="I2952" t="s">
        <v>22</v>
      </c>
      <c r="J2952">
        <v>4.5</v>
      </c>
      <c r="K2952" t="s">
        <v>41</v>
      </c>
      <c r="L2952" t="s">
        <v>18</v>
      </c>
      <c r="M2952" t="str">
        <f>VLOOKUP(D2956,Restaurant_Master!A:B,2,FALSE)</f>
        <v>https://dineout-media-assets.swiggy.com/swiggy/image/upload/fl_lossy,f_auto,q_auto/v1660793737/fdqxvxcxg1wtdwvyv45v.jpg</v>
      </c>
    </row>
    <row r="2953" spans="1:13" x14ac:dyDescent="0.3">
      <c r="A2953" t="s">
        <v>2983</v>
      </c>
      <c r="B2953" s="1">
        <v>45493</v>
      </c>
      <c r="C2953" t="s">
        <v>36</v>
      </c>
      <c r="D2953" t="s">
        <v>32</v>
      </c>
      <c r="E2953">
        <v>31</v>
      </c>
      <c r="F2953" t="s">
        <v>28</v>
      </c>
      <c r="G2953">
        <v>683.38</v>
      </c>
      <c r="H2953">
        <v>59</v>
      </c>
      <c r="I2953" t="s">
        <v>16</v>
      </c>
      <c r="J2953">
        <v>2.7</v>
      </c>
      <c r="K2953" t="s">
        <v>29</v>
      </c>
      <c r="L2953" t="s">
        <v>18</v>
      </c>
      <c r="M2953" t="str">
        <f>VLOOKUP(D2957,Restaurant_Master!A:B,2,FALSE)</f>
        <v>https://dineout-media-assets.swiggy.com/swiggy/image/upload/fl_lossy,f_auto,q_auto/v1660793737/fdqxvxcxg1wtdwvyv45v.jpg</v>
      </c>
    </row>
    <row r="2954" spans="1:13" x14ac:dyDescent="0.3">
      <c r="A2954" t="s">
        <v>2984</v>
      </c>
      <c r="B2954" s="1">
        <v>45558</v>
      </c>
      <c r="C2954" t="s">
        <v>13</v>
      </c>
      <c r="D2954" t="s">
        <v>14</v>
      </c>
      <c r="E2954">
        <v>50</v>
      </c>
      <c r="F2954" t="s">
        <v>15</v>
      </c>
      <c r="G2954">
        <v>574.72</v>
      </c>
      <c r="H2954">
        <v>52</v>
      </c>
      <c r="I2954" t="s">
        <v>16</v>
      </c>
      <c r="J2954">
        <v>3.2</v>
      </c>
      <c r="K2954" t="s">
        <v>17</v>
      </c>
      <c r="L2954" t="s">
        <v>23</v>
      </c>
      <c r="M2954" t="str">
        <f>VLOOKUP(D2958,Restaurant_Master!A:B,2,FALSE)</f>
        <v>https://dynamic-media-cdn.tripadvisor.com/media/photo-o/1c/e7/04/0d/front-of-the-local-easily.jpg</v>
      </c>
    </row>
    <row r="2955" spans="1:13" x14ac:dyDescent="0.3">
      <c r="A2955" t="s">
        <v>2985</v>
      </c>
      <c r="B2955" s="1">
        <v>45356</v>
      </c>
      <c r="C2955" t="s">
        <v>34</v>
      </c>
      <c r="D2955" t="s">
        <v>21</v>
      </c>
      <c r="E2955">
        <v>57</v>
      </c>
      <c r="F2955" t="s">
        <v>28</v>
      </c>
      <c r="G2955">
        <v>1050.3399999999999</v>
      </c>
      <c r="H2955">
        <v>58</v>
      </c>
      <c r="I2955" t="s">
        <v>16</v>
      </c>
      <c r="J2955">
        <v>3.6</v>
      </c>
      <c r="K2955" t="s">
        <v>29</v>
      </c>
      <c r="L2955" t="s">
        <v>23</v>
      </c>
      <c r="M2955" t="str">
        <f>VLOOKUP(D2959,Restaurant_Master!A:B,2,FALSE)</f>
        <v>https://media-cdn.tripadvisor.com/media/photo-s/1c/c7/97/b6/photo6jpg.jpg</v>
      </c>
    </row>
    <row r="2956" spans="1:13" x14ac:dyDescent="0.3">
      <c r="A2956" t="s">
        <v>2986</v>
      </c>
      <c r="B2956" s="1">
        <v>45595</v>
      </c>
      <c r="C2956" t="s">
        <v>43</v>
      </c>
      <c r="D2956" t="s">
        <v>14</v>
      </c>
      <c r="E2956">
        <v>46</v>
      </c>
      <c r="F2956" t="s">
        <v>28</v>
      </c>
      <c r="G2956">
        <v>163.31</v>
      </c>
      <c r="H2956">
        <v>29</v>
      </c>
      <c r="I2956" t="s">
        <v>22</v>
      </c>
      <c r="J2956">
        <v>4.8</v>
      </c>
      <c r="K2956" t="s">
        <v>29</v>
      </c>
      <c r="L2956" t="s">
        <v>18</v>
      </c>
      <c r="M2956" t="str">
        <f>VLOOKUP(D2960,Restaurant_Master!A:B,2,FALSE)</f>
        <v>https://media-cdn.tripadvisor.com/media/photo-s/1c/c7/97/b6/photo6jpg.jpg</v>
      </c>
    </row>
    <row r="2957" spans="1:13" x14ac:dyDescent="0.3">
      <c r="A2957" t="s">
        <v>2987</v>
      </c>
      <c r="B2957" s="1">
        <v>45610</v>
      </c>
      <c r="C2957" t="s">
        <v>43</v>
      </c>
      <c r="D2957" t="s">
        <v>14</v>
      </c>
      <c r="E2957">
        <v>33</v>
      </c>
      <c r="F2957" t="s">
        <v>28</v>
      </c>
      <c r="G2957">
        <v>757.98</v>
      </c>
      <c r="H2957">
        <v>55</v>
      </c>
      <c r="I2957" t="s">
        <v>16</v>
      </c>
      <c r="J2957">
        <v>4.7</v>
      </c>
      <c r="K2957" t="s">
        <v>41</v>
      </c>
      <c r="L2957" t="s">
        <v>18</v>
      </c>
      <c r="M2957" t="str">
        <f>VLOOKUP(D2961,Restaurant_Master!A:B,2,FALSE)</f>
        <v>https://media-cdn.tripadvisor.com/media/photo-s/1c/c7/97/b6/photo6jpg.jpg</v>
      </c>
    </row>
    <row r="2958" spans="1:13" x14ac:dyDescent="0.3">
      <c r="A2958" t="s">
        <v>2988</v>
      </c>
      <c r="B2958" s="1">
        <v>45417</v>
      </c>
      <c r="C2958" t="s">
        <v>13</v>
      </c>
      <c r="D2958" t="s">
        <v>21</v>
      </c>
      <c r="E2958">
        <v>51</v>
      </c>
      <c r="F2958" t="s">
        <v>28</v>
      </c>
      <c r="G2958">
        <v>763.11</v>
      </c>
      <c r="H2958">
        <v>42</v>
      </c>
      <c r="I2958" t="s">
        <v>16</v>
      </c>
      <c r="J2958">
        <v>5</v>
      </c>
      <c r="K2958" t="s">
        <v>17</v>
      </c>
      <c r="L2958" t="s">
        <v>23</v>
      </c>
      <c r="M2958" t="str">
        <f>VLOOKUP(D2962,Restaurant_Master!A:B,2,FALSE)</f>
        <v>https://media-cdn.tripadvisor.com/media/photo-s/1c/c7/97/b6/photo6jpg.jpg</v>
      </c>
    </row>
    <row r="2959" spans="1:13" x14ac:dyDescent="0.3">
      <c r="A2959" t="s">
        <v>2989</v>
      </c>
      <c r="B2959" s="1">
        <v>45499</v>
      </c>
      <c r="C2959" t="s">
        <v>36</v>
      </c>
      <c r="D2959" t="s">
        <v>25</v>
      </c>
      <c r="E2959">
        <v>25</v>
      </c>
      <c r="F2959" t="s">
        <v>28</v>
      </c>
      <c r="G2959">
        <v>1162.4000000000001</v>
      </c>
      <c r="H2959">
        <v>31</v>
      </c>
      <c r="I2959" t="s">
        <v>22</v>
      </c>
      <c r="J2959">
        <v>2.7</v>
      </c>
      <c r="K2959" t="s">
        <v>41</v>
      </c>
      <c r="L2959" t="s">
        <v>23</v>
      </c>
      <c r="M2959" t="str">
        <f>VLOOKUP(D2963,Restaurant_Master!A:B,2,FALSE)</f>
        <v>https://www.chatswoodinterchange.com/storages/2018/08/Sushi-World_666x448.jpg</v>
      </c>
    </row>
    <row r="2960" spans="1:13" x14ac:dyDescent="0.3">
      <c r="A2960" t="s">
        <v>2990</v>
      </c>
      <c r="B2960" s="1">
        <v>45568</v>
      </c>
      <c r="C2960" t="s">
        <v>20</v>
      </c>
      <c r="D2960" t="s">
        <v>25</v>
      </c>
      <c r="E2960">
        <v>25</v>
      </c>
      <c r="F2960" t="s">
        <v>28</v>
      </c>
      <c r="G2960">
        <v>463.17</v>
      </c>
      <c r="H2960">
        <v>23</v>
      </c>
      <c r="I2960" t="s">
        <v>22</v>
      </c>
      <c r="J2960">
        <v>4.4000000000000004</v>
      </c>
      <c r="K2960" t="s">
        <v>41</v>
      </c>
      <c r="L2960" t="s">
        <v>23</v>
      </c>
      <c r="M2960" t="str">
        <f>VLOOKUP(D2964,Restaurant_Master!A:B,2,FALSE)</f>
        <v>https://content.jdmagicbox.com/comp/deoria/g6/9999p5568.5568.200119143033.m4g6/catalogue/biryani-house-deoria-ho-deoria-mktc2xph0o.jpg</v>
      </c>
    </row>
    <row r="2961" spans="1:13" x14ac:dyDescent="0.3">
      <c r="A2961" t="s">
        <v>2991</v>
      </c>
      <c r="B2961" s="1">
        <v>45544</v>
      </c>
      <c r="C2961" t="s">
        <v>20</v>
      </c>
      <c r="D2961" t="s">
        <v>25</v>
      </c>
      <c r="E2961">
        <v>20</v>
      </c>
      <c r="F2961" t="s">
        <v>28</v>
      </c>
      <c r="G2961">
        <v>544.84</v>
      </c>
      <c r="H2961">
        <v>29</v>
      </c>
      <c r="I2961" t="s">
        <v>22</v>
      </c>
      <c r="J2961">
        <v>3.1</v>
      </c>
      <c r="K2961" t="s">
        <v>17</v>
      </c>
      <c r="L2961" t="s">
        <v>23</v>
      </c>
      <c r="M2961" t="str">
        <f>VLOOKUP(D2965,Restaurant_Master!A:B,2,FALSE)</f>
        <v>https://www.chatswoodinterchange.com/storages/2018/08/Sushi-World_666x448.jpg</v>
      </c>
    </row>
    <row r="2962" spans="1:13" x14ac:dyDescent="0.3">
      <c r="A2962" t="s">
        <v>2992</v>
      </c>
      <c r="B2962" s="1">
        <v>45352</v>
      </c>
      <c r="C2962" t="s">
        <v>13</v>
      </c>
      <c r="D2962" t="s">
        <v>25</v>
      </c>
      <c r="E2962">
        <v>41</v>
      </c>
      <c r="F2962" t="s">
        <v>28</v>
      </c>
      <c r="G2962">
        <v>300.63</v>
      </c>
      <c r="H2962">
        <v>24</v>
      </c>
      <c r="I2962" t="s">
        <v>22</v>
      </c>
      <c r="J2962">
        <v>4.7</v>
      </c>
      <c r="K2962" t="s">
        <v>41</v>
      </c>
      <c r="L2962" t="s">
        <v>23</v>
      </c>
      <c r="M2962" t="str">
        <f>VLOOKUP(D2966,Restaurant_Master!A:B,2,FALSE)</f>
        <v>https://content.jdmagicbox.com/comp/deoria/g6/9999p5568.5568.200119143033.m4g6/catalogue/biryani-house-deoria-ho-deoria-mktc2xph0o.jpg</v>
      </c>
    </row>
    <row r="2963" spans="1:13" x14ac:dyDescent="0.3">
      <c r="A2963" t="s">
        <v>2993</v>
      </c>
      <c r="B2963" s="1">
        <v>45430</v>
      </c>
      <c r="C2963" t="s">
        <v>13</v>
      </c>
      <c r="D2963" t="s">
        <v>38</v>
      </c>
      <c r="E2963">
        <v>35</v>
      </c>
      <c r="F2963" t="s">
        <v>28</v>
      </c>
      <c r="G2963">
        <v>1171.72</v>
      </c>
      <c r="H2963">
        <v>34</v>
      </c>
      <c r="I2963" t="s">
        <v>22</v>
      </c>
      <c r="J2963">
        <v>3.5</v>
      </c>
      <c r="K2963" t="s">
        <v>29</v>
      </c>
      <c r="L2963" t="s">
        <v>23</v>
      </c>
      <c r="M2963" t="str">
        <f>VLOOKUP(D2967,Restaurant_Master!A:B,2,FALSE)</f>
        <v>https://content.jdmagicbox.com/comp/deoria/g6/9999p5568.5568.200119143033.m4g6/catalogue/biryani-house-deoria-ho-deoria-mktc2xph0o.jpg</v>
      </c>
    </row>
    <row r="2964" spans="1:13" x14ac:dyDescent="0.3">
      <c r="A2964" t="s">
        <v>2994</v>
      </c>
      <c r="B2964" s="1">
        <v>45623</v>
      </c>
      <c r="C2964" t="s">
        <v>34</v>
      </c>
      <c r="D2964" t="s">
        <v>32</v>
      </c>
      <c r="E2964">
        <v>60</v>
      </c>
      <c r="F2964" t="s">
        <v>28</v>
      </c>
      <c r="G2964">
        <v>580.37</v>
      </c>
      <c r="H2964">
        <v>26</v>
      </c>
      <c r="I2964" t="s">
        <v>22</v>
      </c>
      <c r="J2964">
        <v>4.7</v>
      </c>
      <c r="K2964" t="s">
        <v>41</v>
      </c>
      <c r="L2964" t="s">
        <v>18</v>
      </c>
      <c r="M2964" t="str">
        <f>VLOOKUP(D2968,Restaurant_Master!A:B,2,FALSE)</f>
        <v>https://media-cdn.tripadvisor.com/media/photo-s/1c/c7/97/b6/photo6jpg.jpg</v>
      </c>
    </row>
    <row r="2965" spans="1:13" x14ac:dyDescent="0.3">
      <c r="A2965" t="s">
        <v>2995</v>
      </c>
      <c r="B2965" s="1">
        <v>45339</v>
      </c>
      <c r="C2965" t="s">
        <v>36</v>
      </c>
      <c r="D2965" t="s">
        <v>38</v>
      </c>
      <c r="E2965">
        <v>41</v>
      </c>
      <c r="F2965" t="s">
        <v>28</v>
      </c>
      <c r="G2965">
        <v>965.99</v>
      </c>
      <c r="H2965">
        <v>47</v>
      </c>
      <c r="I2965" t="s">
        <v>16</v>
      </c>
      <c r="J2965">
        <v>3.7</v>
      </c>
      <c r="K2965" t="s">
        <v>29</v>
      </c>
      <c r="L2965" t="s">
        <v>18</v>
      </c>
      <c r="M2965" t="str">
        <f>VLOOKUP(D2969,Restaurant_Master!A:B,2,FALSE)</f>
        <v>https://content.jdmagicbox.com/comp/deoria/g6/9999p5568.5568.200119143033.m4g6/catalogue/biryani-house-deoria-ho-deoria-mktc2xph0o.jpg</v>
      </c>
    </row>
    <row r="2966" spans="1:13" x14ac:dyDescent="0.3">
      <c r="A2966" t="s">
        <v>2996</v>
      </c>
      <c r="B2966" s="1">
        <v>45472</v>
      </c>
      <c r="C2966" t="s">
        <v>20</v>
      </c>
      <c r="D2966" t="s">
        <v>32</v>
      </c>
      <c r="E2966">
        <v>59</v>
      </c>
      <c r="F2966" t="s">
        <v>15</v>
      </c>
      <c r="G2966">
        <v>358.72</v>
      </c>
      <c r="H2966">
        <v>27</v>
      </c>
      <c r="I2966" t="s">
        <v>22</v>
      </c>
      <c r="J2966">
        <v>4.5999999999999996</v>
      </c>
      <c r="K2966" t="s">
        <v>29</v>
      </c>
      <c r="L2966" t="s">
        <v>18</v>
      </c>
      <c r="M2966" t="str">
        <f>VLOOKUP(D2970,Restaurant_Master!A:B,2,FALSE)</f>
        <v>https://content.jdmagicbox.com/comp/deoria/g6/9999p5568.5568.200119143033.m4g6/catalogue/biryani-house-deoria-ho-deoria-mktc2xph0o.jpg</v>
      </c>
    </row>
    <row r="2967" spans="1:13" x14ac:dyDescent="0.3">
      <c r="A2967" t="s">
        <v>2997</v>
      </c>
      <c r="B2967" s="1">
        <v>45587</v>
      </c>
      <c r="C2967" t="s">
        <v>43</v>
      </c>
      <c r="D2967" t="s">
        <v>32</v>
      </c>
      <c r="E2967">
        <v>40</v>
      </c>
      <c r="F2967" t="s">
        <v>28</v>
      </c>
      <c r="G2967">
        <v>713.71</v>
      </c>
      <c r="H2967">
        <v>57</v>
      </c>
      <c r="I2967" t="s">
        <v>16</v>
      </c>
      <c r="J2967">
        <v>4.4000000000000004</v>
      </c>
      <c r="K2967" t="s">
        <v>17</v>
      </c>
      <c r="L2967" t="s">
        <v>18</v>
      </c>
      <c r="M2967" t="str">
        <f>VLOOKUP(D2971,Restaurant_Master!A:B,2,FALSE)</f>
        <v>https://media-cdn.tripadvisor.com/media/photo-s/1c/c7/97/b6/photo6jpg.jpg</v>
      </c>
    </row>
    <row r="2968" spans="1:13" x14ac:dyDescent="0.3">
      <c r="A2968" t="s">
        <v>2998</v>
      </c>
      <c r="B2968" s="1">
        <v>45556</v>
      </c>
      <c r="C2968" t="s">
        <v>20</v>
      </c>
      <c r="D2968" t="s">
        <v>25</v>
      </c>
      <c r="E2968">
        <v>54</v>
      </c>
      <c r="F2968" t="s">
        <v>15</v>
      </c>
      <c r="G2968">
        <v>501.1</v>
      </c>
      <c r="H2968">
        <v>33</v>
      </c>
      <c r="I2968" t="s">
        <v>22</v>
      </c>
      <c r="J2968">
        <v>3.9</v>
      </c>
      <c r="K2968" t="s">
        <v>17</v>
      </c>
      <c r="L2968" t="s">
        <v>18</v>
      </c>
      <c r="M2968" t="str">
        <f>VLOOKUP(D2972,Restaurant_Master!A:B,2,FALSE)</f>
        <v>https://content.jdmagicbox.com/comp/deoria/g6/9999p5568.5568.200119143033.m4g6/catalogue/biryani-house-deoria-ho-deoria-mktc2xph0o.jpg</v>
      </c>
    </row>
    <row r="2969" spans="1:13" x14ac:dyDescent="0.3">
      <c r="A2969" t="s">
        <v>2999</v>
      </c>
      <c r="B2969" s="1">
        <v>45643</v>
      </c>
      <c r="C2969" t="s">
        <v>43</v>
      </c>
      <c r="D2969" t="s">
        <v>32</v>
      </c>
      <c r="E2969">
        <v>50</v>
      </c>
      <c r="F2969" t="s">
        <v>15</v>
      </c>
      <c r="G2969">
        <v>870.54</v>
      </c>
      <c r="H2969">
        <v>41</v>
      </c>
      <c r="I2969" t="s">
        <v>16</v>
      </c>
      <c r="J2969">
        <v>3.8</v>
      </c>
      <c r="K2969" t="s">
        <v>26</v>
      </c>
      <c r="L2969" t="s">
        <v>23</v>
      </c>
      <c r="M2969" t="str">
        <f>VLOOKUP(D2973,Restaurant_Master!A:B,2,FALSE)</f>
        <v>https://www.chatswoodinterchange.com/storages/2018/08/Sushi-World_666x448.jpg</v>
      </c>
    </row>
    <row r="2970" spans="1:13" x14ac:dyDescent="0.3">
      <c r="A2970" t="s">
        <v>3000</v>
      </c>
      <c r="B2970" s="1">
        <v>45520</v>
      </c>
      <c r="C2970" t="s">
        <v>20</v>
      </c>
      <c r="D2970" t="s">
        <v>32</v>
      </c>
      <c r="E2970">
        <v>40</v>
      </c>
      <c r="F2970" t="s">
        <v>28</v>
      </c>
      <c r="G2970">
        <v>557.46</v>
      </c>
      <c r="H2970">
        <v>20</v>
      </c>
      <c r="I2970" t="s">
        <v>22</v>
      </c>
      <c r="J2970">
        <v>4.3</v>
      </c>
      <c r="K2970" t="s">
        <v>26</v>
      </c>
      <c r="L2970" t="s">
        <v>23</v>
      </c>
      <c r="M2970" t="str">
        <f>VLOOKUP(D2974,Restaurant_Master!A:B,2,FALSE)</f>
        <v>https://www.chatswoodinterchange.com/storages/2018/08/Sushi-World_666x448.jpg</v>
      </c>
    </row>
    <row r="2971" spans="1:13" x14ac:dyDescent="0.3">
      <c r="A2971" t="s">
        <v>3001</v>
      </c>
      <c r="B2971" s="1">
        <v>45359</v>
      </c>
      <c r="C2971" t="s">
        <v>43</v>
      </c>
      <c r="D2971" t="s">
        <v>25</v>
      </c>
      <c r="E2971">
        <v>23</v>
      </c>
      <c r="F2971" t="s">
        <v>15</v>
      </c>
      <c r="G2971">
        <v>299.24</v>
      </c>
      <c r="H2971">
        <v>58</v>
      </c>
      <c r="I2971" t="s">
        <v>16</v>
      </c>
      <c r="J2971">
        <v>4.7</v>
      </c>
      <c r="K2971" t="s">
        <v>29</v>
      </c>
      <c r="L2971" t="s">
        <v>23</v>
      </c>
      <c r="M2971" t="str">
        <f>VLOOKUP(D2975,Restaurant_Master!A:B,2,FALSE)</f>
        <v>https://dineout-media-assets.swiggy.com/swiggy/image/upload/fl_lossy,f_auto,q_auto/v1660793737/fdqxvxcxg1wtdwvyv45v.jpg</v>
      </c>
    </row>
    <row r="2972" spans="1:13" x14ac:dyDescent="0.3">
      <c r="A2972" t="s">
        <v>3002</v>
      </c>
      <c r="B2972" s="1">
        <v>45546</v>
      </c>
      <c r="C2972" t="s">
        <v>20</v>
      </c>
      <c r="D2972" t="s">
        <v>32</v>
      </c>
      <c r="E2972">
        <v>42</v>
      </c>
      <c r="F2972" t="s">
        <v>15</v>
      </c>
      <c r="G2972">
        <v>1114.71</v>
      </c>
      <c r="H2972">
        <v>56</v>
      </c>
      <c r="I2972" t="s">
        <v>16</v>
      </c>
      <c r="J2972">
        <v>2.8</v>
      </c>
      <c r="K2972" t="s">
        <v>29</v>
      </c>
      <c r="L2972" t="s">
        <v>23</v>
      </c>
      <c r="M2972" t="str">
        <f>VLOOKUP(D2976,Restaurant_Master!A:B,2,FALSE)</f>
        <v>https://content.jdmagicbox.com/comp/deoria/g6/9999p5568.5568.200119143033.m4g6/catalogue/biryani-house-deoria-ho-deoria-mktc2xph0o.jpg</v>
      </c>
    </row>
    <row r="2973" spans="1:13" x14ac:dyDescent="0.3">
      <c r="A2973" t="s">
        <v>3003</v>
      </c>
      <c r="B2973" s="1">
        <v>45478</v>
      </c>
      <c r="C2973" t="s">
        <v>13</v>
      </c>
      <c r="D2973" t="s">
        <v>38</v>
      </c>
      <c r="E2973">
        <v>59</v>
      </c>
      <c r="F2973" t="s">
        <v>28</v>
      </c>
      <c r="G2973">
        <v>796.11</v>
      </c>
      <c r="H2973">
        <v>27</v>
      </c>
      <c r="I2973" t="s">
        <v>22</v>
      </c>
      <c r="J2973">
        <v>3.4</v>
      </c>
      <c r="K2973" t="s">
        <v>41</v>
      </c>
      <c r="L2973" t="s">
        <v>23</v>
      </c>
      <c r="M2973" t="str">
        <f>VLOOKUP(D2977,Restaurant_Master!A:B,2,FALSE)</f>
        <v>https://dineout-media-assets.swiggy.com/swiggy/image/upload/fl_lossy,f_auto,q_auto/v1660793737/fdqxvxcxg1wtdwvyv45v.jpg</v>
      </c>
    </row>
    <row r="2974" spans="1:13" x14ac:dyDescent="0.3">
      <c r="A2974" t="s">
        <v>3004</v>
      </c>
      <c r="B2974" s="1">
        <v>45432</v>
      </c>
      <c r="C2974" t="s">
        <v>13</v>
      </c>
      <c r="D2974" t="s">
        <v>38</v>
      </c>
      <c r="E2974">
        <v>32</v>
      </c>
      <c r="F2974" t="s">
        <v>28</v>
      </c>
      <c r="G2974">
        <v>987.67</v>
      </c>
      <c r="H2974">
        <v>55</v>
      </c>
      <c r="I2974" t="s">
        <v>16</v>
      </c>
      <c r="J2974">
        <v>4.5</v>
      </c>
      <c r="K2974" t="s">
        <v>41</v>
      </c>
      <c r="L2974" t="s">
        <v>23</v>
      </c>
      <c r="M2974" t="str">
        <f>VLOOKUP(D2978,Restaurant_Master!A:B,2,FALSE)</f>
        <v>https://content.jdmagicbox.com/comp/deoria/g6/9999p5568.5568.200119143033.m4g6/catalogue/biryani-house-deoria-ho-deoria-mktc2xph0o.jpg</v>
      </c>
    </row>
    <row r="2975" spans="1:13" x14ac:dyDescent="0.3">
      <c r="A2975" t="s">
        <v>3005</v>
      </c>
      <c r="B2975" s="1">
        <v>45458</v>
      </c>
      <c r="C2975" t="s">
        <v>36</v>
      </c>
      <c r="D2975" t="s">
        <v>14</v>
      </c>
      <c r="E2975">
        <v>40</v>
      </c>
      <c r="F2975" t="s">
        <v>15</v>
      </c>
      <c r="G2975">
        <v>466.57</v>
      </c>
      <c r="H2975">
        <v>59</v>
      </c>
      <c r="I2975" t="s">
        <v>16</v>
      </c>
      <c r="J2975">
        <v>3.1</v>
      </c>
      <c r="K2975" t="s">
        <v>17</v>
      </c>
      <c r="L2975" t="s">
        <v>23</v>
      </c>
      <c r="M2975" t="str">
        <f>VLOOKUP(D2979,Restaurant_Master!A:B,2,FALSE)</f>
        <v>https://dynamic-media-cdn.tripadvisor.com/media/photo-o/1c/e7/04/0d/front-of-the-local-easily.jpg</v>
      </c>
    </row>
    <row r="2976" spans="1:13" x14ac:dyDescent="0.3">
      <c r="A2976" t="s">
        <v>3006</v>
      </c>
      <c r="B2976" s="1">
        <v>45428</v>
      </c>
      <c r="C2976" t="s">
        <v>36</v>
      </c>
      <c r="D2976" t="s">
        <v>32</v>
      </c>
      <c r="E2976">
        <v>47</v>
      </c>
      <c r="F2976" t="s">
        <v>28</v>
      </c>
      <c r="G2976">
        <v>533.45000000000005</v>
      </c>
      <c r="H2976">
        <v>39</v>
      </c>
      <c r="I2976" t="s">
        <v>22</v>
      </c>
      <c r="J2976">
        <v>3.4</v>
      </c>
      <c r="K2976" t="s">
        <v>26</v>
      </c>
      <c r="L2976" t="s">
        <v>23</v>
      </c>
      <c r="M2976" t="str">
        <f>VLOOKUP(D2980,Restaurant_Master!A:B,2,FALSE)</f>
        <v>https://dynamic-media-cdn.tripadvisor.com/media/photo-o/1c/e7/04/0d/front-of-the-local-easily.jpg</v>
      </c>
    </row>
    <row r="2977" spans="1:13" x14ac:dyDescent="0.3">
      <c r="A2977" t="s">
        <v>3007</v>
      </c>
      <c r="B2977" s="1">
        <v>45422</v>
      </c>
      <c r="C2977" t="s">
        <v>34</v>
      </c>
      <c r="D2977" t="s">
        <v>14</v>
      </c>
      <c r="E2977">
        <v>41</v>
      </c>
      <c r="F2977" t="s">
        <v>28</v>
      </c>
      <c r="G2977">
        <v>577.25</v>
      </c>
      <c r="H2977">
        <v>50</v>
      </c>
      <c r="I2977" t="s">
        <v>16</v>
      </c>
      <c r="J2977">
        <v>3.1</v>
      </c>
      <c r="K2977" t="s">
        <v>26</v>
      </c>
      <c r="L2977" t="s">
        <v>23</v>
      </c>
      <c r="M2977" t="str">
        <f>VLOOKUP(D2981,Restaurant_Master!A:B,2,FALSE)</f>
        <v>https://media-cdn.tripadvisor.com/media/photo-s/1c/c7/97/b6/photo6jpg.jpg</v>
      </c>
    </row>
    <row r="2978" spans="1:13" x14ac:dyDescent="0.3">
      <c r="A2978" t="s">
        <v>3008</v>
      </c>
      <c r="B2978" s="1">
        <v>45357</v>
      </c>
      <c r="C2978" t="s">
        <v>13</v>
      </c>
      <c r="D2978" t="s">
        <v>32</v>
      </c>
      <c r="E2978">
        <v>33</v>
      </c>
      <c r="F2978" t="s">
        <v>28</v>
      </c>
      <c r="G2978">
        <v>897.41</v>
      </c>
      <c r="H2978">
        <v>20</v>
      </c>
      <c r="I2978" t="s">
        <v>22</v>
      </c>
      <c r="J2978">
        <v>4.5999999999999996</v>
      </c>
      <c r="K2978" t="s">
        <v>29</v>
      </c>
      <c r="L2978" t="s">
        <v>18</v>
      </c>
      <c r="M2978" t="str">
        <f>VLOOKUP(D2982,Restaurant_Master!A:B,2,FALSE)</f>
        <v>https://content.jdmagicbox.com/comp/deoria/g6/9999p5568.5568.200119143033.m4g6/catalogue/biryani-house-deoria-ho-deoria-mktc2xph0o.jpg</v>
      </c>
    </row>
    <row r="2979" spans="1:13" x14ac:dyDescent="0.3">
      <c r="A2979" t="s">
        <v>3009</v>
      </c>
      <c r="B2979" s="1">
        <v>45447</v>
      </c>
      <c r="C2979" t="s">
        <v>34</v>
      </c>
      <c r="D2979" t="s">
        <v>21</v>
      </c>
      <c r="E2979">
        <v>38</v>
      </c>
      <c r="F2979" t="s">
        <v>28</v>
      </c>
      <c r="G2979">
        <v>715.55</v>
      </c>
      <c r="H2979">
        <v>54</v>
      </c>
      <c r="I2979" t="s">
        <v>16</v>
      </c>
      <c r="J2979">
        <v>4.8</v>
      </c>
      <c r="K2979" t="s">
        <v>17</v>
      </c>
      <c r="L2979" t="s">
        <v>23</v>
      </c>
      <c r="M2979" t="str">
        <f>VLOOKUP(D2983,Restaurant_Master!A:B,2,FALSE)</f>
        <v>https://www.chatswoodinterchange.com/storages/2018/08/Sushi-World_666x448.jpg</v>
      </c>
    </row>
    <row r="2980" spans="1:13" x14ac:dyDescent="0.3">
      <c r="A2980" t="s">
        <v>3010</v>
      </c>
      <c r="B2980" s="1">
        <v>45456</v>
      </c>
      <c r="C2980" t="s">
        <v>34</v>
      </c>
      <c r="D2980" t="s">
        <v>21</v>
      </c>
      <c r="E2980">
        <v>19</v>
      </c>
      <c r="F2980" t="s">
        <v>28</v>
      </c>
      <c r="G2980">
        <v>1148.3499999999999</v>
      </c>
      <c r="H2980">
        <v>34</v>
      </c>
      <c r="I2980" t="s">
        <v>22</v>
      </c>
      <c r="J2980">
        <v>3.7</v>
      </c>
      <c r="K2980" t="s">
        <v>17</v>
      </c>
      <c r="L2980" t="s">
        <v>18</v>
      </c>
      <c r="M2980" t="str">
        <f>VLOOKUP(D2984,Restaurant_Master!A:B,2,FALSE)</f>
        <v>https://dynamic-media-cdn.tripadvisor.com/media/photo-o/1c/e7/04/0d/front-of-the-local-easily.jpg</v>
      </c>
    </row>
    <row r="2981" spans="1:13" x14ac:dyDescent="0.3">
      <c r="A2981" t="s">
        <v>3011</v>
      </c>
      <c r="B2981" s="1">
        <v>45529</v>
      </c>
      <c r="C2981" t="s">
        <v>34</v>
      </c>
      <c r="D2981" t="s">
        <v>25</v>
      </c>
      <c r="E2981">
        <v>58</v>
      </c>
      <c r="F2981" t="s">
        <v>28</v>
      </c>
      <c r="G2981">
        <v>1042.3900000000001</v>
      </c>
      <c r="H2981">
        <v>45</v>
      </c>
      <c r="I2981" t="s">
        <v>16</v>
      </c>
      <c r="J2981">
        <v>2.7</v>
      </c>
      <c r="K2981" t="s">
        <v>41</v>
      </c>
      <c r="L2981" t="s">
        <v>18</v>
      </c>
      <c r="M2981" t="str">
        <f>VLOOKUP(D2985,Restaurant_Master!A:B,2,FALSE)</f>
        <v>https://dineout-media-assets.swiggy.com/swiggy/image/upload/fl_lossy,f_auto,q_auto/v1660793737/fdqxvxcxg1wtdwvyv45v.jpg</v>
      </c>
    </row>
    <row r="2982" spans="1:13" x14ac:dyDescent="0.3">
      <c r="A2982" t="s">
        <v>3012</v>
      </c>
      <c r="B2982" s="1">
        <v>45358</v>
      </c>
      <c r="C2982" t="s">
        <v>36</v>
      </c>
      <c r="D2982" t="s">
        <v>32</v>
      </c>
      <c r="E2982">
        <v>54</v>
      </c>
      <c r="F2982" t="s">
        <v>28</v>
      </c>
      <c r="G2982">
        <v>1081.42</v>
      </c>
      <c r="H2982">
        <v>36</v>
      </c>
      <c r="I2982" t="s">
        <v>22</v>
      </c>
      <c r="J2982">
        <v>3.8</v>
      </c>
      <c r="K2982" t="s">
        <v>26</v>
      </c>
      <c r="L2982" t="s">
        <v>18</v>
      </c>
      <c r="M2982" t="str">
        <f>VLOOKUP(D2986,Restaurant_Master!A:B,2,FALSE)</f>
        <v>https://www.chatswoodinterchange.com/storages/2018/08/Sushi-World_666x448.jpg</v>
      </c>
    </row>
    <row r="2983" spans="1:13" x14ac:dyDescent="0.3">
      <c r="A2983" t="s">
        <v>3013</v>
      </c>
      <c r="B2983" s="1">
        <v>45547</v>
      </c>
      <c r="C2983" t="s">
        <v>43</v>
      </c>
      <c r="D2983" t="s">
        <v>38</v>
      </c>
      <c r="E2983">
        <v>43</v>
      </c>
      <c r="F2983" t="s">
        <v>28</v>
      </c>
      <c r="G2983">
        <v>248.58</v>
      </c>
      <c r="H2983">
        <v>30</v>
      </c>
      <c r="I2983" t="s">
        <v>22</v>
      </c>
      <c r="J2983">
        <v>2.9</v>
      </c>
      <c r="K2983" t="s">
        <v>41</v>
      </c>
      <c r="L2983" t="s">
        <v>23</v>
      </c>
      <c r="M2983" t="str">
        <f>VLOOKUP(D2987,Restaurant_Master!A:B,2,FALSE)</f>
        <v>https://dynamic-media-cdn.tripadvisor.com/media/photo-o/1c/e7/04/0d/front-of-the-local-easily.jpg</v>
      </c>
    </row>
    <row r="2984" spans="1:13" x14ac:dyDescent="0.3">
      <c r="A2984" t="s">
        <v>3014</v>
      </c>
      <c r="B2984" s="1">
        <v>45318</v>
      </c>
      <c r="C2984" t="s">
        <v>20</v>
      </c>
      <c r="D2984" t="s">
        <v>21</v>
      </c>
      <c r="E2984">
        <v>51</v>
      </c>
      <c r="F2984" t="s">
        <v>15</v>
      </c>
      <c r="G2984">
        <v>423.65</v>
      </c>
      <c r="H2984">
        <v>42</v>
      </c>
      <c r="I2984" t="s">
        <v>16</v>
      </c>
      <c r="J2984">
        <v>4.4000000000000004</v>
      </c>
      <c r="K2984" t="s">
        <v>26</v>
      </c>
      <c r="L2984" t="s">
        <v>23</v>
      </c>
      <c r="M2984" t="str">
        <f>VLOOKUP(D2988,Restaurant_Master!A:B,2,FALSE)</f>
        <v>https://media-cdn.tripadvisor.com/media/photo-s/1c/c7/97/b6/photo6jpg.jpg</v>
      </c>
    </row>
    <row r="2985" spans="1:13" x14ac:dyDescent="0.3">
      <c r="A2985" t="s">
        <v>3015</v>
      </c>
      <c r="B2985" s="1">
        <v>45551</v>
      </c>
      <c r="C2985" t="s">
        <v>20</v>
      </c>
      <c r="D2985" t="s">
        <v>14</v>
      </c>
      <c r="E2985">
        <v>37</v>
      </c>
      <c r="F2985" t="s">
        <v>28</v>
      </c>
      <c r="G2985">
        <v>299.87</v>
      </c>
      <c r="H2985">
        <v>36</v>
      </c>
      <c r="I2985" t="s">
        <v>22</v>
      </c>
      <c r="J2985">
        <v>3</v>
      </c>
      <c r="K2985" t="s">
        <v>41</v>
      </c>
      <c r="L2985" t="s">
        <v>23</v>
      </c>
      <c r="M2985" t="str">
        <f>VLOOKUP(D2989,Restaurant_Master!A:B,2,FALSE)</f>
        <v>https://content.jdmagicbox.com/comp/deoria/g6/9999p5568.5568.200119143033.m4g6/catalogue/biryani-house-deoria-ho-deoria-mktc2xph0o.jpg</v>
      </c>
    </row>
    <row r="2986" spans="1:13" x14ac:dyDescent="0.3">
      <c r="A2986" t="s">
        <v>3016</v>
      </c>
      <c r="B2986" s="1">
        <v>45411</v>
      </c>
      <c r="C2986" t="s">
        <v>13</v>
      </c>
      <c r="D2986" t="s">
        <v>38</v>
      </c>
      <c r="E2986">
        <v>52</v>
      </c>
      <c r="F2986" t="s">
        <v>28</v>
      </c>
      <c r="G2986">
        <v>584.67999999999995</v>
      </c>
      <c r="H2986">
        <v>43</v>
      </c>
      <c r="I2986" t="s">
        <v>16</v>
      </c>
      <c r="J2986">
        <v>2.9</v>
      </c>
      <c r="K2986" t="s">
        <v>41</v>
      </c>
      <c r="L2986" t="s">
        <v>18</v>
      </c>
      <c r="M2986" t="str">
        <f>VLOOKUP(D2990,Restaurant_Master!A:B,2,FALSE)</f>
        <v>https://dynamic-media-cdn.tripadvisor.com/media/photo-o/1c/e7/04/0d/front-of-the-local-easily.jpg</v>
      </c>
    </row>
    <row r="2987" spans="1:13" x14ac:dyDescent="0.3">
      <c r="A2987" t="s">
        <v>3017</v>
      </c>
      <c r="B2987" s="1">
        <v>45316</v>
      </c>
      <c r="C2987" t="s">
        <v>34</v>
      </c>
      <c r="D2987" t="s">
        <v>21</v>
      </c>
      <c r="E2987">
        <v>52</v>
      </c>
      <c r="F2987" t="s">
        <v>28</v>
      </c>
      <c r="G2987">
        <v>549.21</v>
      </c>
      <c r="H2987">
        <v>49</v>
      </c>
      <c r="I2987" t="s">
        <v>16</v>
      </c>
      <c r="J2987">
        <v>3.2</v>
      </c>
      <c r="K2987" t="s">
        <v>26</v>
      </c>
      <c r="L2987" t="s">
        <v>23</v>
      </c>
      <c r="M2987" t="str">
        <f>VLOOKUP(D2991,Restaurant_Master!A:B,2,FALSE)</f>
        <v>https://dineout-media-assets.swiggy.com/swiggy/image/upload/fl_lossy,f_auto,q_auto/v1660793737/fdqxvxcxg1wtdwvyv45v.jpg</v>
      </c>
    </row>
    <row r="2988" spans="1:13" x14ac:dyDescent="0.3">
      <c r="A2988" t="s">
        <v>3018</v>
      </c>
      <c r="B2988" s="1">
        <v>45316</v>
      </c>
      <c r="C2988" t="s">
        <v>13</v>
      </c>
      <c r="D2988" t="s">
        <v>25</v>
      </c>
      <c r="E2988">
        <v>52</v>
      </c>
      <c r="F2988" t="s">
        <v>15</v>
      </c>
      <c r="G2988">
        <v>1101.74</v>
      </c>
      <c r="H2988">
        <v>42</v>
      </c>
      <c r="I2988" t="s">
        <v>16</v>
      </c>
      <c r="J2988">
        <v>4</v>
      </c>
      <c r="K2988" t="s">
        <v>26</v>
      </c>
      <c r="L2988" t="s">
        <v>23</v>
      </c>
      <c r="M2988" t="str">
        <f>VLOOKUP(D2992,Restaurant_Master!A:B,2,FALSE)</f>
        <v>https://content.jdmagicbox.com/comp/deoria/g6/9999p5568.5568.200119143033.m4g6/catalogue/biryani-house-deoria-ho-deoria-mktc2xph0o.jpg</v>
      </c>
    </row>
    <row r="2989" spans="1:13" x14ac:dyDescent="0.3">
      <c r="A2989" t="s">
        <v>3019</v>
      </c>
      <c r="B2989" s="1">
        <v>45586</v>
      </c>
      <c r="C2989" t="s">
        <v>13</v>
      </c>
      <c r="D2989" t="s">
        <v>32</v>
      </c>
      <c r="E2989">
        <v>44</v>
      </c>
      <c r="F2989" t="s">
        <v>28</v>
      </c>
      <c r="G2989">
        <v>719.34</v>
      </c>
      <c r="H2989">
        <v>40</v>
      </c>
      <c r="I2989" t="s">
        <v>22</v>
      </c>
      <c r="J2989">
        <v>3.5</v>
      </c>
      <c r="K2989" t="s">
        <v>17</v>
      </c>
      <c r="L2989" t="s">
        <v>23</v>
      </c>
      <c r="M2989" t="str">
        <f>VLOOKUP(D2993,Restaurant_Master!A:B,2,FALSE)</f>
        <v>https://www.chatswoodinterchange.com/storages/2018/08/Sushi-World_666x448.jpg</v>
      </c>
    </row>
    <row r="2990" spans="1:13" x14ac:dyDescent="0.3">
      <c r="A2990" t="s">
        <v>3020</v>
      </c>
      <c r="B2990" s="1">
        <v>45522</v>
      </c>
      <c r="C2990" t="s">
        <v>20</v>
      </c>
      <c r="D2990" t="s">
        <v>21</v>
      </c>
      <c r="E2990">
        <v>32</v>
      </c>
      <c r="F2990" t="s">
        <v>28</v>
      </c>
      <c r="G2990">
        <v>227.88</v>
      </c>
      <c r="H2990">
        <v>54</v>
      </c>
      <c r="I2990" t="s">
        <v>16</v>
      </c>
      <c r="J2990">
        <v>3.2</v>
      </c>
      <c r="K2990" t="s">
        <v>17</v>
      </c>
      <c r="L2990" t="s">
        <v>23</v>
      </c>
      <c r="M2990" t="str">
        <f>VLOOKUP(D2994,Restaurant_Master!A:B,2,FALSE)</f>
        <v>https://media-cdn.tripadvisor.com/media/photo-s/1c/c7/97/b6/photo6jpg.jpg</v>
      </c>
    </row>
    <row r="2991" spans="1:13" x14ac:dyDescent="0.3">
      <c r="A2991" t="s">
        <v>3021</v>
      </c>
      <c r="B2991" s="1">
        <v>45311</v>
      </c>
      <c r="C2991" t="s">
        <v>13</v>
      </c>
      <c r="D2991" t="s">
        <v>14</v>
      </c>
      <c r="E2991">
        <v>27</v>
      </c>
      <c r="F2991" t="s">
        <v>15</v>
      </c>
      <c r="G2991">
        <v>846.42</v>
      </c>
      <c r="H2991">
        <v>47</v>
      </c>
      <c r="I2991" t="s">
        <v>16</v>
      </c>
      <c r="J2991">
        <v>3.4</v>
      </c>
      <c r="K2991" t="s">
        <v>17</v>
      </c>
      <c r="L2991" t="s">
        <v>23</v>
      </c>
      <c r="M2991" t="str">
        <f>VLOOKUP(D2995,Restaurant_Master!A:B,2,FALSE)</f>
        <v>https://dineout-media-assets.swiggy.com/swiggy/image/upload/fl_lossy,f_auto,q_auto/v1660793737/fdqxvxcxg1wtdwvyv45v.jpg</v>
      </c>
    </row>
    <row r="2992" spans="1:13" x14ac:dyDescent="0.3">
      <c r="A2992" t="s">
        <v>3022</v>
      </c>
      <c r="B2992" s="1">
        <v>45502</v>
      </c>
      <c r="C2992" t="s">
        <v>20</v>
      </c>
      <c r="D2992" t="s">
        <v>32</v>
      </c>
      <c r="E2992">
        <v>57</v>
      </c>
      <c r="F2992" t="s">
        <v>15</v>
      </c>
      <c r="G2992">
        <v>1026.3399999999999</v>
      </c>
      <c r="H2992">
        <v>51</v>
      </c>
      <c r="I2992" t="s">
        <v>16</v>
      </c>
      <c r="J2992">
        <v>4.5</v>
      </c>
      <c r="K2992" t="s">
        <v>17</v>
      </c>
      <c r="L2992" t="s">
        <v>23</v>
      </c>
      <c r="M2992" t="str">
        <f>VLOOKUP(D2996,Restaurant_Master!A:B,2,FALSE)</f>
        <v>https://dynamic-media-cdn.tripadvisor.com/media/photo-o/1c/e7/04/0d/front-of-the-local-easily.jpg</v>
      </c>
    </row>
    <row r="2993" spans="1:13" x14ac:dyDescent="0.3">
      <c r="A2993" t="s">
        <v>3023</v>
      </c>
      <c r="B2993" s="1">
        <v>45295</v>
      </c>
      <c r="C2993" t="s">
        <v>34</v>
      </c>
      <c r="D2993" t="s">
        <v>38</v>
      </c>
      <c r="E2993">
        <v>50</v>
      </c>
      <c r="F2993" t="s">
        <v>28</v>
      </c>
      <c r="G2993">
        <v>1079.54</v>
      </c>
      <c r="H2993">
        <v>58</v>
      </c>
      <c r="I2993" t="s">
        <v>16</v>
      </c>
      <c r="J2993">
        <v>4</v>
      </c>
      <c r="K2993" t="s">
        <v>17</v>
      </c>
      <c r="L2993" t="s">
        <v>18</v>
      </c>
      <c r="M2993" t="str">
        <f>VLOOKUP(D2997,Restaurant_Master!A:B,2,FALSE)</f>
        <v>https://content.jdmagicbox.com/comp/deoria/g6/9999p5568.5568.200119143033.m4g6/catalogue/biryani-house-deoria-ho-deoria-mktc2xph0o.jpg</v>
      </c>
    </row>
    <row r="2994" spans="1:13" x14ac:dyDescent="0.3">
      <c r="A2994" t="s">
        <v>3024</v>
      </c>
      <c r="B2994" s="1">
        <v>45501</v>
      </c>
      <c r="C2994" t="s">
        <v>13</v>
      </c>
      <c r="D2994" t="s">
        <v>25</v>
      </c>
      <c r="E2994">
        <v>33</v>
      </c>
      <c r="F2994" t="s">
        <v>28</v>
      </c>
      <c r="G2994">
        <v>1138.47</v>
      </c>
      <c r="H2994">
        <v>28</v>
      </c>
      <c r="I2994" t="s">
        <v>22</v>
      </c>
      <c r="J2994">
        <v>3.5</v>
      </c>
      <c r="K2994" t="s">
        <v>26</v>
      </c>
      <c r="L2994" t="s">
        <v>18</v>
      </c>
      <c r="M2994" t="str">
        <f>VLOOKUP(D2998,Restaurant_Master!A:B,2,FALSE)</f>
        <v>https://dineout-media-assets.swiggy.com/swiggy/image/upload/fl_lossy,f_auto,q_auto/v1660793737/fdqxvxcxg1wtdwvyv45v.jpg</v>
      </c>
    </row>
    <row r="2995" spans="1:13" x14ac:dyDescent="0.3">
      <c r="A2995" t="s">
        <v>3025</v>
      </c>
      <c r="B2995" s="1">
        <v>45322</v>
      </c>
      <c r="C2995" t="s">
        <v>34</v>
      </c>
      <c r="D2995" t="s">
        <v>14</v>
      </c>
      <c r="E2995">
        <v>27</v>
      </c>
      <c r="F2995" t="s">
        <v>15</v>
      </c>
      <c r="G2995">
        <v>817.6</v>
      </c>
      <c r="H2995">
        <v>58</v>
      </c>
      <c r="I2995" t="s">
        <v>16</v>
      </c>
      <c r="J2995">
        <v>3.3</v>
      </c>
      <c r="K2995" t="s">
        <v>26</v>
      </c>
      <c r="L2995" t="s">
        <v>18</v>
      </c>
      <c r="M2995" t="str">
        <f>VLOOKUP(D2999,Restaurant_Master!A:B,2,FALSE)</f>
        <v>https://content.jdmagicbox.com/comp/deoria/g6/9999p5568.5568.200119143033.m4g6/catalogue/biryani-house-deoria-ho-deoria-mktc2xph0o.jpg</v>
      </c>
    </row>
    <row r="2996" spans="1:13" x14ac:dyDescent="0.3">
      <c r="A2996" t="s">
        <v>3026</v>
      </c>
      <c r="B2996" s="1">
        <v>45311</v>
      </c>
      <c r="C2996" t="s">
        <v>43</v>
      </c>
      <c r="D2996" t="s">
        <v>21</v>
      </c>
      <c r="E2996">
        <v>60</v>
      </c>
      <c r="F2996" t="s">
        <v>15</v>
      </c>
      <c r="G2996">
        <v>1189.53</v>
      </c>
      <c r="H2996">
        <v>20</v>
      </c>
      <c r="I2996" t="s">
        <v>22</v>
      </c>
      <c r="J2996">
        <v>2.7</v>
      </c>
      <c r="K2996" t="s">
        <v>26</v>
      </c>
      <c r="L2996" t="s">
        <v>23</v>
      </c>
      <c r="M2996" t="str">
        <f>VLOOKUP(D3000,Restaurant_Master!A:B,2,FALSE)</f>
        <v>https://www.chatswoodinterchange.com/storages/2018/08/Sushi-World_666x448.jpg</v>
      </c>
    </row>
    <row r="2997" spans="1:13" x14ac:dyDescent="0.3">
      <c r="A2997" t="s">
        <v>3027</v>
      </c>
      <c r="B2997" s="1">
        <v>45525</v>
      </c>
      <c r="C2997" t="s">
        <v>43</v>
      </c>
      <c r="D2997" t="s">
        <v>32</v>
      </c>
      <c r="E2997">
        <v>40</v>
      </c>
      <c r="F2997" t="s">
        <v>28</v>
      </c>
      <c r="G2997">
        <v>157.11000000000001</v>
      </c>
      <c r="H2997">
        <v>57</v>
      </c>
      <c r="I2997" t="s">
        <v>16</v>
      </c>
      <c r="J2997">
        <v>4.2</v>
      </c>
      <c r="K2997" t="s">
        <v>17</v>
      </c>
      <c r="L2997" t="s">
        <v>18</v>
      </c>
      <c r="M2997" t="str">
        <f>VLOOKUP(D3001,Restaurant_Master!A:B,2,FALSE)</f>
        <v>https://dynamic-media-cdn.tripadvisor.com/media/photo-o/1c/e7/04/0d/front-of-the-local-easily.jpg</v>
      </c>
    </row>
    <row r="2998" spans="1:13" x14ac:dyDescent="0.3">
      <c r="A2998" t="s">
        <v>3028</v>
      </c>
      <c r="B2998" s="1">
        <v>45541</v>
      </c>
      <c r="C2998" t="s">
        <v>36</v>
      </c>
      <c r="D2998" t="s">
        <v>14</v>
      </c>
      <c r="E2998">
        <v>28</v>
      </c>
      <c r="F2998" t="s">
        <v>15</v>
      </c>
      <c r="G2998">
        <v>453.69</v>
      </c>
      <c r="H2998">
        <v>45</v>
      </c>
      <c r="I2998" t="s">
        <v>16</v>
      </c>
      <c r="J2998">
        <v>4.5</v>
      </c>
      <c r="K2998" t="s">
        <v>41</v>
      </c>
      <c r="L2998" t="s">
        <v>23</v>
      </c>
      <c r="M2998" t="str">
        <f>VLOOKUP(D3002,Restaurant_Master!A:B,2,FALSE)</f>
        <v>https://www.chatswoodinterchange.com/storages/2018/08/Sushi-World_666x448.jpg</v>
      </c>
    </row>
    <row r="2999" spans="1:13" x14ac:dyDescent="0.3">
      <c r="A2999" t="s">
        <v>3029</v>
      </c>
      <c r="B2999" s="1">
        <v>45560</v>
      </c>
      <c r="C2999" t="s">
        <v>34</v>
      </c>
      <c r="D2999" t="s">
        <v>32</v>
      </c>
      <c r="E2999">
        <v>24</v>
      </c>
      <c r="F2999" t="s">
        <v>15</v>
      </c>
      <c r="G2999">
        <v>1152.6099999999999</v>
      </c>
      <c r="H2999">
        <v>35</v>
      </c>
      <c r="I2999" t="s">
        <v>22</v>
      </c>
      <c r="J2999">
        <v>3.8</v>
      </c>
      <c r="K2999" t="s">
        <v>41</v>
      </c>
      <c r="L2999" t="s">
        <v>23</v>
      </c>
      <c r="M2999" t="str">
        <f>VLOOKUP(D3003,Restaurant_Master!A:B,2,FALSE)</f>
        <v>https://content.jdmagicbox.com/comp/deoria/g6/9999p5568.5568.200119143033.m4g6/catalogue/biryani-house-deoria-ho-deoria-mktc2xph0o.jpg</v>
      </c>
    </row>
    <row r="3000" spans="1:13" x14ac:dyDescent="0.3">
      <c r="A3000" t="s">
        <v>3030</v>
      </c>
      <c r="B3000" s="1">
        <v>45646</v>
      </c>
      <c r="C3000" t="s">
        <v>13</v>
      </c>
      <c r="D3000" t="s">
        <v>38</v>
      </c>
      <c r="E3000">
        <v>46</v>
      </c>
      <c r="F3000" t="s">
        <v>28</v>
      </c>
      <c r="G3000">
        <v>363.53</v>
      </c>
      <c r="H3000">
        <v>29</v>
      </c>
      <c r="I3000" t="s">
        <v>22</v>
      </c>
      <c r="J3000">
        <v>4.4000000000000004</v>
      </c>
      <c r="K3000" t="s">
        <v>41</v>
      </c>
      <c r="L3000" t="s">
        <v>18</v>
      </c>
      <c r="M3000" t="str">
        <f>VLOOKUP(D3004,Restaurant_Master!A:B,2,FALSE)</f>
        <v>https://media-cdn.tripadvisor.com/media/photo-s/1c/c7/97/b6/photo6jpg.jpg</v>
      </c>
    </row>
    <row r="3001" spans="1:13" x14ac:dyDescent="0.3">
      <c r="A3001" t="s">
        <v>3031</v>
      </c>
      <c r="B3001" s="1">
        <v>45517</v>
      </c>
      <c r="C3001" t="s">
        <v>34</v>
      </c>
      <c r="D3001" t="s">
        <v>21</v>
      </c>
      <c r="E3001">
        <v>36</v>
      </c>
      <c r="F3001" t="s">
        <v>28</v>
      </c>
      <c r="G3001">
        <v>845.64</v>
      </c>
      <c r="H3001">
        <v>25</v>
      </c>
      <c r="I3001" t="s">
        <v>22</v>
      </c>
      <c r="J3001">
        <v>4.0999999999999996</v>
      </c>
      <c r="K3001" t="s">
        <v>26</v>
      </c>
      <c r="L3001" t="s">
        <v>18</v>
      </c>
      <c r="M3001" t="str">
        <f>VLOOKUP(D3005,Restaurant_Master!A:B,2,FALSE)</f>
        <v>https://content.jdmagicbox.com/comp/deoria/g6/9999p5568.5568.200119143033.m4g6/catalogue/biryani-house-deoria-ho-deoria-mktc2xph0o.jpg</v>
      </c>
    </row>
    <row r="3002" spans="1:13" x14ac:dyDescent="0.3">
      <c r="A3002" t="s">
        <v>3032</v>
      </c>
      <c r="B3002" s="1">
        <v>45295</v>
      </c>
      <c r="C3002" t="s">
        <v>13</v>
      </c>
      <c r="D3002" t="s">
        <v>38</v>
      </c>
      <c r="E3002">
        <v>60</v>
      </c>
      <c r="F3002" t="s">
        <v>28</v>
      </c>
      <c r="G3002">
        <v>316.14999999999998</v>
      </c>
      <c r="H3002">
        <v>31</v>
      </c>
      <c r="I3002" t="s">
        <v>22</v>
      </c>
      <c r="J3002">
        <v>3.1</v>
      </c>
      <c r="K3002" t="s">
        <v>26</v>
      </c>
      <c r="L3002" t="s">
        <v>23</v>
      </c>
      <c r="M3002" t="str">
        <f>VLOOKUP(D3006,Restaurant_Master!A:B,2,FALSE)</f>
        <v>https://www.chatswoodinterchange.com/storages/2018/08/Sushi-World_666x448.jpg</v>
      </c>
    </row>
    <row r="3003" spans="1:13" x14ac:dyDescent="0.3">
      <c r="A3003" t="s">
        <v>3033</v>
      </c>
      <c r="B3003" s="1">
        <v>45426</v>
      </c>
      <c r="C3003" t="s">
        <v>13</v>
      </c>
      <c r="D3003" t="s">
        <v>32</v>
      </c>
      <c r="E3003">
        <v>26</v>
      </c>
      <c r="F3003" t="s">
        <v>28</v>
      </c>
      <c r="G3003">
        <v>684.61</v>
      </c>
      <c r="H3003">
        <v>41</v>
      </c>
      <c r="I3003" t="s">
        <v>16</v>
      </c>
      <c r="J3003">
        <v>4.3</v>
      </c>
      <c r="K3003" t="s">
        <v>26</v>
      </c>
      <c r="L3003" t="s">
        <v>18</v>
      </c>
      <c r="M3003" t="str">
        <f>VLOOKUP(D3007,Restaurant_Master!A:B,2,FALSE)</f>
        <v>https://dineout-media-assets.swiggy.com/swiggy/image/upload/fl_lossy,f_auto,q_auto/v1660793737/fdqxvxcxg1wtdwvyv45v.jpg</v>
      </c>
    </row>
    <row r="3004" spans="1:13" x14ac:dyDescent="0.3">
      <c r="A3004" t="s">
        <v>3034</v>
      </c>
      <c r="B3004" s="1">
        <v>45525</v>
      </c>
      <c r="C3004" t="s">
        <v>13</v>
      </c>
      <c r="D3004" t="s">
        <v>25</v>
      </c>
      <c r="E3004">
        <v>47</v>
      </c>
      <c r="F3004" t="s">
        <v>15</v>
      </c>
      <c r="G3004">
        <v>664.97</v>
      </c>
      <c r="H3004">
        <v>27</v>
      </c>
      <c r="I3004" t="s">
        <v>22</v>
      </c>
      <c r="J3004">
        <v>4.5999999999999996</v>
      </c>
      <c r="K3004" t="s">
        <v>29</v>
      </c>
      <c r="L3004" t="s">
        <v>23</v>
      </c>
      <c r="M3004" t="str">
        <f>VLOOKUP(D3008,Restaurant_Master!A:B,2,FALSE)</f>
        <v>https://dynamic-media-cdn.tripadvisor.com/media/photo-o/1c/e7/04/0d/front-of-the-local-easily.jpg</v>
      </c>
    </row>
    <row r="3005" spans="1:13" x14ac:dyDescent="0.3">
      <c r="A3005" t="s">
        <v>3035</v>
      </c>
      <c r="B3005" s="1">
        <v>45299</v>
      </c>
      <c r="C3005" t="s">
        <v>36</v>
      </c>
      <c r="D3005" t="s">
        <v>32</v>
      </c>
      <c r="E3005">
        <v>52</v>
      </c>
      <c r="F3005" t="s">
        <v>15</v>
      </c>
      <c r="G3005">
        <v>1091.3800000000001</v>
      </c>
      <c r="H3005">
        <v>57</v>
      </c>
      <c r="I3005" t="s">
        <v>16</v>
      </c>
      <c r="J3005">
        <v>3.8</v>
      </c>
      <c r="K3005" t="s">
        <v>26</v>
      </c>
      <c r="L3005" t="s">
        <v>23</v>
      </c>
      <c r="M3005" t="str">
        <f>VLOOKUP(D3009,Restaurant_Master!A:B,2,FALSE)</f>
        <v>https://dineout-media-assets.swiggy.com/swiggy/image/upload/fl_lossy,f_auto,q_auto/v1660793737/fdqxvxcxg1wtdwvyv45v.jpg</v>
      </c>
    </row>
    <row r="3006" spans="1:13" x14ac:dyDescent="0.3">
      <c r="A3006" t="s">
        <v>3036</v>
      </c>
      <c r="B3006" s="1">
        <v>45408</v>
      </c>
      <c r="C3006" t="s">
        <v>13</v>
      </c>
      <c r="D3006" t="s">
        <v>38</v>
      </c>
      <c r="E3006">
        <v>41</v>
      </c>
      <c r="F3006" t="s">
        <v>28</v>
      </c>
      <c r="G3006">
        <v>1146.52</v>
      </c>
      <c r="H3006">
        <v>31</v>
      </c>
      <c r="I3006" t="s">
        <v>22</v>
      </c>
      <c r="J3006">
        <v>4.5</v>
      </c>
      <c r="K3006" t="s">
        <v>17</v>
      </c>
      <c r="L3006" t="s">
        <v>18</v>
      </c>
      <c r="M3006" t="str">
        <f>VLOOKUP(D3010,Restaurant_Master!A:B,2,FALSE)</f>
        <v>https://dynamic-media-cdn.tripadvisor.com/media/photo-o/1c/e7/04/0d/front-of-the-local-easily.jpg</v>
      </c>
    </row>
    <row r="3007" spans="1:13" x14ac:dyDescent="0.3">
      <c r="A3007" t="s">
        <v>3037</v>
      </c>
      <c r="B3007" s="1">
        <v>45313</v>
      </c>
      <c r="C3007" t="s">
        <v>36</v>
      </c>
      <c r="D3007" t="s">
        <v>14</v>
      </c>
      <c r="E3007">
        <v>28</v>
      </c>
      <c r="F3007" t="s">
        <v>15</v>
      </c>
      <c r="G3007">
        <v>499.21</v>
      </c>
      <c r="H3007">
        <v>51</v>
      </c>
      <c r="I3007" t="s">
        <v>16</v>
      </c>
      <c r="J3007">
        <v>3.8</v>
      </c>
      <c r="K3007" t="s">
        <v>17</v>
      </c>
      <c r="L3007" t="s">
        <v>23</v>
      </c>
      <c r="M3007" t="str">
        <f>VLOOKUP(D3011,Restaurant_Master!A:B,2,FALSE)</f>
        <v>https://media-cdn.tripadvisor.com/media/photo-s/1c/c7/97/b6/photo6jpg.jpg</v>
      </c>
    </row>
    <row r="3008" spans="1:13" x14ac:dyDescent="0.3">
      <c r="A3008" t="s">
        <v>3038</v>
      </c>
      <c r="B3008" s="1">
        <v>45648</v>
      </c>
      <c r="C3008" t="s">
        <v>43</v>
      </c>
      <c r="D3008" t="s">
        <v>21</v>
      </c>
      <c r="E3008">
        <v>42</v>
      </c>
      <c r="F3008" t="s">
        <v>28</v>
      </c>
      <c r="G3008">
        <v>846.59</v>
      </c>
      <c r="H3008">
        <v>31</v>
      </c>
      <c r="I3008" t="s">
        <v>22</v>
      </c>
      <c r="J3008">
        <v>4.0999999999999996</v>
      </c>
      <c r="K3008" t="s">
        <v>17</v>
      </c>
      <c r="L3008" t="s">
        <v>23</v>
      </c>
      <c r="M3008" t="str">
        <f>VLOOKUP(D3012,Restaurant_Master!A:B,2,FALSE)</f>
        <v>https://content.jdmagicbox.com/comp/deoria/g6/9999p5568.5568.200119143033.m4g6/catalogue/biryani-house-deoria-ho-deoria-mktc2xph0o.jpg</v>
      </c>
    </row>
    <row r="3009" spans="1:13" x14ac:dyDescent="0.3">
      <c r="A3009" t="s">
        <v>3039</v>
      </c>
      <c r="B3009" s="1">
        <v>45360</v>
      </c>
      <c r="C3009" t="s">
        <v>20</v>
      </c>
      <c r="D3009" t="s">
        <v>14</v>
      </c>
      <c r="E3009">
        <v>43</v>
      </c>
      <c r="F3009" t="s">
        <v>28</v>
      </c>
      <c r="G3009">
        <v>793.03</v>
      </c>
      <c r="H3009">
        <v>44</v>
      </c>
      <c r="I3009" t="s">
        <v>16</v>
      </c>
      <c r="J3009">
        <v>3.1</v>
      </c>
      <c r="K3009" t="s">
        <v>17</v>
      </c>
      <c r="L3009" t="s">
        <v>23</v>
      </c>
      <c r="M3009" t="str">
        <f>VLOOKUP(D3013,Restaurant_Master!A:B,2,FALSE)</f>
        <v>https://media-cdn.tripadvisor.com/media/photo-s/1c/c7/97/b6/photo6jpg.jpg</v>
      </c>
    </row>
    <row r="3010" spans="1:13" x14ac:dyDescent="0.3">
      <c r="A3010" t="s">
        <v>3040</v>
      </c>
      <c r="B3010" s="1">
        <v>45482</v>
      </c>
      <c r="C3010" t="s">
        <v>43</v>
      </c>
      <c r="D3010" t="s">
        <v>21</v>
      </c>
      <c r="E3010">
        <v>25</v>
      </c>
      <c r="F3010" t="s">
        <v>15</v>
      </c>
      <c r="G3010">
        <v>617.78</v>
      </c>
      <c r="H3010">
        <v>54</v>
      </c>
      <c r="I3010" t="s">
        <v>16</v>
      </c>
      <c r="J3010">
        <v>4.9000000000000004</v>
      </c>
      <c r="K3010" t="s">
        <v>17</v>
      </c>
      <c r="L3010" t="s">
        <v>23</v>
      </c>
      <c r="M3010" t="str">
        <f>VLOOKUP(D3014,Restaurant_Master!A:B,2,FALSE)</f>
        <v>https://dynamic-media-cdn.tripadvisor.com/media/photo-o/1c/e7/04/0d/front-of-the-local-easily.jpg</v>
      </c>
    </row>
    <row r="3011" spans="1:13" x14ac:dyDescent="0.3">
      <c r="A3011" t="s">
        <v>3041</v>
      </c>
      <c r="B3011" s="1">
        <v>45347</v>
      </c>
      <c r="C3011" t="s">
        <v>36</v>
      </c>
      <c r="D3011" t="s">
        <v>25</v>
      </c>
      <c r="E3011">
        <v>59</v>
      </c>
      <c r="F3011" t="s">
        <v>28</v>
      </c>
      <c r="G3011">
        <v>1032.3499999999999</v>
      </c>
      <c r="H3011">
        <v>55</v>
      </c>
      <c r="I3011" t="s">
        <v>16</v>
      </c>
      <c r="J3011">
        <v>4.9000000000000004</v>
      </c>
      <c r="K3011" t="s">
        <v>17</v>
      </c>
      <c r="L3011" t="s">
        <v>23</v>
      </c>
      <c r="M3011" t="str">
        <f>VLOOKUP(D3015,Restaurant_Master!A:B,2,FALSE)</f>
        <v>https://dineout-media-assets.swiggy.com/swiggy/image/upload/fl_lossy,f_auto,q_auto/v1660793737/fdqxvxcxg1wtdwvyv45v.jpg</v>
      </c>
    </row>
    <row r="3012" spans="1:13" x14ac:dyDescent="0.3">
      <c r="A3012" t="s">
        <v>3042</v>
      </c>
      <c r="B3012" s="1">
        <v>45589</v>
      </c>
      <c r="C3012" t="s">
        <v>43</v>
      </c>
      <c r="D3012" t="s">
        <v>32</v>
      </c>
      <c r="E3012">
        <v>33</v>
      </c>
      <c r="F3012" t="s">
        <v>15</v>
      </c>
      <c r="G3012">
        <v>637.9</v>
      </c>
      <c r="H3012">
        <v>28</v>
      </c>
      <c r="I3012" t="s">
        <v>22</v>
      </c>
      <c r="J3012">
        <v>2.5</v>
      </c>
      <c r="K3012" t="s">
        <v>26</v>
      </c>
      <c r="L3012" t="s">
        <v>18</v>
      </c>
      <c r="M3012" t="str">
        <f>VLOOKUP(D3016,Restaurant_Master!A:B,2,FALSE)</f>
        <v>https://dineout-media-assets.swiggy.com/swiggy/image/upload/fl_lossy,f_auto,q_auto/v1660793737/fdqxvxcxg1wtdwvyv45v.jpg</v>
      </c>
    </row>
    <row r="3013" spans="1:13" x14ac:dyDescent="0.3">
      <c r="A3013" t="s">
        <v>3043</v>
      </c>
      <c r="B3013" s="1">
        <v>45611</v>
      </c>
      <c r="C3013" t="s">
        <v>34</v>
      </c>
      <c r="D3013" t="s">
        <v>25</v>
      </c>
      <c r="E3013">
        <v>18</v>
      </c>
      <c r="F3013" t="s">
        <v>15</v>
      </c>
      <c r="G3013">
        <v>465.24</v>
      </c>
      <c r="H3013">
        <v>37</v>
      </c>
      <c r="I3013" t="s">
        <v>22</v>
      </c>
      <c r="J3013">
        <v>2.5</v>
      </c>
      <c r="K3013" t="s">
        <v>26</v>
      </c>
      <c r="L3013" t="s">
        <v>18</v>
      </c>
      <c r="M3013" t="str">
        <f>VLOOKUP(D3017,Restaurant_Master!A:B,2,FALSE)</f>
        <v>https://dynamic-media-cdn.tripadvisor.com/media/photo-o/1c/e7/04/0d/front-of-the-local-easily.jpg</v>
      </c>
    </row>
    <row r="3014" spans="1:13" x14ac:dyDescent="0.3">
      <c r="A3014" t="s">
        <v>3044</v>
      </c>
      <c r="B3014" s="1">
        <v>45621</v>
      </c>
      <c r="C3014" t="s">
        <v>36</v>
      </c>
      <c r="D3014" t="s">
        <v>21</v>
      </c>
      <c r="E3014">
        <v>20</v>
      </c>
      <c r="F3014" t="s">
        <v>15</v>
      </c>
      <c r="G3014">
        <v>564.91999999999996</v>
      </c>
      <c r="H3014">
        <v>28</v>
      </c>
      <c r="I3014" t="s">
        <v>22</v>
      </c>
      <c r="J3014">
        <v>4.5</v>
      </c>
      <c r="K3014" t="s">
        <v>17</v>
      </c>
      <c r="L3014" t="s">
        <v>23</v>
      </c>
      <c r="M3014" t="str">
        <f>VLOOKUP(D3018,Restaurant_Master!A:B,2,FALSE)</f>
        <v>https://media-cdn.tripadvisor.com/media/photo-s/1c/c7/97/b6/photo6jpg.jpg</v>
      </c>
    </row>
    <row r="3015" spans="1:13" x14ac:dyDescent="0.3">
      <c r="A3015" t="s">
        <v>3045</v>
      </c>
      <c r="B3015" s="1">
        <v>45463</v>
      </c>
      <c r="C3015" t="s">
        <v>20</v>
      </c>
      <c r="D3015" t="s">
        <v>14</v>
      </c>
      <c r="E3015">
        <v>30</v>
      </c>
      <c r="F3015" t="s">
        <v>15</v>
      </c>
      <c r="G3015">
        <v>722.89</v>
      </c>
      <c r="H3015">
        <v>31</v>
      </c>
      <c r="I3015" t="s">
        <v>22</v>
      </c>
      <c r="J3015">
        <v>3.7</v>
      </c>
      <c r="K3015" t="s">
        <v>17</v>
      </c>
      <c r="L3015" t="s">
        <v>18</v>
      </c>
      <c r="M3015" t="str">
        <f>VLOOKUP(D3019,Restaurant_Master!A:B,2,FALSE)</f>
        <v>https://media-cdn.tripadvisor.com/media/photo-s/1c/c7/97/b6/photo6jpg.jpg</v>
      </c>
    </row>
    <row r="3016" spans="1:13" x14ac:dyDescent="0.3">
      <c r="A3016" t="s">
        <v>3046</v>
      </c>
      <c r="B3016" s="1">
        <v>45580</v>
      </c>
      <c r="C3016" t="s">
        <v>13</v>
      </c>
      <c r="D3016" t="s">
        <v>14</v>
      </c>
      <c r="E3016">
        <v>57</v>
      </c>
      <c r="F3016" t="s">
        <v>15</v>
      </c>
      <c r="G3016">
        <v>411.41</v>
      </c>
      <c r="H3016">
        <v>25</v>
      </c>
      <c r="I3016" t="s">
        <v>22</v>
      </c>
      <c r="J3016">
        <v>2.6</v>
      </c>
      <c r="K3016" t="s">
        <v>41</v>
      </c>
      <c r="L3016" t="s">
        <v>23</v>
      </c>
      <c r="M3016" t="str">
        <f>VLOOKUP(D3020,Restaurant_Master!A:B,2,FALSE)</f>
        <v>https://www.chatswoodinterchange.com/storages/2018/08/Sushi-World_666x448.jpg</v>
      </c>
    </row>
    <row r="3017" spans="1:13" x14ac:dyDescent="0.3">
      <c r="A3017" t="s">
        <v>3047</v>
      </c>
      <c r="B3017" s="1">
        <v>45443</v>
      </c>
      <c r="C3017" t="s">
        <v>20</v>
      </c>
      <c r="D3017" t="s">
        <v>21</v>
      </c>
      <c r="E3017">
        <v>29</v>
      </c>
      <c r="F3017" t="s">
        <v>15</v>
      </c>
      <c r="G3017">
        <v>167.9</v>
      </c>
      <c r="H3017">
        <v>23</v>
      </c>
      <c r="I3017" t="s">
        <v>22</v>
      </c>
      <c r="J3017">
        <v>4.7</v>
      </c>
      <c r="K3017" t="s">
        <v>41</v>
      </c>
      <c r="L3017" t="s">
        <v>18</v>
      </c>
      <c r="M3017" t="str">
        <f>VLOOKUP(D3021,Restaurant_Master!A:B,2,FALSE)</f>
        <v>https://content.jdmagicbox.com/comp/deoria/g6/9999p5568.5568.200119143033.m4g6/catalogue/biryani-house-deoria-ho-deoria-mktc2xph0o.jpg</v>
      </c>
    </row>
    <row r="3018" spans="1:13" x14ac:dyDescent="0.3">
      <c r="A3018" t="s">
        <v>3048</v>
      </c>
      <c r="B3018" s="1">
        <v>45463</v>
      </c>
      <c r="C3018" t="s">
        <v>34</v>
      </c>
      <c r="D3018" t="s">
        <v>25</v>
      </c>
      <c r="E3018">
        <v>37</v>
      </c>
      <c r="F3018" t="s">
        <v>28</v>
      </c>
      <c r="G3018">
        <v>993.86</v>
      </c>
      <c r="H3018">
        <v>27</v>
      </c>
      <c r="I3018" t="s">
        <v>22</v>
      </c>
      <c r="J3018">
        <v>2.6</v>
      </c>
      <c r="K3018" t="s">
        <v>41</v>
      </c>
      <c r="L3018" t="s">
        <v>18</v>
      </c>
      <c r="M3018" t="str">
        <f>VLOOKUP(D3022,Restaurant_Master!A:B,2,FALSE)</f>
        <v>https://dineout-media-assets.swiggy.com/swiggy/image/upload/fl_lossy,f_auto,q_auto/v1660793737/fdqxvxcxg1wtdwvyv45v.jpg</v>
      </c>
    </row>
    <row r="3019" spans="1:13" x14ac:dyDescent="0.3">
      <c r="A3019" t="s">
        <v>3049</v>
      </c>
      <c r="B3019" s="1">
        <v>45569</v>
      </c>
      <c r="C3019" t="s">
        <v>20</v>
      </c>
      <c r="D3019" t="s">
        <v>25</v>
      </c>
      <c r="E3019">
        <v>46</v>
      </c>
      <c r="F3019" t="s">
        <v>28</v>
      </c>
      <c r="G3019">
        <v>941.59</v>
      </c>
      <c r="H3019">
        <v>20</v>
      </c>
      <c r="I3019" t="s">
        <v>22</v>
      </c>
      <c r="J3019">
        <v>2.9</v>
      </c>
      <c r="K3019" t="s">
        <v>41</v>
      </c>
      <c r="L3019" t="s">
        <v>23</v>
      </c>
      <c r="M3019" t="str">
        <f>VLOOKUP(D3023,Restaurant_Master!A:B,2,FALSE)</f>
        <v>https://www.chatswoodinterchange.com/storages/2018/08/Sushi-World_666x448.jpg</v>
      </c>
    </row>
    <row r="3020" spans="1:13" x14ac:dyDescent="0.3">
      <c r="A3020" t="s">
        <v>3050</v>
      </c>
      <c r="B3020" s="1">
        <v>45391</v>
      </c>
      <c r="C3020" t="s">
        <v>34</v>
      </c>
      <c r="D3020" t="s">
        <v>38</v>
      </c>
      <c r="E3020">
        <v>30</v>
      </c>
      <c r="F3020" t="s">
        <v>28</v>
      </c>
      <c r="G3020">
        <v>279.54000000000002</v>
      </c>
      <c r="H3020">
        <v>56</v>
      </c>
      <c r="I3020" t="s">
        <v>16</v>
      </c>
      <c r="J3020">
        <v>2.9</v>
      </c>
      <c r="K3020" t="s">
        <v>29</v>
      </c>
      <c r="L3020" t="s">
        <v>18</v>
      </c>
      <c r="M3020" t="str">
        <f>VLOOKUP(D3024,Restaurant_Master!A:B,2,FALSE)</f>
        <v>https://content.jdmagicbox.com/comp/deoria/g6/9999p5568.5568.200119143033.m4g6/catalogue/biryani-house-deoria-ho-deoria-mktc2xph0o.jpg</v>
      </c>
    </row>
    <row r="3021" spans="1:13" x14ac:dyDescent="0.3">
      <c r="A3021" t="s">
        <v>3051</v>
      </c>
      <c r="B3021" s="1">
        <v>45537</v>
      </c>
      <c r="C3021" t="s">
        <v>43</v>
      </c>
      <c r="D3021" t="s">
        <v>32</v>
      </c>
      <c r="E3021">
        <v>34</v>
      </c>
      <c r="F3021" t="s">
        <v>28</v>
      </c>
      <c r="G3021">
        <v>605.07000000000005</v>
      </c>
      <c r="H3021">
        <v>28</v>
      </c>
      <c r="I3021" t="s">
        <v>22</v>
      </c>
      <c r="J3021">
        <v>3.5</v>
      </c>
      <c r="K3021" t="s">
        <v>29</v>
      </c>
      <c r="L3021" t="s">
        <v>18</v>
      </c>
      <c r="M3021" t="str">
        <f>VLOOKUP(D3025,Restaurant_Master!A:B,2,FALSE)</f>
        <v>https://content.jdmagicbox.com/comp/deoria/g6/9999p5568.5568.200119143033.m4g6/catalogue/biryani-house-deoria-ho-deoria-mktc2xph0o.jpg</v>
      </c>
    </row>
    <row r="3022" spans="1:13" x14ac:dyDescent="0.3">
      <c r="A3022" t="s">
        <v>3052</v>
      </c>
      <c r="B3022" s="1">
        <v>45316</v>
      </c>
      <c r="C3022" t="s">
        <v>43</v>
      </c>
      <c r="D3022" t="s">
        <v>14</v>
      </c>
      <c r="E3022">
        <v>49</v>
      </c>
      <c r="F3022" t="s">
        <v>15</v>
      </c>
      <c r="G3022">
        <v>1090.9000000000001</v>
      </c>
      <c r="H3022">
        <v>36</v>
      </c>
      <c r="I3022" t="s">
        <v>22</v>
      </c>
      <c r="J3022">
        <v>4.9000000000000004</v>
      </c>
      <c r="K3022" t="s">
        <v>41</v>
      </c>
      <c r="L3022" t="s">
        <v>23</v>
      </c>
      <c r="M3022" t="str">
        <f>VLOOKUP(D3026,Restaurant_Master!A:B,2,FALSE)</f>
        <v>https://dynamic-media-cdn.tripadvisor.com/media/photo-o/1c/e7/04/0d/front-of-the-local-easily.jpg</v>
      </c>
    </row>
    <row r="3023" spans="1:13" x14ac:dyDescent="0.3">
      <c r="A3023" t="s">
        <v>3053</v>
      </c>
      <c r="B3023" s="1">
        <v>45464</v>
      </c>
      <c r="C3023" t="s">
        <v>43</v>
      </c>
      <c r="D3023" t="s">
        <v>38</v>
      </c>
      <c r="E3023">
        <v>25</v>
      </c>
      <c r="F3023" t="s">
        <v>15</v>
      </c>
      <c r="G3023">
        <v>1101.3699999999999</v>
      </c>
      <c r="H3023">
        <v>46</v>
      </c>
      <c r="I3023" t="s">
        <v>16</v>
      </c>
      <c r="J3023">
        <v>3.8</v>
      </c>
      <c r="K3023" t="s">
        <v>41</v>
      </c>
      <c r="L3023" t="s">
        <v>18</v>
      </c>
      <c r="M3023" t="str">
        <f>VLOOKUP(D3027,Restaurant_Master!A:B,2,FALSE)</f>
        <v>https://content.jdmagicbox.com/comp/deoria/g6/9999p5568.5568.200119143033.m4g6/catalogue/biryani-house-deoria-ho-deoria-mktc2xph0o.jpg</v>
      </c>
    </row>
    <row r="3024" spans="1:13" x14ac:dyDescent="0.3">
      <c r="A3024" t="s">
        <v>3054</v>
      </c>
      <c r="B3024" s="1">
        <v>45395</v>
      </c>
      <c r="C3024" t="s">
        <v>43</v>
      </c>
      <c r="D3024" t="s">
        <v>32</v>
      </c>
      <c r="E3024">
        <v>49</v>
      </c>
      <c r="F3024" t="s">
        <v>15</v>
      </c>
      <c r="G3024">
        <v>202.01</v>
      </c>
      <c r="H3024">
        <v>20</v>
      </c>
      <c r="I3024" t="s">
        <v>22</v>
      </c>
      <c r="J3024">
        <v>4.5</v>
      </c>
      <c r="K3024" t="s">
        <v>29</v>
      </c>
      <c r="L3024" t="s">
        <v>18</v>
      </c>
      <c r="M3024" t="str">
        <f>VLOOKUP(D3028,Restaurant_Master!A:B,2,FALSE)</f>
        <v>https://dynamic-media-cdn.tripadvisor.com/media/photo-o/1c/e7/04/0d/front-of-the-local-easily.jpg</v>
      </c>
    </row>
    <row r="3025" spans="1:13" x14ac:dyDescent="0.3">
      <c r="A3025" t="s">
        <v>3055</v>
      </c>
      <c r="B3025" s="1">
        <v>45415</v>
      </c>
      <c r="C3025" t="s">
        <v>13</v>
      </c>
      <c r="D3025" t="s">
        <v>32</v>
      </c>
      <c r="E3025">
        <v>27</v>
      </c>
      <c r="F3025" t="s">
        <v>28</v>
      </c>
      <c r="G3025">
        <v>427.14</v>
      </c>
      <c r="H3025">
        <v>33</v>
      </c>
      <c r="I3025" t="s">
        <v>22</v>
      </c>
      <c r="J3025">
        <v>4.2</v>
      </c>
      <c r="K3025" t="s">
        <v>26</v>
      </c>
      <c r="L3025" t="s">
        <v>18</v>
      </c>
      <c r="M3025" t="str">
        <f>VLOOKUP(D3029,Restaurant_Master!A:B,2,FALSE)</f>
        <v>https://dineout-media-assets.swiggy.com/swiggy/image/upload/fl_lossy,f_auto,q_auto/v1660793737/fdqxvxcxg1wtdwvyv45v.jpg</v>
      </c>
    </row>
    <row r="3026" spans="1:13" x14ac:dyDescent="0.3">
      <c r="A3026" t="s">
        <v>3056</v>
      </c>
      <c r="B3026" s="1">
        <v>45597</v>
      </c>
      <c r="C3026" t="s">
        <v>13</v>
      </c>
      <c r="D3026" t="s">
        <v>21</v>
      </c>
      <c r="E3026">
        <v>18</v>
      </c>
      <c r="F3026" t="s">
        <v>28</v>
      </c>
      <c r="G3026">
        <v>809.28</v>
      </c>
      <c r="H3026">
        <v>47</v>
      </c>
      <c r="I3026" t="s">
        <v>16</v>
      </c>
      <c r="J3026">
        <v>4.3</v>
      </c>
      <c r="K3026" t="s">
        <v>29</v>
      </c>
      <c r="L3026" t="s">
        <v>23</v>
      </c>
      <c r="M3026" t="str">
        <f>VLOOKUP(D3030,Restaurant_Master!A:B,2,FALSE)</f>
        <v>https://media-cdn.tripadvisor.com/media/photo-s/1c/c7/97/b6/photo6jpg.jpg</v>
      </c>
    </row>
    <row r="3027" spans="1:13" x14ac:dyDescent="0.3">
      <c r="A3027" t="s">
        <v>3057</v>
      </c>
      <c r="B3027" s="1">
        <v>45459</v>
      </c>
      <c r="C3027" t="s">
        <v>20</v>
      </c>
      <c r="D3027" t="s">
        <v>32</v>
      </c>
      <c r="E3027">
        <v>45</v>
      </c>
      <c r="F3027" t="s">
        <v>28</v>
      </c>
      <c r="G3027">
        <v>261.22000000000003</v>
      </c>
      <c r="H3027">
        <v>53</v>
      </c>
      <c r="I3027" t="s">
        <v>16</v>
      </c>
      <c r="J3027">
        <v>3.4</v>
      </c>
      <c r="K3027" t="s">
        <v>29</v>
      </c>
      <c r="L3027" t="s">
        <v>18</v>
      </c>
      <c r="M3027" t="str">
        <f>VLOOKUP(D3031,Restaurant_Master!A:B,2,FALSE)</f>
        <v>https://dynamic-media-cdn.tripadvisor.com/media/photo-o/1c/e7/04/0d/front-of-the-local-easily.jpg</v>
      </c>
    </row>
    <row r="3028" spans="1:13" x14ac:dyDescent="0.3">
      <c r="A3028" t="s">
        <v>3058</v>
      </c>
      <c r="B3028" s="1">
        <v>45615</v>
      </c>
      <c r="C3028" t="s">
        <v>43</v>
      </c>
      <c r="D3028" t="s">
        <v>21</v>
      </c>
      <c r="E3028">
        <v>59</v>
      </c>
      <c r="F3028" t="s">
        <v>15</v>
      </c>
      <c r="G3028">
        <v>1133.5</v>
      </c>
      <c r="H3028">
        <v>46</v>
      </c>
      <c r="I3028" t="s">
        <v>16</v>
      </c>
      <c r="J3028">
        <v>4</v>
      </c>
      <c r="K3028" t="s">
        <v>17</v>
      </c>
      <c r="L3028" t="s">
        <v>18</v>
      </c>
      <c r="M3028" t="str">
        <f>VLOOKUP(D3032,Restaurant_Master!A:B,2,FALSE)</f>
        <v>https://dineout-media-assets.swiggy.com/swiggy/image/upload/fl_lossy,f_auto,q_auto/v1660793737/fdqxvxcxg1wtdwvyv45v.jpg</v>
      </c>
    </row>
    <row r="3029" spans="1:13" x14ac:dyDescent="0.3">
      <c r="A3029" t="s">
        <v>3059</v>
      </c>
      <c r="B3029" s="1">
        <v>45601</v>
      </c>
      <c r="C3029" t="s">
        <v>20</v>
      </c>
      <c r="D3029" t="s">
        <v>14</v>
      </c>
      <c r="E3029">
        <v>25</v>
      </c>
      <c r="F3029" t="s">
        <v>15</v>
      </c>
      <c r="G3029">
        <v>735.39</v>
      </c>
      <c r="H3029">
        <v>20</v>
      </c>
      <c r="I3029" t="s">
        <v>22</v>
      </c>
      <c r="J3029">
        <v>4</v>
      </c>
      <c r="K3029" t="s">
        <v>41</v>
      </c>
      <c r="L3029" t="s">
        <v>23</v>
      </c>
      <c r="M3029" t="str">
        <f>VLOOKUP(D3033,Restaurant_Master!A:B,2,FALSE)</f>
        <v>https://dynamic-media-cdn.tripadvisor.com/media/photo-o/1c/e7/04/0d/front-of-the-local-easily.jpg</v>
      </c>
    </row>
    <row r="3030" spans="1:13" x14ac:dyDescent="0.3">
      <c r="A3030" t="s">
        <v>3060</v>
      </c>
      <c r="B3030" s="1">
        <v>45358</v>
      </c>
      <c r="C3030" t="s">
        <v>36</v>
      </c>
      <c r="D3030" t="s">
        <v>25</v>
      </c>
      <c r="E3030">
        <v>30</v>
      </c>
      <c r="F3030" t="s">
        <v>15</v>
      </c>
      <c r="G3030">
        <v>316.26</v>
      </c>
      <c r="H3030">
        <v>47</v>
      </c>
      <c r="I3030" t="s">
        <v>16</v>
      </c>
      <c r="J3030">
        <v>3.4</v>
      </c>
      <c r="K3030" t="s">
        <v>17</v>
      </c>
      <c r="L3030" t="s">
        <v>23</v>
      </c>
      <c r="M3030" t="str">
        <f>VLOOKUP(D3034,Restaurant_Master!A:B,2,FALSE)</f>
        <v>https://dineout-media-assets.swiggy.com/swiggy/image/upload/fl_lossy,f_auto,q_auto/v1660793737/fdqxvxcxg1wtdwvyv45v.jpg</v>
      </c>
    </row>
    <row r="3031" spans="1:13" x14ac:dyDescent="0.3">
      <c r="A3031" t="s">
        <v>3061</v>
      </c>
      <c r="B3031" s="1">
        <v>45312</v>
      </c>
      <c r="C3031" t="s">
        <v>20</v>
      </c>
      <c r="D3031" t="s">
        <v>21</v>
      </c>
      <c r="E3031">
        <v>59</v>
      </c>
      <c r="F3031" t="s">
        <v>15</v>
      </c>
      <c r="G3031">
        <v>879.8</v>
      </c>
      <c r="H3031">
        <v>45</v>
      </c>
      <c r="I3031" t="s">
        <v>16</v>
      </c>
      <c r="J3031">
        <v>3.7</v>
      </c>
      <c r="K3031" t="s">
        <v>26</v>
      </c>
      <c r="L3031" t="s">
        <v>23</v>
      </c>
      <c r="M3031" t="str">
        <f>VLOOKUP(D3035,Restaurant_Master!A:B,2,FALSE)</f>
        <v>https://dineout-media-assets.swiggy.com/swiggy/image/upload/fl_lossy,f_auto,q_auto/v1660793737/fdqxvxcxg1wtdwvyv45v.jpg</v>
      </c>
    </row>
    <row r="3032" spans="1:13" x14ac:dyDescent="0.3">
      <c r="A3032" t="s">
        <v>3062</v>
      </c>
      <c r="B3032" s="1">
        <v>45392</v>
      </c>
      <c r="C3032" t="s">
        <v>34</v>
      </c>
      <c r="D3032" t="s">
        <v>14</v>
      </c>
      <c r="E3032">
        <v>35</v>
      </c>
      <c r="F3032" t="s">
        <v>28</v>
      </c>
      <c r="G3032">
        <v>1150.9100000000001</v>
      </c>
      <c r="H3032">
        <v>37</v>
      </c>
      <c r="I3032" t="s">
        <v>22</v>
      </c>
      <c r="J3032">
        <v>3.2</v>
      </c>
      <c r="K3032" t="s">
        <v>41</v>
      </c>
      <c r="L3032" t="s">
        <v>18</v>
      </c>
      <c r="M3032" t="str">
        <f>VLOOKUP(D3036,Restaurant_Master!A:B,2,FALSE)</f>
        <v>https://content.jdmagicbox.com/comp/deoria/g6/9999p5568.5568.200119143033.m4g6/catalogue/biryani-house-deoria-ho-deoria-mktc2xph0o.jpg</v>
      </c>
    </row>
    <row r="3033" spans="1:13" x14ac:dyDescent="0.3">
      <c r="A3033" t="s">
        <v>3063</v>
      </c>
      <c r="B3033" s="1">
        <v>45546</v>
      </c>
      <c r="C3033" t="s">
        <v>20</v>
      </c>
      <c r="D3033" t="s">
        <v>21</v>
      </c>
      <c r="E3033">
        <v>34</v>
      </c>
      <c r="F3033" t="s">
        <v>15</v>
      </c>
      <c r="G3033">
        <v>1076.24</v>
      </c>
      <c r="H3033">
        <v>55</v>
      </c>
      <c r="I3033" t="s">
        <v>16</v>
      </c>
      <c r="J3033">
        <v>2.6</v>
      </c>
      <c r="K3033" t="s">
        <v>29</v>
      </c>
      <c r="L3033" t="s">
        <v>23</v>
      </c>
      <c r="M3033" t="str">
        <f>VLOOKUP(D3037,Restaurant_Master!A:B,2,FALSE)</f>
        <v>https://media-cdn.tripadvisor.com/media/photo-s/1c/c7/97/b6/photo6jpg.jpg</v>
      </c>
    </row>
    <row r="3034" spans="1:13" x14ac:dyDescent="0.3">
      <c r="A3034" t="s">
        <v>3064</v>
      </c>
      <c r="B3034" s="1">
        <v>45437</v>
      </c>
      <c r="C3034" t="s">
        <v>34</v>
      </c>
      <c r="D3034" t="s">
        <v>14</v>
      </c>
      <c r="E3034">
        <v>32</v>
      </c>
      <c r="F3034" t="s">
        <v>28</v>
      </c>
      <c r="G3034">
        <v>1179.28</v>
      </c>
      <c r="H3034">
        <v>35</v>
      </c>
      <c r="I3034" t="s">
        <v>22</v>
      </c>
      <c r="J3034">
        <v>4.4000000000000004</v>
      </c>
      <c r="K3034" t="s">
        <v>41</v>
      </c>
      <c r="L3034" t="s">
        <v>23</v>
      </c>
      <c r="M3034" t="str">
        <f>VLOOKUP(D3038,Restaurant_Master!A:B,2,FALSE)</f>
        <v>https://www.chatswoodinterchange.com/storages/2018/08/Sushi-World_666x448.jpg</v>
      </c>
    </row>
    <row r="3035" spans="1:13" x14ac:dyDescent="0.3">
      <c r="A3035" t="s">
        <v>3065</v>
      </c>
      <c r="B3035" s="1">
        <v>45652</v>
      </c>
      <c r="C3035" t="s">
        <v>34</v>
      </c>
      <c r="D3035" t="s">
        <v>14</v>
      </c>
      <c r="E3035">
        <v>21</v>
      </c>
      <c r="F3035" t="s">
        <v>28</v>
      </c>
      <c r="G3035">
        <v>511.41</v>
      </c>
      <c r="H3035">
        <v>29</v>
      </c>
      <c r="I3035" t="s">
        <v>22</v>
      </c>
      <c r="J3035">
        <v>3.2</v>
      </c>
      <c r="K3035" t="s">
        <v>17</v>
      </c>
      <c r="L3035" t="s">
        <v>18</v>
      </c>
      <c r="M3035" t="str">
        <f>VLOOKUP(D3039,Restaurant_Master!A:B,2,FALSE)</f>
        <v>https://www.chatswoodinterchange.com/storages/2018/08/Sushi-World_666x448.jpg</v>
      </c>
    </row>
    <row r="3036" spans="1:13" x14ac:dyDescent="0.3">
      <c r="A3036" t="s">
        <v>3066</v>
      </c>
      <c r="B3036" s="1">
        <v>45369</v>
      </c>
      <c r="C3036" t="s">
        <v>13</v>
      </c>
      <c r="D3036" t="s">
        <v>32</v>
      </c>
      <c r="E3036">
        <v>58</v>
      </c>
      <c r="F3036" t="s">
        <v>15</v>
      </c>
      <c r="G3036">
        <v>416.9</v>
      </c>
      <c r="H3036">
        <v>54</v>
      </c>
      <c r="I3036" t="s">
        <v>16</v>
      </c>
      <c r="J3036">
        <v>2.8</v>
      </c>
      <c r="K3036" t="s">
        <v>17</v>
      </c>
      <c r="L3036" t="s">
        <v>18</v>
      </c>
      <c r="M3036" t="str">
        <f>VLOOKUP(D3040,Restaurant_Master!A:B,2,FALSE)</f>
        <v>https://dynamic-media-cdn.tripadvisor.com/media/photo-o/1c/e7/04/0d/front-of-the-local-easily.jpg</v>
      </c>
    </row>
    <row r="3037" spans="1:13" x14ac:dyDescent="0.3">
      <c r="A3037" t="s">
        <v>3067</v>
      </c>
      <c r="B3037" s="1">
        <v>45558</v>
      </c>
      <c r="C3037" t="s">
        <v>43</v>
      </c>
      <c r="D3037" t="s">
        <v>25</v>
      </c>
      <c r="E3037">
        <v>47</v>
      </c>
      <c r="F3037" t="s">
        <v>28</v>
      </c>
      <c r="G3037">
        <v>777.39</v>
      </c>
      <c r="H3037">
        <v>25</v>
      </c>
      <c r="I3037" t="s">
        <v>22</v>
      </c>
      <c r="J3037">
        <v>3.9</v>
      </c>
      <c r="K3037" t="s">
        <v>29</v>
      </c>
      <c r="L3037" t="s">
        <v>23</v>
      </c>
      <c r="M3037" t="str">
        <f>VLOOKUP(D3041,Restaurant_Master!A:B,2,FALSE)</f>
        <v>https://dineout-media-assets.swiggy.com/swiggy/image/upload/fl_lossy,f_auto,q_auto/v1660793737/fdqxvxcxg1wtdwvyv45v.jpg</v>
      </c>
    </row>
    <row r="3038" spans="1:13" x14ac:dyDescent="0.3">
      <c r="A3038" t="s">
        <v>3068</v>
      </c>
      <c r="B3038" s="1">
        <v>45448</v>
      </c>
      <c r="C3038" t="s">
        <v>34</v>
      </c>
      <c r="D3038" t="s">
        <v>38</v>
      </c>
      <c r="E3038">
        <v>55</v>
      </c>
      <c r="F3038" t="s">
        <v>28</v>
      </c>
      <c r="G3038">
        <v>372.02</v>
      </c>
      <c r="H3038">
        <v>44</v>
      </c>
      <c r="I3038" t="s">
        <v>16</v>
      </c>
      <c r="J3038">
        <v>2.5</v>
      </c>
      <c r="K3038" t="s">
        <v>26</v>
      </c>
      <c r="L3038" t="s">
        <v>23</v>
      </c>
      <c r="M3038" t="str">
        <f>VLOOKUP(D3042,Restaurant_Master!A:B,2,FALSE)</f>
        <v>https://dineout-media-assets.swiggy.com/swiggy/image/upload/fl_lossy,f_auto,q_auto/v1660793737/fdqxvxcxg1wtdwvyv45v.jpg</v>
      </c>
    </row>
    <row r="3039" spans="1:13" x14ac:dyDescent="0.3">
      <c r="A3039" t="s">
        <v>3069</v>
      </c>
      <c r="B3039" s="1">
        <v>45615</v>
      </c>
      <c r="C3039" t="s">
        <v>20</v>
      </c>
      <c r="D3039" t="s">
        <v>38</v>
      </c>
      <c r="E3039">
        <v>53</v>
      </c>
      <c r="F3039" t="s">
        <v>28</v>
      </c>
      <c r="G3039">
        <v>948.58</v>
      </c>
      <c r="H3039">
        <v>24</v>
      </c>
      <c r="I3039" t="s">
        <v>22</v>
      </c>
      <c r="J3039">
        <v>3.7</v>
      </c>
      <c r="K3039" t="s">
        <v>26</v>
      </c>
      <c r="L3039" t="s">
        <v>18</v>
      </c>
      <c r="M3039" t="str">
        <f>VLOOKUP(D3043,Restaurant_Master!A:B,2,FALSE)</f>
        <v>https://dynamic-media-cdn.tripadvisor.com/media/photo-o/1c/e7/04/0d/front-of-the-local-easily.jpg</v>
      </c>
    </row>
    <row r="3040" spans="1:13" x14ac:dyDescent="0.3">
      <c r="A3040" t="s">
        <v>3070</v>
      </c>
      <c r="B3040" s="1">
        <v>45307</v>
      </c>
      <c r="C3040" t="s">
        <v>36</v>
      </c>
      <c r="D3040" t="s">
        <v>21</v>
      </c>
      <c r="E3040">
        <v>60</v>
      </c>
      <c r="F3040" t="s">
        <v>15</v>
      </c>
      <c r="G3040">
        <v>508.57</v>
      </c>
      <c r="H3040">
        <v>43</v>
      </c>
      <c r="I3040" t="s">
        <v>16</v>
      </c>
      <c r="J3040">
        <v>3.5</v>
      </c>
      <c r="K3040" t="s">
        <v>41</v>
      </c>
      <c r="L3040" t="s">
        <v>23</v>
      </c>
      <c r="M3040" t="str">
        <f>VLOOKUP(D3044,Restaurant_Master!A:B,2,FALSE)</f>
        <v>https://content.jdmagicbox.com/comp/deoria/g6/9999p5568.5568.200119143033.m4g6/catalogue/biryani-house-deoria-ho-deoria-mktc2xph0o.jpg</v>
      </c>
    </row>
    <row r="3041" spans="1:13" x14ac:dyDescent="0.3">
      <c r="A3041" t="s">
        <v>3071</v>
      </c>
      <c r="B3041" s="1">
        <v>45637</v>
      </c>
      <c r="C3041" t="s">
        <v>13</v>
      </c>
      <c r="D3041" t="s">
        <v>14</v>
      </c>
      <c r="E3041">
        <v>21</v>
      </c>
      <c r="F3041" t="s">
        <v>15</v>
      </c>
      <c r="G3041">
        <v>1050.69</v>
      </c>
      <c r="H3041">
        <v>36</v>
      </c>
      <c r="I3041" t="s">
        <v>22</v>
      </c>
      <c r="J3041">
        <v>4.2</v>
      </c>
      <c r="K3041" t="s">
        <v>17</v>
      </c>
      <c r="L3041" t="s">
        <v>23</v>
      </c>
      <c r="M3041" t="str">
        <f>VLOOKUP(D3045,Restaurant_Master!A:B,2,FALSE)</f>
        <v>https://content.jdmagicbox.com/comp/deoria/g6/9999p5568.5568.200119143033.m4g6/catalogue/biryani-house-deoria-ho-deoria-mktc2xph0o.jpg</v>
      </c>
    </row>
    <row r="3042" spans="1:13" x14ac:dyDescent="0.3">
      <c r="A3042" t="s">
        <v>3072</v>
      </c>
      <c r="B3042" s="1">
        <v>45630</v>
      </c>
      <c r="C3042" t="s">
        <v>36</v>
      </c>
      <c r="D3042" t="s">
        <v>14</v>
      </c>
      <c r="E3042">
        <v>41</v>
      </c>
      <c r="F3042" t="s">
        <v>15</v>
      </c>
      <c r="G3042">
        <v>532.73</v>
      </c>
      <c r="H3042">
        <v>39</v>
      </c>
      <c r="I3042" t="s">
        <v>22</v>
      </c>
      <c r="J3042">
        <v>4</v>
      </c>
      <c r="K3042" t="s">
        <v>26</v>
      </c>
      <c r="L3042" t="s">
        <v>18</v>
      </c>
      <c r="M3042" t="str">
        <f>VLOOKUP(D3046,Restaurant_Master!A:B,2,FALSE)</f>
        <v>https://media-cdn.tripadvisor.com/media/photo-s/1c/c7/97/b6/photo6jpg.jpg</v>
      </c>
    </row>
    <row r="3043" spans="1:13" x14ac:dyDescent="0.3">
      <c r="A3043" t="s">
        <v>3073</v>
      </c>
      <c r="B3043" s="1">
        <v>45298</v>
      </c>
      <c r="C3043" t="s">
        <v>13</v>
      </c>
      <c r="D3043" t="s">
        <v>21</v>
      </c>
      <c r="E3043">
        <v>41</v>
      </c>
      <c r="F3043" t="s">
        <v>15</v>
      </c>
      <c r="G3043">
        <v>240.85</v>
      </c>
      <c r="H3043">
        <v>34</v>
      </c>
      <c r="I3043" t="s">
        <v>22</v>
      </c>
      <c r="J3043">
        <v>3.4</v>
      </c>
      <c r="K3043" t="s">
        <v>41</v>
      </c>
      <c r="L3043" t="s">
        <v>23</v>
      </c>
      <c r="M3043" t="str">
        <f>VLOOKUP(D3047,Restaurant_Master!A:B,2,FALSE)</f>
        <v>https://media-cdn.tripadvisor.com/media/photo-s/1c/c7/97/b6/photo6jpg.jpg</v>
      </c>
    </row>
    <row r="3044" spans="1:13" x14ac:dyDescent="0.3">
      <c r="A3044" t="s">
        <v>3074</v>
      </c>
      <c r="B3044" s="1">
        <v>45612</v>
      </c>
      <c r="C3044" t="s">
        <v>36</v>
      </c>
      <c r="D3044" t="s">
        <v>32</v>
      </c>
      <c r="E3044">
        <v>42</v>
      </c>
      <c r="F3044" t="s">
        <v>15</v>
      </c>
      <c r="G3044">
        <v>683.31</v>
      </c>
      <c r="H3044">
        <v>27</v>
      </c>
      <c r="I3044" t="s">
        <v>22</v>
      </c>
      <c r="J3044">
        <v>3</v>
      </c>
      <c r="K3044" t="s">
        <v>41</v>
      </c>
      <c r="L3044" t="s">
        <v>18</v>
      </c>
      <c r="M3044" t="str">
        <f>VLOOKUP(D3048,Restaurant_Master!A:B,2,FALSE)</f>
        <v>https://www.chatswoodinterchange.com/storages/2018/08/Sushi-World_666x448.jpg</v>
      </c>
    </row>
    <row r="3045" spans="1:13" x14ac:dyDescent="0.3">
      <c r="A3045" t="s">
        <v>3075</v>
      </c>
      <c r="B3045" s="1">
        <v>45374</v>
      </c>
      <c r="C3045" t="s">
        <v>36</v>
      </c>
      <c r="D3045" t="s">
        <v>32</v>
      </c>
      <c r="E3045">
        <v>31</v>
      </c>
      <c r="F3045" t="s">
        <v>15</v>
      </c>
      <c r="G3045">
        <v>371.6</v>
      </c>
      <c r="H3045">
        <v>33</v>
      </c>
      <c r="I3045" t="s">
        <v>22</v>
      </c>
      <c r="J3045">
        <v>3.9</v>
      </c>
      <c r="K3045" t="s">
        <v>26</v>
      </c>
      <c r="L3045" t="s">
        <v>23</v>
      </c>
      <c r="M3045" t="str">
        <f>VLOOKUP(D3049,Restaurant_Master!A:B,2,FALSE)</f>
        <v>https://dynamic-media-cdn.tripadvisor.com/media/photo-o/1c/e7/04/0d/front-of-the-local-easily.jpg</v>
      </c>
    </row>
    <row r="3046" spans="1:13" x14ac:dyDescent="0.3">
      <c r="A3046" t="s">
        <v>3076</v>
      </c>
      <c r="B3046" s="1">
        <v>45432</v>
      </c>
      <c r="C3046" t="s">
        <v>36</v>
      </c>
      <c r="D3046" t="s">
        <v>25</v>
      </c>
      <c r="E3046">
        <v>40</v>
      </c>
      <c r="F3046" t="s">
        <v>15</v>
      </c>
      <c r="G3046">
        <v>841.75</v>
      </c>
      <c r="H3046">
        <v>37</v>
      </c>
      <c r="I3046" t="s">
        <v>22</v>
      </c>
      <c r="J3046">
        <v>3.3</v>
      </c>
      <c r="K3046" t="s">
        <v>41</v>
      </c>
      <c r="L3046" t="s">
        <v>23</v>
      </c>
      <c r="M3046" t="str">
        <f>VLOOKUP(D3050,Restaurant_Master!A:B,2,FALSE)</f>
        <v>https://dineout-media-assets.swiggy.com/swiggy/image/upload/fl_lossy,f_auto,q_auto/v1660793737/fdqxvxcxg1wtdwvyv45v.jpg</v>
      </c>
    </row>
    <row r="3047" spans="1:13" x14ac:dyDescent="0.3">
      <c r="A3047" t="s">
        <v>3077</v>
      </c>
      <c r="B3047" s="1">
        <v>45437</v>
      </c>
      <c r="C3047" t="s">
        <v>36</v>
      </c>
      <c r="D3047" t="s">
        <v>25</v>
      </c>
      <c r="E3047">
        <v>47</v>
      </c>
      <c r="F3047" t="s">
        <v>28</v>
      </c>
      <c r="G3047">
        <v>899.02</v>
      </c>
      <c r="H3047">
        <v>47</v>
      </c>
      <c r="I3047" t="s">
        <v>16</v>
      </c>
      <c r="J3047">
        <v>4.0999999999999996</v>
      </c>
      <c r="K3047" t="s">
        <v>41</v>
      </c>
      <c r="L3047" t="s">
        <v>23</v>
      </c>
      <c r="M3047" t="str">
        <f>VLOOKUP(D3051,Restaurant_Master!A:B,2,FALSE)</f>
        <v>https://www.chatswoodinterchange.com/storages/2018/08/Sushi-World_666x448.jpg</v>
      </c>
    </row>
    <row r="3048" spans="1:13" x14ac:dyDescent="0.3">
      <c r="A3048" t="s">
        <v>3078</v>
      </c>
      <c r="B3048" s="1">
        <v>45504</v>
      </c>
      <c r="C3048" t="s">
        <v>13</v>
      </c>
      <c r="D3048" t="s">
        <v>38</v>
      </c>
      <c r="E3048">
        <v>25</v>
      </c>
      <c r="F3048" t="s">
        <v>15</v>
      </c>
      <c r="G3048">
        <v>728.4</v>
      </c>
      <c r="H3048">
        <v>53</v>
      </c>
      <c r="I3048" t="s">
        <v>16</v>
      </c>
      <c r="J3048">
        <v>3.8</v>
      </c>
      <c r="K3048" t="s">
        <v>41</v>
      </c>
      <c r="L3048" t="s">
        <v>23</v>
      </c>
      <c r="M3048" t="str">
        <f>VLOOKUP(D3052,Restaurant_Master!A:B,2,FALSE)</f>
        <v>https://media-cdn.tripadvisor.com/media/photo-s/1c/c7/97/b6/photo6jpg.jpg</v>
      </c>
    </row>
    <row r="3049" spans="1:13" x14ac:dyDescent="0.3">
      <c r="A3049" t="s">
        <v>3079</v>
      </c>
      <c r="B3049" s="1">
        <v>45375</v>
      </c>
      <c r="C3049" t="s">
        <v>20</v>
      </c>
      <c r="D3049" t="s">
        <v>21</v>
      </c>
      <c r="E3049">
        <v>24</v>
      </c>
      <c r="F3049" t="s">
        <v>28</v>
      </c>
      <c r="G3049">
        <v>219.37</v>
      </c>
      <c r="H3049">
        <v>30</v>
      </c>
      <c r="I3049" t="s">
        <v>22</v>
      </c>
      <c r="J3049">
        <v>3.4</v>
      </c>
      <c r="K3049" t="s">
        <v>41</v>
      </c>
      <c r="L3049" t="s">
        <v>18</v>
      </c>
      <c r="M3049" t="str">
        <f>VLOOKUP(D3053,Restaurant_Master!A:B,2,FALSE)</f>
        <v>https://dineout-media-assets.swiggy.com/swiggy/image/upload/fl_lossy,f_auto,q_auto/v1660793737/fdqxvxcxg1wtdwvyv45v.jpg</v>
      </c>
    </row>
    <row r="3050" spans="1:13" x14ac:dyDescent="0.3">
      <c r="A3050" t="s">
        <v>3080</v>
      </c>
      <c r="B3050" s="1">
        <v>45319</v>
      </c>
      <c r="C3050" t="s">
        <v>13</v>
      </c>
      <c r="D3050" t="s">
        <v>14</v>
      </c>
      <c r="E3050">
        <v>37</v>
      </c>
      <c r="F3050" t="s">
        <v>15</v>
      </c>
      <c r="G3050">
        <v>942.42</v>
      </c>
      <c r="H3050">
        <v>50</v>
      </c>
      <c r="I3050" t="s">
        <v>16</v>
      </c>
      <c r="J3050">
        <v>3.2</v>
      </c>
      <c r="K3050" t="s">
        <v>17</v>
      </c>
      <c r="L3050" t="s">
        <v>23</v>
      </c>
      <c r="M3050" t="str">
        <f>VLOOKUP(D3054,Restaurant_Master!A:B,2,FALSE)</f>
        <v>https://dineout-media-assets.swiggy.com/swiggy/image/upload/fl_lossy,f_auto,q_auto/v1660793737/fdqxvxcxg1wtdwvyv45v.jpg</v>
      </c>
    </row>
    <row r="3051" spans="1:13" x14ac:dyDescent="0.3">
      <c r="A3051" t="s">
        <v>3081</v>
      </c>
      <c r="B3051" s="1">
        <v>45647</v>
      </c>
      <c r="C3051" t="s">
        <v>43</v>
      </c>
      <c r="D3051" t="s">
        <v>38</v>
      </c>
      <c r="E3051">
        <v>49</v>
      </c>
      <c r="F3051" t="s">
        <v>28</v>
      </c>
      <c r="G3051">
        <v>408.85</v>
      </c>
      <c r="H3051">
        <v>37</v>
      </c>
      <c r="I3051" t="s">
        <v>22</v>
      </c>
      <c r="J3051">
        <v>3.3</v>
      </c>
      <c r="K3051" t="s">
        <v>29</v>
      </c>
      <c r="L3051" t="s">
        <v>23</v>
      </c>
      <c r="M3051" t="str">
        <f>VLOOKUP(D3055,Restaurant_Master!A:B,2,FALSE)</f>
        <v>https://media-cdn.tripadvisor.com/media/photo-s/1c/c7/97/b6/photo6jpg.jpg</v>
      </c>
    </row>
    <row r="3052" spans="1:13" x14ac:dyDescent="0.3">
      <c r="A3052" t="s">
        <v>3082</v>
      </c>
      <c r="B3052" s="1">
        <v>45555</v>
      </c>
      <c r="C3052" t="s">
        <v>20</v>
      </c>
      <c r="D3052" t="s">
        <v>25</v>
      </c>
      <c r="E3052">
        <v>52</v>
      </c>
      <c r="F3052" t="s">
        <v>15</v>
      </c>
      <c r="G3052">
        <v>248.68</v>
      </c>
      <c r="H3052">
        <v>49</v>
      </c>
      <c r="I3052" t="s">
        <v>16</v>
      </c>
      <c r="J3052">
        <v>3.5</v>
      </c>
      <c r="K3052" t="s">
        <v>26</v>
      </c>
      <c r="L3052" t="s">
        <v>23</v>
      </c>
      <c r="M3052" t="str">
        <f>VLOOKUP(D3056,Restaurant_Master!A:B,2,FALSE)</f>
        <v>https://dineout-media-assets.swiggy.com/swiggy/image/upload/fl_lossy,f_auto,q_auto/v1660793737/fdqxvxcxg1wtdwvyv45v.jpg</v>
      </c>
    </row>
    <row r="3053" spans="1:13" x14ac:dyDescent="0.3">
      <c r="A3053" t="s">
        <v>3083</v>
      </c>
      <c r="B3053" s="1">
        <v>45387</v>
      </c>
      <c r="C3053" t="s">
        <v>34</v>
      </c>
      <c r="D3053" t="s">
        <v>14</v>
      </c>
      <c r="E3053">
        <v>42</v>
      </c>
      <c r="F3053" t="s">
        <v>28</v>
      </c>
      <c r="G3053">
        <v>211.31</v>
      </c>
      <c r="H3053">
        <v>44</v>
      </c>
      <c r="I3053" t="s">
        <v>16</v>
      </c>
      <c r="J3053">
        <v>3.6</v>
      </c>
      <c r="K3053" t="s">
        <v>29</v>
      </c>
      <c r="L3053" t="s">
        <v>18</v>
      </c>
      <c r="M3053" t="str">
        <f>VLOOKUP(D3057,Restaurant_Master!A:B,2,FALSE)</f>
        <v>https://media-cdn.tripadvisor.com/media/photo-s/1c/c7/97/b6/photo6jpg.jpg</v>
      </c>
    </row>
    <row r="3054" spans="1:13" x14ac:dyDescent="0.3">
      <c r="A3054" t="s">
        <v>3084</v>
      </c>
      <c r="B3054" s="1">
        <v>45375</v>
      </c>
      <c r="C3054" t="s">
        <v>43</v>
      </c>
      <c r="D3054" t="s">
        <v>14</v>
      </c>
      <c r="E3054">
        <v>46</v>
      </c>
      <c r="F3054" t="s">
        <v>15</v>
      </c>
      <c r="G3054">
        <v>789.13</v>
      </c>
      <c r="H3054">
        <v>44</v>
      </c>
      <c r="I3054" t="s">
        <v>16</v>
      </c>
      <c r="J3054">
        <v>3.5</v>
      </c>
      <c r="K3054" t="s">
        <v>41</v>
      </c>
      <c r="L3054" t="s">
        <v>18</v>
      </c>
      <c r="M3054" t="str">
        <f>VLOOKUP(D3058,Restaurant_Master!A:B,2,FALSE)</f>
        <v>https://www.chatswoodinterchange.com/storages/2018/08/Sushi-World_666x448.jpg</v>
      </c>
    </row>
    <row r="3055" spans="1:13" x14ac:dyDescent="0.3">
      <c r="A3055" t="s">
        <v>3085</v>
      </c>
      <c r="B3055" s="1">
        <v>45363</v>
      </c>
      <c r="C3055" t="s">
        <v>13</v>
      </c>
      <c r="D3055" t="s">
        <v>25</v>
      </c>
      <c r="E3055">
        <v>34</v>
      </c>
      <c r="F3055" t="s">
        <v>15</v>
      </c>
      <c r="G3055">
        <v>699.64</v>
      </c>
      <c r="H3055">
        <v>51</v>
      </c>
      <c r="I3055" t="s">
        <v>16</v>
      </c>
      <c r="J3055">
        <v>3.8</v>
      </c>
      <c r="K3055" t="s">
        <v>41</v>
      </c>
      <c r="L3055" t="s">
        <v>23</v>
      </c>
      <c r="M3055" t="str">
        <f>VLOOKUP(D3059,Restaurant_Master!A:B,2,FALSE)</f>
        <v>https://media-cdn.tripadvisor.com/media/photo-s/1c/c7/97/b6/photo6jpg.jpg</v>
      </c>
    </row>
    <row r="3056" spans="1:13" x14ac:dyDescent="0.3">
      <c r="A3056" t="s">
        <v>3086</v>
      </c>
      <c r="B3056" s="1">
        <v>45307</v>
      </c>
      <c r="C3056" t="s">
        <v>34</v>
      </c>
      <c r="D3056" t="s">
        <v>14</v>
      </c>
      <c r="E3056">
        <v>59</v>
      </c>
      <c r="F3056" t="s">
        <v>28</v>
      </c>
      <c r="G3056">
        <v>1180.5999999999999</v>
      </c>
      <c r="H3056">
        <v>46</v>
      </c>
      <c r="I3056" t="s">
        <v>16</v>
      </c>
      <c r="J3056">
        <v>4.9000000000000004</v>
      </c>
      <c r="K3056" t="s">
        <v>29</v>
      </c>
      <c r="L3056" t="s">
        <v>23</v>
      </c>
      <c r="M3056" t="str">
        <f>VLOOKUP(D3060,Restaurant_Master!A:B,2,FALSE)</f>
        <v>https://dineout-media-assets.swiggy.com/swiggy/image/upload/fl_lossy,f_auto,q_auto/v1660793737/fdqxvxcxg1wtdwvyv45v.jpg</v>
      </c>
    </row>
    <row r="3057" spans="1:13" x14ac:dyDescent="0.3">
      <c r="A3057" t="s">
        <v>3087</v>
      </c>
      <c r="B3057" s="1">
        <v>45472</v>
      </c>
      <c r="C3057" t="s">
        <v>43</v>
      </c>
      <c r="D3057" t="s">
        <v>25</v>
      </c>
      <c r="E3057">
        <v>47</v>
      </c>
      <c r="F3057" t="s">
        <v>15</v>
      </c>
      <c r="G3057">
        <v>739.97</v>
      </c>
      <c r="H3057">
        <v>57</v>
      </c>
      <c r="I3057" t="s">
        <v>16</v>
      </c>
      <c r="J3057">
        <v>3</v>
      </c>
      <c r="K3057" t="s">
        <v>26</v>
      </c>
      <c r="L3057" t="s">
        <v>18</v>
      </c>
      <c r="M3057" t="str">
        <f>VLOOKUP(D3061,Restaurant_Master!A:B,2,FALSE)</f>
        <v>https://dineout-media-assets.swiggy.com/swiggy/image/upload/fl_lossy,f_auto,q_auto/v1660793737/fdqxvxcxg1wtdwvyv45v.jpg</v>
      </c>
    </row>
    <row r="3058" spans="1:13" x14ac:dyDescent="0.3">
      <c r="A3058" t="s">
        <v>3088</v>
      </c>
      <c r="B3058" s="1">
        <v>45565</v>
      </c>
      <c r="C3058" t="s">
        <v>43</v>
      </c>
      <c r="D3058" t="s">
        <v>38</v>
      </c>
      <c r="E3058">
        <v>19</v>
      </c>
      <c r="F3058" t="s">
        <v>28</v>
      </c>
      <c r="G3058">
        <v>787.28</v>
      </c>
      <c r="H3058">
        <v>35</v>
      </c>
      <c r="I3058" t="s">
        <v>22</v>
      </c>
      <c r="J3058">
        <v>3</v>
      </c>
      <c r="K3058" t="s">
        <v>17</v>
      </c>
      <c r="L3058" t="s">
        <v>18</v>
      </c>
      <c r="M3058" t="str">
        <f>VLOOKUP(D3062,Restaurant_Master!A:B,2,FALSE)</f>
        <v>https://dineout-media-assets.swiggy.com/swiggy/image/upload/fl_lossy,f_auto,q_auto/v1660793737/fdqxvxcxg1wtdwvyv45v.jpg</v>
      </c>
    </row>
    <row r="3059" spans="1:13" x14ac:dyDescent="0.3">
      <c r="A3059" t="s">
        <v>3089</v>
      </c>
      <c r="B3059" s="1">
        <v>45333</v>
      </c>
      <c r="C3059" t="s">
        <v>36</v>
      </c>
      <c r="D3059" t="s">
        <v>25</v>
      </c>
      <c r="E3059">
        <v>44</v>
      </c>
      <c r="F3059" t="s">
        <v>15</v>
      </c>
      <c r="G3059">
        <v>813.97</v>
      </c>
      <c r="H3059">
        <v>43</v>
      </c>
      <c r="I3059" t="s">
        <v>16</v>
      </c>
      <c r="J3059">
        <v>2.9</v>
      </c>
      <c r="K3059" t="s">
        <v>41</v>
      </c>
      <c r="L3059" t="s">
        <v>23</v>
      </c>
      <c r="M3059" t="str">
        <f>VLOOKUP(D3063,Restaurant_Master!A:B,2,FALSE)</f>
        <v>https://content.jdmagicbox.com/comp/deoria/g6/9999p5568.5568.200119143033.m4g6/catalogue/biryani-house-deoria-ho-deoria-mktc2xph0o.jpg</v>
      </c>
    </row>
    <row r="3060" spans="1:13" x14ac:dyDescent="0.3">
      <c r="A3060" t="s">
        <v>3090</v>
      </c>
      <c r="B3060" s="1">
        <v>45481</v>
      </c>
      <c r="C3060" t="s">
        <v>43</v>
      </c>
      <c r="D3060" t="s">
        <v>14</v>
      </c>
      <c r="E3060">
        <v>31</v>
      </c>
      <c r="F3060" t="s">
        <v>28</v>
      </c>
      <c r="G3060">
        <v>199.63</v>
      </c>
      <c r="H3060">
        <v>56</v>
      </c>
      <c r="I3060" t="s">
        <v>16</v>
      </c>
      <c r="J3060">
        <v>4.8</v>
      </c>
      <c r="K3060" t="s">
        <v>26</v>
      </c>
      <c r="L3060" t="s">
        <v>23</v>
      </c>
      <c r="M3060" t="str">
        <f>VLOOKUP(D3064,Restaurant_Master!A:B,2,FALSE)</f>
        <v>https://dynamic-media-cdn.tripadvisor.com/media/photo-o/1c/e7/04/0d/front-of-the-local-easily.jpg</v>
      </c>
    </row>
    <row r="3061" spans="1:13" x14ac:dyDescent="0.3">
      <c r="A3061" t="s">
        <v>3091</v>
      </c>
      <c r="B3061" s="1">
        <v>45314</v>
      </c>
      <c r="C3061" t="s">
        <v>13</v>
      </c>
      <c r="D3061" t="s">
        <v>14</v>
      </c>
      <c r="E3061">
        <v>37</v>
      </c>
      <c r="F3061" t="s">
        <v>28</v>
      </c>
      <c r="G3061">
        <v>889.53</v>
      </c>
      <c r="H3061">
        <v>29</v>
      </c>
      <c r="I3061" t="s">
        <v>22</v>
      </c>
      <c r="J3061">
        <v>2.9</v>
      </c>
      <c r="K3061" t="s">
        <v>29</v>
      </c>
      <c r="L3061" t="s">
        <v>23</v>
      </c>
      <c r="M3061" t="str">
        <f>VLOOKUP(D3065,Restaurant_Master!A:B,2,FALSE)</f>
        <v>https://dynamic-media-cdn.tripadvisor.com/media/photo-o/1c/e7/04/0d/front-of-the-local-easily.jpg</v>
      </c>
    </row>
    <row r="3062" spans="1:13" x14ac:dyDescent="0.3">
      <c r="A3062" t="s">
        <v>3092</v>
      </c>
      <c r="B3062" s="1">
        <v>45565</v>
      </c>
      <c r="C3062" t="s">
        <v>13</v>
      </c>
      <c r="D3062" t="s">
        <v>14</v>
      </c>
      <c r="E3062">
        <v>52</v>
      </c>
      <c r="F3062" t="s">
        <v>15</v>
      </c>
      <c r="G3062">
        <v>1113.24</v>
      </c>
      <c r="H3062">
        <v>44</v>
      </c>
      <c r="I3062" t="s">
        <v>16</v>
      </c>
      <c r="J3062">
        <v>4.5</v>
      </c>
      <c r="K3062" t="s">
        <v>17</v>
      </c>
      <c r="L3062" t="s">
        <v>23</v>
      </c>
      <c r="M3062" t="str">
        <f>VLOOKUP(D3066,Restaurant_Master!A:B,2,FALSE)</f>
        <v>https://dynamic-media-cdn.tripadvisor.com/media/photo-o/1c/e7/04/0d/front-of-the-local-easily.jpg</v>
      </c>
    </row>
    <row r="3063" spans="1:13" x14ac:dyDescent="0.3">
      <c r="A3063" t="s">
        <v>3093</v>
      </c>
      <c r="B3063" s="1">
        <v>45625</v>
      </c>
      <c r="C3063" t="s">
        <v>20</v>
      </c>
      <c r="D3063" t="s">
        <v>32</v>
      </c>
      <c r="E3063">
        <v>29</v>
      </c>
      <c r="F3063" t="s">
        <v>15</v>
      </c>
      <c r="G3063">
        <v>188.01</v>
      </c>
      <c r="H3063">
        <v>43</v>
      </c>
      <c r="I3063" t="s">
        <v>16</v>
      </c>
      <c r="J3063">
        <v>4.5</v>
      </c>
      <c r="K3063" t="s">
        <v>29</v>
      </c>
      <c r="L3063" t="s">
        <v>23</v>
      </c>
      <c r="M3063" t="str">
        <f>VLOOKUP(D3067,Restaurant_Master!A:B,2,FALSE)</f>
        <v>https://dineout-media-assets.swiggy.com/swiggy/image/upload/fl_lossy,f_auto,q_auto/v1660793737/fdqxvxcxg1wtdwvyv45v.jpg</v>
      </c>
    </row>
    <row r="3064" spans="1:13" x14ac:dyDescent="0.3">
      <c r="A3064" t="s">
        <v>3094</v>
      </c>
      <c r="B3064" s="1">
        <v>45403</v>
      </c>
      <c r="C3064" t="s">
        <v>20</v>
      </c>
      <c r="D3064" t="s">
        <v>21</v>
      </c>
      <c r="E3064">
        <v>30</v>
      </c>
      <c r="F3064" t="s">
        <v>15</v>
      </c>
      <c r="G3064">
        <v>494.36</v>
      </c>
      <c r="H3064">
        <v>36</v>
      </c>
      <c r="I3064" t="s">
        <v>22</v>
      </c>
      <c r="J3064">
        <v>3.2</v>
      </c>
      <c r="K3064" t="s">
        <v>26</v>
      </c>
      <c r="L3064" t="s">
        <v>18</v>
      </c>
      <c r="M3064" t="str">
        <f>VLOOKUP(D3068,Restaurant_Master!A:B,2,FALSE)</f>
        <v>https://www.chatswoodinterchange.com/storages/2018/08/Sushi-World_666x448.jpg</v>
      </c>
    </row>
    <row r="3065" spans="1:13" x14ac:dyDescent="0.3">
      <c r="A3065" t="s">
        <v>3095</v>
      </c>
      <c r="B3065" s="1">
        <v>45310</v>
      </c>
      <c r="C3065" t="s">
        <v>34</v>
      </c>
      <c r="D3065" t="s">
        <v>21</v>
      </c>
      <c r="E3065">
        <v>32</v>
      </c>
      <c r="F3065" t="s">
        <v>15</v>
      </c>
      <c r="G3065">
        <v>652.26</v>
      </c>
      <c r="H3065">
        <v>38</v>
      </c>
      <c r="I3065" t="s">
        <v>22</v>
      </c>
      <c r="J3065">
        <v>3.5</v>
      </c>
      <c r="K3065" t="s">
        <v>29</v>
      </c>
      <c r="L3065" t="s">
        <v>23</v>
      </c>
      <c r="M3065" t="str">
        <f>VLOOKUP(D3069,Restaurant_Master!A:B,2,FALSE)</f>
        <v>https://media-cdn.tripadvisor.com/media/photo-s/1c/c7/97/b6/photo6jpg.jpg</v>
      </c>
    </row>
    <row r="3066" spans="1:13" x14ac:dyDescent="0.3">
      <c r="A3066" t="s">
        <v>3096</v>
      </c>
      <c r="B3066" s="1">
        <v>45370</v>
      </c>
      <c r="C3066" t="s">
        <v>43</v>
      </c>
      <c r="D3066" t="s">
        <v>21</v>
      </c>
      <c r="E3066">
        <v>28</v>
      </c>
      <c r="F3066" t="s">
        <v>15</v>
      </c>
      <c r="G3066">
        <v>235.47</v>
      </c>
      <c r="H3066">
        <v>47</v>
      </c>
      <c r="I3066" t="s">
        <v>16</v>
      </c>
      <c r="J3066">
        <v>4.5</v>
      </c>
      <c r="K3066" t="s">
        <v>29</v>
      </c>
      <c r="L3066" t="s">
        <v>18</v>
      </c>
      <c r="M3066" t="str">
        <f>VLOOKUP(D3070,Restaurant_Master!A:B,2,FALSE)</f>
        <v>https://dineout-media-assets.swiggy.com/swiggy/image/upload/fl_lossy,f_auto,q_auto/v1660793737/fdqxvxcxg1wtdwvyv45v.jpg</v>
      </c>
    </row>
    <row r="3067" spans="1:13" x14ac:dyDescent="0.3">
      <c r="A3067" t="s">
        <v>3097</v>
      </c>
      <c r="B3067" s="1">
        <v>45314</v>
      </c>
      <c r="C3067" t="s">
        <v>20</v>
      </c>
      <c r="D3067" t="s">
        <v>14</v>
      </c>
      <c r="E3067">
        <v>41</v>
      </c>
      <c r="F3067" t="s">
        <v>15</v>
      </c>
      <c r="G3067">
        <v>150.72</v>
      </c>
      <c r="H3067">
        <v>33</v>
      </c>
      <c r="I3067" t="s">
        <v>22</v>
      </c>
      <c r="J3067">
        <v>3.6</v>
      </c>
      <c r="K3067" t="s">
        <v>41</v>
      </c>
      <c r="L3067" t="s">
        <v>23</v>
      </c>
      <c r="M3067" t="str">
        <f>VLOOKUP(D3071,Restaurant_Master!A:B,2,FALSE)</f>
        <v>https://dineout-media-assets.swiggy.com/swiggy/image/upload/fl_lossy,f_auto,q_auto/v1660793737/fdqxvxcxg1wtdwvyv45v.jpg</v>
      </c>
    </row>
    <row r="3068" spans="1:13" x14ac:dyDescent="0.3">
      <c r="A3068" t="s">
        <v>3098</v>
      </c>
      <c r="B3068" s="1">
        <v>45337</v>
      </c>
      <c r="C3068" t="s">
        <v>43</v>
      </c>
      <c r="D3068" t="s">
        <v>38</v>
      </c>
      <c r="E3068">
        <v>19</v>
      </c>
      <c r="F3068" t="s">
        <v>15</v>
      </c>
      <c r="G3068">
        <v>822.15</v>
      </c>
      <c r="H3068">
        <v>36</v>
      </c>
      <c r="I3068" t="s">
        <v>22</v>
      </c>
      <c r="J3068">
        <v>4.9000000000000004</v>
      </c>
      <c r="K3068" t="s">
        <v>41</v>
      </c>
      <c r="L3068" t="s">
        <v>23</v>
      </c>
      <c r="M3068" t="str">
        <f>VLOOKUP(D3072,Restaurant_Master!A:B,2,FALSE)</f>
        <v>https://www.chatswoodinterchange.com/storages/2018/08/Sushi-World_666x448.jpg</v>
      </c>
    </row>
    <row r="3069" spans="1:13" x14ac:dyDescent="0.3">
      <c r="A3069" t="s">
        <v>3099</v>
      </c>
      <c r="B3069" s="1">
        <v>45641</v>
      </c>
      <c r="C3069" t="s">
        <v>34</v>
      </c>
      <c r="D3069" t="s">
        <v>25</v>
      </c>
      <c r="E3069">
        <v>44</v>
      </c>
      <c r="F3069" t="s">
        <v>15</v>
      </c>
      <c r="G3069">
        <v>328.3</v>
      </c>
      <c r="H3069">
        <v>23</v>
      </c>
      <c r="I3069" t="s">
        <v>22</v>
      </c>
      <c r="J3069">
        <v>3.5</v>
      </c>
      <c r="K3069" t="s">
        <v>29</v>
      </c>
      <c r="L3069" t="s">
        <v>18</v>
      </c>
      <c r="M3069" t="str">
        <f>VLOOKUP(D3073,Restaurant_Master!A:B,2,FALSE)</f>
        <v>https://content.jdmagicbox.com/comp/deoria/g6/9999p5568.5568.200119143033.m4g6/catalogue/biryani-house-deoria-ho-deoria-mktc2xph0o.jpg</v>
      </c>
    </row>
    <row r="3070" spans="1:13" x14ac:dyDescent="0.3">
      <c r="A3070" t="s">
        <v>3100</v>
      </c>
      <c r="B3070" s="1">
        <v>45575</v>
      </c>
      <c r="C3070" t="s">
        <v>43</v>
      </c>
      <c r="D3070" t="s">
        <v>14</v>
      </c>
      <c r="E3070">
        <v>47</v>
      </c>
      <c r="F3070" t="s">
        <v>15</v>
      </c>
      <c r="G3070">
        <v>202.02</v>
      </c>
      <c r="H3070">
        <v>35</v>
      </c>
      <c r="I3070" t="s">
        <v>22</v>
      </c>
      <c r="J3070">
        <v>4.9000000000000004</v>
      </c>
      <c r="K3070" t="s">
        <v>26</v>
      </c>
      <c r="L3070" t="s">
        <v>23</v>
      </c>
      <c r="M3070" t="str">
        <f>VLOOKUP(D3074,Restaurant_Master!A:B,2,FALSE)</f>
        <v>https://media-cdn.tripadvisor.com/media/photo-s/1c/c7/97/b6/photo6jpg.jpg</v>
      </c>
    </row>
    <row r="3071" spans="1:13" x14ac:dyDescent="0.3">
      <c r="A3071" t="s">
        <v>3101</v>
      </c>
      <c r="B3071" s="1">
        <v>45497</v>
      </c>
      <c r="C3071" t="s">
        <v>20</v>
      </c>
      <c r="D3071" t="s">
        <v>14</v>
      </c>
      <c r="E3071">
        <v>31</v>
      </c>
      <c r="F3071" t="s">
        <v>28</v>
      </c>
      <c r="G3071">
        <v>930.26</v>
      </c>
      <c r="H3071">
        <v>46</v>
      </c>
      <c r="I3071" t="s">
        <v>16</v>
      </c>
      <c r="J3071">
        <v>3</v>
      </c>
      <c r="K3071" t="s">
        <v>29</v>
      </c>
      <c r="L3071" t="s">
        <v>18</v>
      </c>
      <c r="M3071" t="str">
        <f>VLOOKUP(D3075,Restaurant_Master!A:B,2,FALSE)</f>
        <v>https://dineout-media-assets.swiggy.com/swiggy/image/upload/fl_lossy,f_auto,q_auto/v1660793737/fdqxvxcxg1wtdwvyv45v.jpg</v>
      </c>
    </row>
    <row r="3072" spans="1:13" x14ac:dyDescent="0.3">
      <c r="A3072" t="s">
        <v>3102</v>
      </c>
      <c r="B3072" s="1">
        <v>45436</v>
      </c>
      <c r="C3072" t="s">
        <v>36</v>
      </c>
      <c r="D3072" t="s">
        <v>38</v>
      </c>
      <c r="E3072">
        <v>51</v>
      </c>
      <c r="F3072" t="s">
        <v>28</v>
      </c>
      <c r="G3072">
        <v>1040.42</v>
      </c>
      <c r="H3072">
        <v>54</v>
      </c>
      <c r="I3072" t="s">
        <v>16</v>
      </c>
      <c r="J3072">
        <v>4.5999999999999996</v>
      </c>
      <c r="K3072" t="s">
        <v>26</v>
      </c>
      <c r="L3072" t="s">
        <v>23</v>
      </c>
      <c r="M3072" t="str">
        <f>VLOOKUP(D3076,Restaurant_Master!A:B,2,FALSE)</f>
        <v>https://content.jdmagicbox.com/comp/deoria/g6/9999p5568.5568.200119143033.m4g6/catalogue/biryani-house-deoria-ho-deoria-mktc2xph0o.jpg</v>
      </c>
    </row>
    <row r="3073" spans="1:13" x14ac:dyDescent="0.3">
      <c r="A3073" t="s">
        <v>3103</v>
      </c>
      <c r="B3073" s="1">
        <v>45603</v>
      </c>
      <c r="C3073" t="s">
        <v>36</v>
      </c>
      <c r="D3073" t="s">
        <v>32</v>
      </c>
      <c r="E3073">
        <v>42</v>
      </c>
      <c r="F3073" t="s">
        <v>15</v>
      </c>
      <c r="G3073">
        <v>589.12</v>
      </c>
      <c r="H3073">
        <v>51</v>
      </c>
      <c r="I3073" t="s">
        <v>16</v>
      </c>
      <c r="J3073">
        <v>4.8</v>
      </c>
      <c r="K3073" t="s">
        <v>29</v>
      </c>
      <c r="L3073" t="s">
        <v>18</v>
      </c>
      <c r="M3073" t="str">
        <f>VLOOKUP(D3077,Restaurant_Master!A:B,2,FALSE)</f>
        <v>https://dineout-media-assets.swiggy.com/swiggy/image/upload/fl_lossy,f_auto,q_auto/v1660793737/fdqxvxcxg1wtdwvyv45v.jpg</v>
      </c>
    </row>
    <row r="3074" spans="1:13" x14ac:dyDescent="0.3">
      <c r="A3074" t="s">
        <v>3104</v>
      </c>
      <c r="B3074" s="1">
        <v>45355</v>
      </c>
      <c r="C3074" t="s">
        <v>13</v>
      </c>
      <c r="D3074" t="s">
        <v>25</v>
      </c>
      <c r="E3074">
        <v>28</v>
      </c>
      <c r="F3074" t="s">
        <v>15</v>
      </c>
      <c r="G3074">
        <v>819.27</v>
      </c>
      <c r="H3074">
        <v>57</v>
      </c>
      <c r="I3074" t="s">
        <v>16</v>
      </c>
      <c r="J3074">
        <v>3.9</v>
      </c>
      <c r="K3074" t="s">
        <v>26</v>
      </c>
      <c r="L3074" t="s">
        <v>23</v>
      </c>
      <c r="M3074" t="str">
        <f>VLOOKUP(D3078,Restaurant_Master!A:B,2,FALSE)</f>
        <v>https://dynamic-media-cdn.tripadvisor.com/media/photo-o/1c/e7/04/0d/front-of-the-local-easily.jpg</v>
      </c>
    </row>
    <row r="3075" spans="1:13" x14ac:dyDescent="0.3">
      <c r="A3075" t="s">
        <v>3105</v>
      </c>
      <c r="B3075" s="1">
        <v>45295</v>
      </c>
      <c r="C3075" t="s">
        <v>43</v>
      </c>
      <c r="D3075" t="s">
        <v>14</v>
      </c>
      <c r="E3075">
        <v>41</v>
      </c>
      <c r="F3075" t="s">
        <v>15</v>
      </c>
      <c r="G3075">
        <v>158.80000000000001</v>
      </c>
      <c r="H3075">
        <v>23</v>
      </c>
      <c r="I3075" t="s">
        <v>22</v>
      </c>
      <c r="J3075">
        <v>4.0999999999999996</v>
      </c>
      <c r="K3075" t="s">
        <v>29</v>
      </c>
      <c r="L3075" t="s">
        <v>18</v>
      </c>
      <c r="M3075" t="str">
        <f>VLOOKUP(D3079,Restaurant_Master!A:B,2,FALSE)</f>
        <v>https://dineout-media-assets.swiggy.com/swiggy/image/upload/fl_lossy,f_auto,q_auto/v1660793737/fdqxvxcxg1wtdwvyv45v.jpg</v>
      </c>
    </row>
    <row r="3076" spans="1:13" x14ac:dyDescent="0.3">
      <c r="A3076" t="s">
        <v>3106</v>
      </c>
      <c r="B3076" s="1">
        <v>45367</v>
      </c>
      <c r="C3076" t="s">
        <v>13</v>
      </c>
      <c r="D3076" t="s">
        <v>32</v>
      </c>
      <c r="E3076">
        <v>54</v>
      </c>
      <c r="F3076" t="s">
        <v>15</v>
      </c>
      <c r="G3076">
        <v>928.47</v>
      </c>
      <c r="H3076">
        <v>28</v>
      </c>
      <c r="I3076" t="s">
        <v>22</v>
      </c>
      <c r="J3076">
        <v>4.0999999999999996</v>
      </c>
      <c r="K3076" t="s">
        <v>41</v>
      </c>
      <c r="L3076" t="s">
        <v>18</v>
      </c>
      <c r="M3076" t="str">
        <f>VLOOKUP(D3080,Restaurant_Master!A:B,2,FALSE)</f>
        <v>https://dynamic-media-cdn.tripadvisor.com/media/photo-o/1c/e7/04/0d/front-of-the-local-easily.jpg</v>
      </c>
    </row>
    <row r="3077" spans="1:13" x14ac:dyDescent="0.3">
      <c r="A3077" t="s">
        <v>3107</v>
      </c>
      <c r="B3077" s="1">
        <v>45638</v>
      </c>
      <c r="C3077" t="s">
        <v>34</v>
      </c>
      <c r="D3077" t="s">
        <v>14</v>
      </c>
      <c r="E3077">
        <v>19</v>
      </c>
      <c r="F3077" t="s">
        <v>28</v>
      </c>
      <c r="G3077">
        <v>967.46</v>
      </c>
      <c r="H3077">
        <v>56</v>
      </c>
      <c r="I3077" t="s">
        <v>16</v>
      </c>
      <c r="J3077">
        <v>3</v>
      </c>
      <c r="K3077" t="s">
        <v>17</v>
      </c>
      <c r="L3077" t="s">
        <v>23</v>
      </c>
      <c r="M3077" t="str">
        <f>VLOOKUP(D3081,Restaurant_Master!A:B,2,FALSE)</f>
        <v>https://dineout-media-assets.swiggy.com/swiggy/image/upload/fl_lossy,f_auto,q_auto/v1660793737/fdqxvxcxg1wtdwvyv45v.jpg</v>
      </c>
    </row>
    <row r="3078" spans="1:13" x14ac:dyDescent="0.3">
      <c r="A3078" t="s">
        <v>3108</v>
      </c>
      <c r="B3078" s="1">
        <v>45531</v>
      </c>
      <c r="C3078" t="s">
        <v>36</v>
      </c>
      <c r="D3078" t="s">
        <v>21</v>
      </c>
      <c r="E3078">
        <v>37</v>
      </c>
      <c r="F3078" t="s">
        <v>28</v>
      </c>
      <c r="G3078">
        <v>416.03</v>
      </c>
      <c r="H3078">
        <v>38</v>
      </c>
      <c r="I3078" t="s">
        <v>22</v>
      </c>
      <c r="J3078">
        <v>3.7</v>
      </c>
      <c r="K3078" t="s">
        <v>17</v>
      </c>
      <c r="L3078" t="s">
        <v>23</v>
      </c>
      <c r="M3078" t="str">
        <f>VLOOKUP(D3082,Restaurant_Master!A:B,2,FALSE)</f>
        <v>https://www.chatswoodinterchange.com/storages/2018/08/Sushi-World_666x448.jpg</v>
      </c>
    </row>
    <row r="3079" spans="1:13" x14ac:dyDescent="0.3">
      <c r="A3079" t="s">
        <v>3109</v>
      </c>
      <c r="B3079" s="1">
        <v>45614</v>
      </c>
      <c r="C3079" t="s">
        <v>34</v>
      </c>
      <c r="D3079" t="s">
        <v>14</v>
      </c>
      <c r="E3079">
        <v>53</v>
      </c>
      <c r="F3079" t="s">
        <v>28</v>
      </c>
      <c r="G3079">
        <v>676.88</v>
      </c>
      <c r="H3079">
        <v>52</v>
      </c>
      <c r="I3079" t="s">
        <v>16</v>
      </c>
      <c r="J3079">
        <v>2.8</v>
      </c>
      <c r="K3079" t="s">
        <v>41</v>
      </c>
      <c r="L3079" t="s">
        <v>23</v>
      </c>
      <c r="M3079" t="str">
        <f>VLOOKUP(D3083,Restaurant_Master!A:B,2,FALSE)</f>
        <v>https://content.jdmagicbox.com/comp/deoria/g6/9999p5568.5568.200119143033.m4g6/catalogue/biryani-house-deoria-ho-deoria-mktc2xph0o.jpg</v>
      </c>
    </row>
    <row r="3080" spans="1:13" x14ac:dyDescent="0.3">
      <c r="A3080" t="s">
        <v>3110</v>
      </c>
      <c r="B3080" s="1">
        <v>45443</v>
      </c>
      <c r="C3080" t="s">
        <v>34</v>
      </c>
      <c r="D3080" t="s">
        <v>21</v>
      </c>
      <c r="E3080">
        <v>45</v>
      </c>
      <c r="F3080" t="s">
        <v>28</v>
      </c>
      <c r="G3080">
        <v>842.1</v>
      </c>
      <c r="H3080">
        <v>51</v>
      </c>
      <c r="I3080" t="s">
        <v>16</v>
      </c>
      <c r="J3080">
        <v>4.0999999999999996</v>
      </c>
      <c r="K3080" t="s">
        <v>29</v>
      </c>
      <c r="L3080" t="s">
        <v>18</v>
      </c>
      <c r="M3080" t="str">
        <f>VLOOKUP(D3084,Restaurant_Master!A:B,2,FALSE)</f>
        <v>https://dineout-media-assets.swiggy.com/swiggy/image/upload/fl_lossy,f_auto,q_auto/v1660793737/fdqxvxcxg1wtdwvyv45v.jpg</v>
      </c>
    </row>
    <row r="3081" spans="1:13" x14ac:dyDescent="0.3">
      <c r="A3081" t="s">
        <v>3111</v>
      </c>
      <c r="B3081" s="1">
        <v>45489</v>
      </c>
      <c r="C3081" t="s">
        <v>20</v>
      </c>
      <c r="D3081" t="s">
        <v>14</v>
      </c>
      <c r="E3081">
        <v>54</v>
      </c>
      <c r="F3081" t="s">
        <v>28</v>
      </c>
      <c r="G3081">
        <v>1097.04</v>
      </c>
      <c r="H3081">
        <v>27</v>
      </c>
      <c r="I3081" t="s">
        <v>22</v>
      </c>
      <c r="J3081">
        <v>3.3</v>
      </c>
      <c r="K3081" t="s">
        <v>29</v>
      </c>
      <c r="L3081" t="s">
        <v>18</v>
      </c>
      <c r="M3081" t="str">
        <f>VLOOKUP(D3085,Restaurant_Master!A:B,2,FALSE)</f>
        <v>https://dineout-media-assets.swiggy.com/swiggy/image/upload/fl_lossy,f_auto,q_auto/v1660793737/fdqxvxcxg1wtdwvyv45v.jpg</v>
      </c>
    </row>
    <row r="3082" spans="1:13" x14ac:dyDescent="0.3">
      <c r="A3082" t="s">
        <v>3112</v>
      </c>
      <c r="B3082" s="1">
        <v>45597</v>
      </c>
      <c r="C3082" t="s">
        <v>43</v>
      </c>
      <c r="D3082" t="s">
        <v>38</v>
      </c>
      <c r="E3082">
        <v>55</v>
      </c>
      <c r="F3082" t="s">
        <v>15</v>
      </c>
      <c r="G3082">
        <v>614.28</v>
      </c>
      <c r="H3082">
        <v>37</v>
      </c>
      <c r="I3082" t="s">
        <v>22</v>
      </c>
      <c r="J3082">
        <v>4.8</v>
      </c>
      <c r="K3082" t="s">
        <v>41</v>
      </c>
      <c r="L3082" t="s">
        <v>18</v>
      </c>
      <c r="M3082" t="str">
        <f>VLOOKUP(D3086,Restaurant_Master!A:B,2,FALSE)</f>
        <v>https://dynamic-media-cdn.tripadvisor.com/media/photo-o/1c/e7/04/0d/front-of-the-local-easily.jpg</v>
      </c>
    </row>
    <row r="3083" spans="1:13" x14ac:dyDescent="0.3">
      <c r="A3083" t="s">
        <v>3113</v>
      </c>
      <c r="B3083" s="1">
        <v>45556</v>
      </c>
      <c r="C3083" t="s">
        <v>20</v>
      </c>
      <c r="D3083" t="s">
        <v>32</v>
      </c>
      <c r="E3083">
        <v>55</v>
      </c>
      <c r="F3083" t="s">
        <v>28</v>
      </c>
      <c r="G3083">
        <v>346.27</v>
      </c>
      <c r="H3083">
        <v>59</v>
      </c>
      <c r="I3083" t="s">
        <v>16</v>
      </c>
      <c r="J3083">
        <v>3</v>
      </c>
      <c r="K3083" t="s">
        <v>41</v>
      </c>
      <c r="L3083" t="s">
        <v>18</v>
      </c>
      <c r="M3083" t="str">
        <f>VLOOKUP(D3087,Restaurant_Master!A:B,2,FALSE)</f>
        <v>https://content.jdmagicbox.com/comp/deoria/g6/9999p5568.5568.200119143033.m4g6/catalogue/biryani-house-deoria-ho-deoria-mktc2xph0o.jpg</v>
      </c>
    </row>
    <row r="3084" spans="1:13" x14ac:dyDescent="0.3">
      <c r="A3084" t="s">
        <v>3114</v>
      </c>
      <c r="B3084" s="1">
        <v>45292</v>
      </c>
      <c r="C3084" t="s">
        <v>13</v>
      </c>
      <c r="D3084" t="s">
        <v>14</v>
      </c>
      <c r="E3084">
        <v>26</v>
      </c>
      <c r="F3084" t="s">
        <v>15</v>
      </c>
      <c r="G3084">
        <v>485.69</v>
      </c>
      <c r="H3084">
        <v>59</v>
      </c>
      <c r="I3084" t="s">
        <v>16</v>
      </c>
      <c r="J3084">
        <v>3.6</v>
      </c>
      <c r="K3084" t="s">
        <v>17</v>
      </c>
      <c r="L3084" t="s">
        <v>23</v>
      </c>
      <c r="M3084" t="str">
        <f>VLOOKUP(D3088,Restaurant_Master!A:B,2,FALSE)</f>
        <v>https://www.chatswoodinterchange.com/storages/2018/08/Sushi-World_666x448.jpg</v>
      </c>
    </row>
    <row r="3085" spans="1:13" x14ac:dyDescent="0.3">
      <c r="A3085" t="s">
        <v>3115</v>
      </c>
      <c r="B3085" s="1">
        <v>45608</v>
      </c>
      <c r="C3085" t="s">
        <v>34</v>
      </c>
      <c r="D3085" t="s">
        <v>14</v>
      </c>
      <c r="E3085">
        <v>22</v>
      </c>
      <c r="F3085" t="s">
        <v>28</v>
      </c>
      <c r="G3085">
        <v>840.69</v>
      </c>
      <c r="H3085">
        <v>29</v>
      </c>
      <c r="I3085" t="s">
        <v>22</v>
      </c>
      <c r="J3085">
        <v>4.8</v>
      </c>
      <c r="K3085" t="s">
        <v>29</v>
      </c>
      <c r="L3085" t="s">
        <v>18</v>
      </c>
      <c r="M3085" t="str">
        <f>VLOOKUP(D3089,Restaurant_Master!A:B,2,FALSE)</f>
        <v>https://content.jdmagicbox.com/comp/deoria/g6/9999p5568.5568.200119143033.m4g6/catalogue/biryani-house-deoria-ho-deoria-mktc2xph0o.jpg</v>
      </c>
    </row>
    <row r="3086" spans="1:13" x14ac:dyDescent="0.3">
      <c r="A3086" t="s">
        <v>3116</v>
      </c>
      <c r="B3086" s="1">
        <v>45296</v>
      </c>
      <c r="C3086" t="s">
        <v>20</v>
      </c>
      <c r="D3086" t="s">
        <v>21</v>
      </c>
      <c r="E3086">
        <v>56</v>
      </c>
      <c r="F3086" t="s">
        <v>28</v>
      </c>
      <c r="G3086">
        <v>636.74</v>
      </c>
      <c r="H3086">
        <v>58</v>
      </c>
      <c r="I3086" t="s">
        <v>16</v>
      </c>
      <c r="J3086">
        <v>4.3</v>
      </c>
      <c r="K3086" t="s">
        <v>17</v>
      </c>
      <c r="L3086" t="s">
        <v>23</v>
      </c>
      <c r="M3086" t="str">
        <f>VLOOKUP(D3090,Restaurant_Master!A:B,2,FALSE)</f>
        <v>https://dynamic-media-cdn.tripadvisor.com/media/photo-o/1c/e7/04/0d/front-of-the-local-easily.jpg</v>
      </c>
    </row>
    <row r="3087" spans="1:13" x14ac:dyDescent="0.3">
      <c r="A3087" t="s">
        <v>3117</v>
      </c>
      <c r="B3087" s="1">
        <v>45319</v>
      </c>
      <c r="C3087" t="s">
        <v>43</v>
      </c>
      <c r="D3087" t="s">
        <v>32</v>
      </c>
      <c r="E3087">
        <v>39</v>
      </c>
      <c r="F3087" t="s">
        <v>28</v>
      </c>
      <c r="G3087">
        <v>220.52</v>
      </c>
      <c r="H3087">
        <v>50</v>
      </c>
      <c r="I3087" t="s">
        <v>16</v>
      </c>
      <c r="J3087">
        <v>4.0999999999999996</v>
      </c>
      <c r="K3087" t="s">
        <v>29</v>
      </c>
      <c r="L3087" t="s">
        <v>18</v>
      </c>
      <c r="M3087" t="str">
        <f>VLOOKUP(D3091,Restaurant_Master!A:B,2,FALSE)</f>
        <v>https://content.jdmagicbox.com/comp/deoria/g6/9999p5568.5568.200119143033.m4g6/catalogue/biryani-house-deoria-ho-deoria-mktc2xph0o.jpg</v>
      </c>
    </row>
    <row r="3088" spans="1:13" x14ac:dyDescent="0.3">
      <c r="A3088" t="s">
        <v>3118</v>
      </c>
      <c r="B3088" s="1">
        <v>45414</v>
      </c>
      <c r="C3088" t="s">
        <v>13</v>
      </c>
      <c r="D3088" t="s">
        <v>38</v>
      </c>
      <c r="E3088">
        <v>18</v>
      </c>
      <c r="F3088" t="s">
        <v>28</v>
      </c>
      <c r="G3088">
        <v>923.64</v>
      </c>
      <c r="H3088">
        <v>54</v>
      </c>
      <c r="I3088" t="s">
        <v>16</v>
      </c>
      <c r="J3088">
        <v>4.2</v>
      </c>
      <c r="K3088" t="s">
        <v>29</v>
      </c>
      <c r="L3088" t="s">
        <v>18</v>
      </c>
      <c r="M3088" t="str">
        <f>VLOOKUP(D3092,Restaurant_Master!A:B,2,FALSE)</f>
        <v>https://content.jdmagicbox.com/comp/deoria/g6/9999p5568.5568.200119143033.m4g6/catalogue/biryani-house-deoria-ho-deoria-mktc2xph0o.jpg</v>
      </c>
    </row>
    <row r="3089" spans="1:13" x14ac:dyDescent="0.3">
      <c r="A3089" t="s">
        <v>3119</v>
      </c>
      <c r="B3089" s="1">
        <v>45470</v>
      </c>
      <c r="C3089" t="s">
        <v>20</v>
      </c>
      <c r="D3089" t="s">
        <v>32</v>
      </c>
      <c r="E3089">
        <v>22</v>
      </c>
      <c r="F3089" t="s">
        <v>28</v>
      </c>
      <c r="G3089">
        <v>588.65</v>
      </c>
      <c r="H3089">
        <v>24</v>
      </c>
      <c r="I3089" t="s">
        <v>22</v>
      </c>
      <c r="J3089">
        <v>2.7</v>
      </c>
      <c r="K3089" t="s">
        <v>17</v>
      </c>
      <c r="L3089" t="s">
        <v>23</v>
      </c>
      <c r="M3089" t="str">
        <f>VLOOKUP(D3093,Restaurant_Master!A:B,2,FALSE)</f>
        <v>https://dineout-media-assets.swiggy.com/swiggy/image/upload/fl_lossy,f_auto,q_auto/v1660793737/fdqxvxcxg1wtdwvyv45v.jpg</v>
      </c>
    </row>
    <row r="3090" spans="1:13" x14ac:dyDescent="0.3">
      <c r="A3090" t="s">
        <v>3120</v>
      </c>
      <c r="B3090" s="1">
        <v>45469</v>
      </c>
      <c r="C3090" t="s">
        <v>43</v>
      </c>
      <c r="D3090" t="s">
        <v>21</v>
      </c>
      <c r="E3090">
        <v>58</v>
      </c>
      <c r="F3090" t="s">
        <v>28</v>
      </c>
      <c r="G3090">
        <v>158.47</v>
      </c>
      <c r="H3090">
        <v>57</v>
      </c>
      <c r="I3090" t="s">
        <v>16</v>
      </c>
      <c r="J3090">
        <v>2.9</v>
      </c>
      <c r="K3090" t="s">
        <v>17</v>
      </c>
      <c r="L3090" t="s">
        <v>18</v>
      </c>
      <c r="M3090" t="str">
        <f>VLOOKUP(D3094,Restaurant_Master!A:B,2,FALSE)</f>
        <v>https://www.chatswoodinterchange.com/storages/2018/08/Sushi-World_666x448.jpg</v>
      </c>
    </row>
    <row r="3091" spans="1:13" x14ac:dyDescent="0.3">
      <c r="A3091" t="s">
        <v>3121</v>
      </c>
      <c r="B3091" s="1">
        <v>45581</v>
      </c>
      <c r="C3091" t="s">
        <v>34</v>
      </c>
      <c r="D3091" t="s">
        <v>32</v>
      </c>
      <c r="E3091">
        <v>39</v>
      </c>
      <c r="F3091" t="s">
        <v>15</v>
      </c>
      <c r="G3091">
        <v>872.37</v>
      </c>
      <c r="H3091">
        <v>23</v>
      </c>
      <c r="I3091" t="s">
        <v>22</v>
      </c>
      <c r="J3091">
        <v>4.8</v>
      </c>
      <c r="K3091" t="s">
        <v>41</v>
      </c>
      <c r="L3091" t="s">
        <v>23</v>
      </c>
      <c r="M3091" t="str">
        <f>VLOOKUP(D3095,Restaurant_Master!A:B,2,FALSE)</f>
        <v>https://content.jdmagicbox.com/comp/deoria/g6/9999p5568.5568.200119143033.m4g6/catalogue/biryani-house-deoria-ho-deoria-mktc2xph0o.jpg</v>
      </c>
    </row>
    <row r="3092" spans="1:13" x14ac:dyDescent="0.3">
      <c r="A3092" t="s">
        <v>3122</v>
      </c>
      <c r="B3092" s="1">
        <v>45366</v>
      </c>
      <c r="C3092" t="s">
        <v>13</v>
      </c>
      <c r="D3092" t="s">
        <v>32</v>
      </c>
      <c r="E3092">
        <v>30</v>
      </c>
      <c r="F3092" t="s">
        <v>28</v>
      </c>
      <c r="G3092">
        <v>496.69</v>
      </c>
      <c r="H3092">
        <v>22</v>
      </c>
      <c r="I3092" t="s">
        <v>22</v>
      </c>
      <c r="J3092">
        <v>3.4</v>
      </c>
      <c r="K3092" t="s">
        <v>17</v>
      </c>
      <c r="L3092" t="s">
        <v>18</v>
      </c>
      <c r="M3092" t="str">
        <f>VLOOKUP(D3096,Restaurant_Master!A:B,2,FALSE)</f>
        <v>https://www.chatswoodinterchange.com/storages/2018/08/Sushi-World_666x448.jpg</v>
      </c>
    </row>
    <row r="3093" spans="1:13" x14ac:dyDescent="0.3">
      <c r="A3093" t="s">
        <v>3123</v>
      </c>
      <c r="B3093" s="1">
        <v>45487</v>
      </c>
      <c r="C3093" t="s">
        <v>20</v>
      </c>
      <c r="D3093" t="s">
        <v>14</v>
      </c>
      <c r="E3093">
        <v>51</v>
      </c>
      <c r="F3093" t="s">
        <v>28</v>
      </c>
      <c r="G3093">
        <v>1116.29</v>
      </c>
      <c r="H3093">
        <v>44</v>
      </c>
      <c r="I3093" t="s">
        <v>16</v>
      </c>
      <c r="J3093">
        <v>4.5</v>
      </c>
      <c r="K3093" t="s">
        <v>17</v>
      </c>
      <c r="L3093" t="s">
        <v>18</v>
      </c>
      <c r="M3093" t="str">
        <f>VLOOKUP(D3097,Restaurant_Master!A:B,2,FALSE)</f>
        <v>https://content.jdmagicbox.com/comp/deoria/g6/9999p5568.5568.200119143033.m4g6/catalogue/biryani-house-deoria-ho-deoria-mktc2xph0o.jpg</v>
      </c>
    </row>
    <row r="3094" spans="1:13" x14ac:dyDescent="0.3">
      <c r="A3094" t="s">
        <v>3124</v>
      </c>
      <c r="B3094" s="1">
        <v>45364</v>
      </c>
      <c r="C3094" t="s">
        <v>13</v>
      </c>
      <c r="D3094" t="s">
        <v>38</v>
      </c>
      <c r="E3094">
        <v>46</v>
      </c>
      <c r="F3094" t="s">
        <v>15</v>
      </c>
      <c r="G3094">
        <v>484.95</v>
      </c>
      <c r="H3094">
        <v>28</v>
      </c>
      <c r="I3094" t="s">
        <v>22</v>
      </c>
      <c r="J3094">
        <v>4.5999999999999996</v>
      </c>
      <c r="K3094" t="s">
        <v>26</v>
      </c>
      <c r="L3094" t="s">
        <v>23</v>
      </c>
      <c r="M3094" t="str">
        <f>VLOOKUP(D3098,Restaurant_Master!A:B,2,FALSE)</f>
        <v>https://content.jdmagicbox.com/comp/deoria/g6/9999p5568.5568.200119143033.m4g6/catalogue/biryani-house-deoria-ho-deoria-mktc2xph0o.jpg</v>
      </c>
    </row>
    <row r="3095" spans="1:13" x14ac:dyDescent="0.3">
      <c r="A3095" t="s">
        <v>3125</v>
      </c>
      <c r="B3095" s="1">
        <v>45402</v>
      </c>
      <c r="C3095" t="s">
        <v>20</v>
      </c>
      <c r="D3095" t="s">
        <v>32</v>
      </c>
      <c r="E3095">
        <v>35</v>
      </c>
      <c r="F3095" t="s">
        <v>28</v>
      </c>
      <c r="G3095">
        <v>488.37</v>
      </c>
      <c r="H3095">
        <v>53</v>
      </c>
      <c r="I3095" t="s">
        <v>16</v>
      </c>
      <c r="J3095">
        <v>4.5999999999999996</v>
      </c>
      <c r="K3095" t="s">
        <v>29</v>
      </c>
      <c r="L3095" t="s">
        <v>18</v>
      </c>
      <c r="M3095" t="str">
        <f>VLOOKUP(D3099,Restaurant_Master!A:B,2,FALSE)</f>
        <v>https://content.jdmagicbox.com/comp/deoria/g6/9999p5568.5568.200119143033.m4g6/catalogue/biryani-house-deoria-ho-deoria-mktc2xph0o.jpg</v>
      </c>
    </row>
    <row r="3096" spans="1:13" x14ac:dyDescent="0.3">
      <c r="A3096" t="s">
        <v>3126</v>
      </c>
      <c r="B3096" s="1">
        <v>45344</v>
      </c>
      <c r="C3096" t="s">
        <v>20</v>
      </c>
      <c r="D3096" t="s">
        <v>38</v>
      </c>
      <c r="E3096">
        <v>37</v>
      </c>
      <c r="F3096" t="s">
        <v>15</v>
      </c>
      <c r="G3096">
        <v>1174.23</v>
      </c>
      <c r="H3096">
        <v>44</v>
      </c>
      <c r="I3096" t="s">
        <v>16</v>
      </c>
      <c r="J3096">
        <v>2.6</v>
      </c>
      <c r="K3096" t="s">
        <v>26</v>
      </c>
      <c r="L3096" t="s">
        <v>23</v>
      </c>
      <c r="M3096" t="str">
        <f>VLOOKUP(D3100,Restaurant_Master!A:B,2,FALSE)</f>
        <v>https://media-cdn.tripadvisor.com/media/photo-s/1c/c7/97/b6/photo6jpg.jpg</v>
      </c>
    </row>
    <row r="3097" spans="1:13" x14ac:dyDescent="0.3">
      <c r="A3097" t="s">
        <v>3127</v>
      </c>
      <c r="B3097" s="1">
        <v>45503</v>
      </c>
      <c r="C3097" t="s">
        <v>13</v>
      </c>
      <c r="D3097" t="s">
        <v>32</v>
      </c>
      <c r="E3097">
        <v>57</v>
      </c>
      <c r="F3097" t="s">
        <v>15</v>
      </c>
      <c r="G3097">
        <v>834.72</v>
      </c>
      <c r="H3097">
        <v>36</v>
      </c>
      <c r="I3097" t="s">
        <v>22</v>
      </c>
      <c r="J3097">
        <v>4.9000000000000004</v>
      </c>
      <c r="K3097" t="s">
        <v>17</v>
      </c>
      <c r="L3097" t="s">
        <v>23</v>
      </c>
      <c r="M3097" t="str">
        <f>VLOOKUP(D3101,Restaurant_Master!A:B,2,FALSE)</f>
        <v>https://dineout-media-assets.swiggy.com/swiggy/image/upload/fl_lossy,f_auto,q_auto/v1660793737/fdqxvxcxg1wtdwvyv45v.jpg</v>
      </c>
    </row>
    <row r="3098" spans="1:13" x14ac:dyDescent="0.3">
      <c r="A3098" t="s">
        <v>3128</v>
      </c>
      <c r="B3098" s="1">
        <v>45294</v>
      </c>
      <c r="C3098" t="s">
        <v>34</v>
      </c>
      <c r="D3098" t="s">
        <v>32</v>
      </c>
      <c r="E3098">
        <v>39</v>
      </c>
      <c r="F3098" t="s">
        <v>15</v>
      </c>
      <c r="G3098">
        <v>1083.02</v>
      </c>
      <c r="H3098">
        <v>33</v>
      </c>
      <c r="I3098" t="s">
        <v>22</v>
      </c>
      <c r="J3098">
        <v>3.3</v>
      </c>
      <c r="K3098" t="s">
        <v>41</v>
      </c>
      <c r="L3098" t="s">
        <v>18</v>
      </c>
      <c r="M3098" t="str">
        <f>VLOOKUP(D3102,Restaurant_Master!A:B,2,FALSE)</f>
        <v>https://media-cdn.tripadvisor.com/media/photo-s/1c/c7/97/b6/photo6jpg.jpg</v>
      </c>
    </row>
    <row r="3099" spans="1:13" x14ac:dyDescent="0.3">
      <c r="A3099" t="s">
        <v>3129</v>
      </c>
      <c r="B3099" s="1">
        <v>45353</v>
      </c>
      <c r="C3099" t="s">
        <v>13</v>
      </c>
      <c r="D3099" t="s">
        <v>32</v>
      </c>
      <c r="E3099">
        <v>25</v>
      </c>
      <c r="F3099" t="s">
        <v>15</v>
      </c>
      <c r="G3099">
        <v>751.99</v>
      </c>
      <c r="H3099">
        <v>48</v>
      </c>
      <c r="I3099" t="s">
        <v>16</v>
      </c>
      <c r="J3099">
        <v>3.7</v>
      </c>
      <c r="K3099" t="s">
        <v>17</v>
      </c>
      <c r="L3099" t="s">
        <v>18</v>
      </c>
      <c r="M3099" t="str">
        <f>VLOOKUP(D3103,Restaurant_Master!A:B,2,FALSE)</f>
        <v>https://content.jdmagicbox.com/comp/deoria/g6/9999p5568.5568.200119143033.m4g6/catalogue/biryani-house-deoria-ho-deoria-mktc2xph0o.jpg</v>
      </c>
    </row>
    <row r="3100" spans="1:13" x14ac:dyDescent="0.3">
      <c r="A3100" t="s">
        <v>3130</v>
      </c>
      <c r="B3100" s="1">
        <v>45596</v>
      </c>
      <c r="C3100" t="s">
        <v>36</v>
      </c>
      <c r="D3100" t="s">
        <v>25</v>
      </c>
      <c r="E3100">
        <v>26</v>
      </c>
      <c r="F3100" t="s">
        <v>28</v>
      </c>
      <c r="G3100">
        <v>1049.2</v>
      </c>
      <c r="H3100">
        <v>52</v>
      </c>
      <c r="I3100" t="s">
        <v>16</v>
      </c>
      <c r="J3100">
        <v>4.5</v>
      </c>
      <c r="K3100" t="s">
        <v>26</v>
      </c>
      <c r="L3100" t="s">
        <v>23</v>
      </c>
      <c r="M3100" t="str">
        <f>VLOOKUP(D3104,Restaurant_Master!A:B,2,FALSE)</f>
        <v>https://dineout-media-assets.swiggy.com/swiggy/image/upload/fl_lossy,f_auto,q_auto/v1660793737/fdqxvxcxg1wtdwvyv45v.jpg</v>
      </c>
    </row>
    <row r="3101" spans="1:13" x14ac:dyDescent="0.3">
      <c r="A3101" t="s">
        <v>3131</v>
      </c>
      <c r="B3101" s="1">
        <v>45466</v>
      </c>
      <c r="C3101" t="s">
        <v>20</v>
      </c>
      <c r="D3101" t="s">
        <v>14</v>
      </c>
      <c r="E3101">
        <v>50</v>
      </c>
      <c r="F3101" t="s">
        <v>15</v>
      </c>
      <c r="G3101">
        <v>874.48</v>
      </c>
      <c r="H3101">
        <v>39</v>
      </c>
      <c r="I3101" t="s">
        <v>22</v>
      </c>
      <c r="J3101">
        <v>3.9</v>
      </c>
      <c r="K3101" t="s">
        <v>17</v>
      </c>
      <c r="L3101" t="s">
        <v>23</v>
      </c>
      <c r="M3101" t="str">
        <f>VLOOKUP(D3105,Restaurant_Master!A:B,2,FALSE)</f>
        <v>https://content.jdmagicbox.com/comp/deoria/g6/9999p5568.5568.200119143033.m4g6/catalogue/biryani-house-deoria-ho-deoria-mktc2xph0o.jpg</v>
      </c>
    </row>
    <row r="3102" spans="1:13" x14ac:dyDescent="0.3">
      <c r="A3102" t="s">
        <v>3132</v>
      </c>
      <c r="B3102" s="1">
        <v>45555</v>
      </c>
      <c r="C3102" t="s">
        <v>13</v>
      </c>
      <c r="D3102" t="s">
        <v>25</v>
      </c>
      <c r="E3102">
        <v>41</v>
      </c>
      <c r="F3102" t="s">
        <v>28</v>
      </c>
      <c r="G3102">
        <v>1175.4100000000001</v>
      </c>
      <c r="H3102">
        <v>20</v>
      </c>
      <c r="I3102" t="s">
        <v>22</v>
      </c>
      <c r="J3102">
        <v>3.9</v>
      </c>
      <c r="K3102" t="s">
        <v>17</v>
      </c>
      <c r="L3102" t="s">
        <v>23</v>
      </c>
      <c r="M3102" t="str">
        <f>VLOOKUP(D3106,Restaurant_Master!A:B,2,FALSE)</f>
        <v>https://content.jdmagicbox.com/comp/deoria/g6/9999p5568.5568.200119143033.m4g6/catalogue/biryani-house-deoria-ho-deoria-mktc2xph0o.jpg</v>
      </c>
    </row>
    <row r="3103" spans="1:13" x14ac:dyDescent="0.3">
      <c r="A3103" t="s">
        <v>3133</v>
      </c>
      <c r="B3103" s="1">
        <v>45609</v>
      </c>
      <c r="C3103" t="s">
        <v>36</v>
      </c>
      <c r="D3103" t="s">
        <v>32</v>
      </c>
      <c r="E3103">
        <v>21</v>
      </c>
      <c r="F3103" t="s">
        <v>15</v>
      </c>
      <c r="G3103">
        <v>425.7</v>
      </c>
      <c r="H3103">
        <v>44</v>
      </c>
      <c r="I3103" t="s">
        <v>16</v>
      </c>
      <c r="J3103">
        <v>3.6</v>
      </c>
      <c r="K3103" t="s">
        <v>41</v>
      </c>
      <c r="L3103" t="s">
        <v>18</v>
      </c>
      <c r="M3103" t="str">
        <f>VLOOKUP(D3107,Restaurant_Master!A:B,2,FALSE)</f>
        <v>https://content.jdmagicbox.com/comp/deoria/g6/9999p5568.5568.200119143033.m4g6/catalogue/biryani-house-deoria-ho-deoria-mktc2xph0o.jpg</v>
      </c>
    </row>
    <row r="3104" spans="1:13" x14ac:dyDescent="0.3">
      <c r="A3104" t="s">
        <v>3134</v>
      </c>
      <c r="B3104" s="1">
        <v>45393</v>
      </c>
      <c r="C3104" t="s">
        <v>34</v>
      </c>
      <c r="D3104" t="s">
        <v>14</v>
      </c>
      <c r="E3104">
        <v>19</v>
      </c>
      <c r="F3104" t="s">
        <v>15</v>
      </c>
      <c r="G3104">
        <v>644.24</v>
      </c>
      <c r="H3104">
        <v>60</v>
      </c>
      <c r="I3104" t="s">
        <v>16</v>
      </c>
      <c r="J3104">
        <v>4.3</v>
      </c>
      <c r="K3104" t="s">
        <v>29</v>
      </c>
      <c r="L3104" t="s">
        <v>23</v>
      </c>
      <c r="M3104" t="str">
        <f>VLOOKUP(D3108,Restaurant_Master!A:B,2,FALSE)</f>
        <v>https://dineout-media-assets.swiggy.com/swiggy/image/upload/fl_lossy,f_auto,q_auto/v1660793737/fdqxvxcxg1wtdwvyv45v.jpg</v>
      </c>
    </row>
    <row r="3105" spans="1:13" x14ac:dyDescent="0.3">
      <c r="A3105" t="s">
        <v>3135</v>
      </c>
      <c r="B3105" s="1">
        <v>45329</v>
      </c>
      <c r="C3105" t="s">
        <v>43</v>
      </c>
      <c r="D3105" t="s">
        <v>32</v>
      </c>
      <c r="E3105">
        <v>20</v>
      </c>
      <c r="F3105" t="s">
        <v>28</v>
      </c>
      <c r="G3105">
        <v>813.42</v>
      </c>
      <c r="H3105">
        <v>20</v>
      </c>
      <c r="I3105" t="s">
        <v>22</v>
      </c>
      <c r="J3105">
        <v>3.8</v>
      </c>
      <c r="K3105" t="s">
        <v>41</v>
      </c>
      <c r="L3105" t="s">
        <v>18</v>
      </c>
      <c r="M3105" t="str">
        <f>VLOOKUP(D3109,Restaurant_Master!A:B,2,FALSE)</f>
        <v>https://content.jdmagicbox.com/comp/deoria/g6/9999p5568.5568.200119143033.m4g6/catalogue/biryani-house-deoria-ho-deoria-mktc2xph0o.jpg</v>
      </c>
    </row>
    <row r="3106" spans="1:13" x14ac:dyDescent="0.3">
      <c r="A3106" t="s">
        <v>3136</v>
      </c>
      <c r="B3106" s="1">
        <v>45429</v>
      </c>
      <c r="C3106" t="s">
        <v>43</v>
      </c>
      <c r="D3106" t="s">
        <v>32</v>
      </c>
      <c r="E3106">
        <v>46</v>
      </c>
      <c r="F3106" t="s">
        <v>28</v>
      </c>
      <c r="G3106">
        <v>976.11</v>
      </c>
      <c r="H3106">
        <v>60</v>
      </c>
      <c r="I3106" t="s">
        <v>16</v>
      </c>
      <c r="J3106">
        <v>4.2</v>
      </c>
      <c r="K3106" t="s">
        <v>17</v>
      </c>
      <c r="L3106" t="s">
        <v>18</v>
      </c>
      <c r="M3106" t="str">
        <f>VLOOKUP(D3110,Restaurant_Master!A:B,2,FALSE)</f>
        <v>https://content.jdmagicbox.com/comp/deoria/g6/9999p5568.5568.200119143033.m4g6/catalogue/biryani-house-deoria-ho-deoria-mktc2xph0o.jpg</v>
      </c>
    </row>
    <row r="3107" spans="1:13" x14ac:dyDescent="0.3">
      <c r="A3107" t="s">
        <v>3137</v>
      </c>
      <c r="B3107" s="1">
        <v>45537</v>
      </c>
      <c r="C3107" t="s">
        <v>20</v>
      </c>
      <c r="D3107" t="s">
        <v>32</v>
      </c>
      <c r="E3107">
        <v>42</v>
      </c>
      <c r="F3107" t="s">
        <v>28</v>
      </c>
      <c r="G3107">
        <v>1179.21</v>
      </c>
      <c r="H3107">
        <v>59</v>
      </c>
      <c r="I3107" t="s">
        <v>16</v>
      </c>
      <c r="J3107">
        <v>3.4</v>
      </c>
      <c r="K3107" t="s">
        <v>26</v>
      </c>
      <c r="L3107" t="s">
        <v>18</v>
      </c>
      <c r="M3107" t="str">
        <f>VLOOKUP(D3111,Restaurant_Master!A:B,2,FALSE)</f>
        <v>https://content.jdmagicbox.com/comp/deoria/g6/9999p5568.5568.200119143033.m4g6/catalogue/biryani-house-deoria-ho-deoria-mktc2xph0o.jpg</v>
      </c>
    </row>
    <row r="3108" spans="1:13" x14ac:dyDescent="0.3">
      <c r="A3108" t="s">
        <v>3138</v>
      </c>
      <c r="B3108" s="1">
        <v>45633</v>
      </c>
      <c r="C3108" t="s">
        <v>20</v>
      </c>
      <c r="D3108" t="s">
        <v>14</v>
      </c>
      <c r="E3108">
        <v>54</v>
      </c>
      <c r="F3108" t="s">
        <v>15</v>
      </c>
      <c r="G3108">
        <v>598.16999999999996</v>
      </c>
      <c r="H3108">
        <v>57</v>
      </c>
      <c r="I3108" t="s">
        <v>16</v>
      </c>
      <c r="J3108">
        <v>4.2</v>
      </c>
      <c r="K3108" t="s">
        <v>41</v>
      </c>
      <c r="L3108" t="s">
        <v>18</v>
      </c>
      <c r="M3108" t="str">
        <f>VLOOKUP(D3112,Restaurant_Master!A:B,2,FALSE)</f>
        <v>https://www.chatswoodinterchange.com/storages/2018/08/Sushi-World_666x448.jpg</v>
      </c>
    </row>
    <row r="3109" spans="1:13" x14ac:dyDescent="0.3">
      <c r="A3109" t="s">
        <v>3139</v>
      </c>
      <c r="B3109" s="1">
        <v>45354</v>
      </c>
      <c r="C3109" t="s">
        <v>20</v>
      </c>
      <c r="D3109" t="s">
        <v>32</v>
      </c>
      <c r="E3109">
        <v>34</v>
      </c>
      <c r="F3109" t="s">
        <v>28</v>
      </c>
      <c r="G3109">
        <v>370.8</v>
      </c>
      <c r="H3109">
        <v>26</v>
      </c>
      <c r="I3109" t="s">
        <v>22</v>
      </c>
      <c r="J3109">
        <v>2.9</v>
      </c>
      <c r="K3109" t="s">
        <v>26</v>
      </c>
      <c r="L3109" t="s">
        <v>18</v>
      </c>
      <c r="M3109" t="str">
        <f>VLOOKUP(D3113,Restaurant_Master!A:B,2,FALSE)</f>
        <v>https://content.jdmagicbox.com/comp/deoria/g6/9999p5568.5568.200119143033.m4g6/catalogue/biryani-house-deoria-ho-deoria-mktc2xph0o.jpg</v>
      </c>
    </row>
    <row r="3110" spans="1:13" x14ac:dyDescent="0.3">
      <c r="A3110" t="s">
        <v>3140</v>
      </c>
      <c r="B3110" s="1">
        <v>45341</v>
      </c>
      <c r="C3110" t="s">
        <v>36</v>
      </c>
      <c r="D3110" t="s">
        <v>32</v>
      </c>
      <c r="E3110">
        <v>43</v>
      </c>
      <c r="F3110" t="s">
        <v>28</v>
      </c>
      <c r="G3110">
        <v>599.12</v>
      </c>
      <c r="H3110">
        <v>20</v>
      </c>
      <c r="I3110" t="s">
        <v>22</v>
      </c>
      <c r="J3110">
        <v>2.5</v>
      </c>
      <c r="K3110" t="s">
        <v>17</v>
      </c>
      <c r="L3110" t="s">
        <v>23</v>
      </c>
      <c r="M3110" t="str">
        <f>VLOOKUP(D3114,Restaurant_Master!A:B,2,FALSE)</f>
        <v>https://content.jdmagicbox.com/comp/deoria/g6/9999p5568.5568.200119143033.m4g6/catalogue/biryani-house-deoria-ho-deoria-mktc2xph0o.jpg</v>
      </c>
    </row>
    <row r="3111" spans="1:13" x14ac:dyDescent="0.3">
      <c r="A3111" t="s">
        <v>3141</v>
      </c>
      <c r="B3111" s="1">
        <v>45437</v>
      </c>
      <c r="C3111" t="s">
        <v>13</v>
      </c>
      <c r="D3111" t="s">
        <v>32</v>
      </c>
      <c r="E3111">
        <v>60</v>
      </c>
      <c r="F3111" t="s">
        <v>28</v>
      </c>
      <c r="G3111">
        <v>951.59</v>
      </c>
      <c r="H3111">
        <v>37</v>
      </c>
      <c r="I3111" t="s">
        <v>22</v>
      </c>
      <c r="J3111">
        <v>2.8</v>
      </c>
      <c r="K3111" t="s">
        <v>17</v>
      </c>
      <c r="L3111" t="s">
        <v>18</v>
      </c>
      <c r="M3111" t="str">
        <f>VLOOKUP(D3115,Restaurant_Master!A:B,2,FALSE)</f>
        <v>https://dynamic-media-cdn.tripadvisor.com/media/photo-o/1c/e7/04/0d/front-of-the-local-easily.jpg</v>
      </c>
    </row>
    <row r="3112" spans="1:13" x14ac:dyDescent="0.3">
      <c r="A3112" t="s">
        <v>3142</v>
      </c>
      <c r="B3112" s="1">
        <v>45555</v>
      </c>
      <c r="C3112" t="s">
        <v>36</v>
      </c>
      <c r="D3112" t="s">
        <v>38</v>
      </c>
      <c r="E3112">
        <v>42</v>
      </c>
      <c r="F3112" t="s">
        <v>28</v>
      </c>
      <c r="G3112">
        <v>1041.3499999999999</v>
      </c>
      <c r="H3112">
        <v>39</v>
      </c>
      <c r="I3112" t="s">
        <v>22</v>
      </c>
      <c r="J3112">
        <v>5</v>
      </c>
      <c r="K3112" t="s">
        <v>26</v>
      </c>
      <c r="L3112" t="s">
        <v>18</v>
      </c>
      <c r="M3112" t="str">
        <f>VLOOKUP(D3116,Restaurant_Master!A:B,2,FALSE)</f>
        <v>https://media-cdn.tripadvisor.com/media/photo-s/1c/c7/97/b6/photo6jpg.jpg</v>
      </c>
    </row>
    <row r="3113" spans="1:13" x14ac:dyDescent="0.3">
      <c r="A3113" t="s">
        <v>3143</v>
      </c>
      <c r="B3113" s="1">
        <v>45488</v>
      </c>
      <c r="C3113" t="s">
        <v>13</v>
      </c>
      <c r="D3113" t="s">
        <v>32</v>
      </c>
      <c r="E3113">
        <v>44</v>
      </c>
      <c r="F3113" t="s">
        <v>28</v>
      </c>
      <c r="G3113">
        <v>763.19</v>
      </c>
      <c r="H3113">
        <v>55</v>
      </c>
      <c r="I3113" t="s">
        <v>16</v>
      </c>
      <c r="J3113">
        <v>2.6</v>
      </c>
      <c r="K3113" t="s">
        <v>26</v>
      </c>
      <c r="L3113" t="s">
        <v>18</v>
      </c>
      <c r="M3113" t="str">
        <f>VLOOKUP(D3117,Restaurant_Master!A:B,2,FALSE)</f>
        <v>https://media-cdn.tripadvisor.com/media/photo-s/1c/c7/97/b6/photo6jpg.jpg</v>
      </c>
    </row>
    <row r="3114" spans="1:13" x14ac:dyDescent="0.3">
      <c r="A3114" t="s">
        <v>3144</v>
      </c>
      <c r="B3114" s="1">
        <v>45445</v>
      </c>
      <c r="C3114" t="s">
        <v>34</v>
      </c>
      <c r="D3114" t="s">
        <v>32</v>
      </c>
      <c r="E3114">
        <v>44</v>
      </c>
      <c r="F3114" t="s">
        <v>15</v>
      </c>
      <c r="G3114">
        <v>546.39</v>
      </c>
      <c r="H3114">
        <v>50</v>
      </c>
      <c r="I3114" t="s">
        <v>16</v>
      </c>
      <c r="J3114">
        <v>3.5</v>
      </c>
      <c r="K3114" t="s">
        <v>41</v>
      </c>
      <c r="L3114" t="s">
        <v>23</v>
      </c>
      <c r="M3114" t="str">
        <f>VLOOKUP(D3118,Restaurant_Master!A:B,2,FALSE)</f>
        <v>https://www.chatswoodinterchange.com/storages/2018/08/Sushi-World_666x448.jpg</v>
      </c>
    </row>
    <row r="3115" spans="1:13" x14ac:dyDescent="0.3">
      <c r="A3115" t="s">
        <v>3145</v>
      </c>
      <c r="B3115" s="1">
        <v>45588</v>
      </c>
      <c r="C3115" t="s">
        <v>13</v>
      </c>
      <c r="D3115" t="s">
        <v>21</v>
      </c>
      <c r="E3115">
        <v>60</v>
      </c>
      <c r="F3115" t="s">
        <v>28</v>
      </c>
      <c r="G3115">
        <v>1028.79</v>
      </c>
      <c r="H3115">
        <v>38</v>
      </c>
      <c r="I3115" t="s">
        <v>22</v>
      </c>
      <c r="J3115">
        <v>3.3</v>
      </c>
      <c r="K3115" t="s">
        <v>29</v>
      </c>
      <c r="L3115" t="s">
        <v>18</v>
      </c>
      <c r="M3115" t="str">
        <f>VLOOKUP(D3119,Restaurant_Master!A:B,2,FALSE)</f>
        <v>https://www.chatswoodinterchange.com/storages/2018/08/Sushi-World_666x448.jpg</v>
      </c>
    </row>
    <row r="3116" spans="1:13" x14ac:dyDescent="0.3">
      <c r="A3116" t="s">
        <v>3146</v>
      </c>
      <c r="B3116" s="1">
        <v>45543</v>
      </c>
      <c r="C3116" t="s">
        <v>36</v>
      </c>
      <c r="D3116" t="s">
        <v>25</v>
      </c>
      <c r="E3116">
        <v>20</v>
      </c>
      <c r="F3116" t="s">
        <v>28</v>
      </c>
      <c r="G3116">
        <v>251.87</v>
      </c>
      <c r="H3116">
        <v>26</v>
      </c>
      <c r="I3116" t="s">
        <v>22</v>
      </c>
      <c r="J3116">
        <v>3.6</v>
      </c>
      <c r="K3116" t="s">
        <v>26</v>
      </c>
      <c r="L3116" t="s">
        <v>23</v>
      </c>
      <c r="M3116" t="str">
        <f>VLOOKUP(D3120,Restaurant_Master!A:B,2,FALSE)</f>
        <v>https://media-cdn.tripadvisor.com/media/photo-s/1c/c7/97/b6/photo6jpg.jpg</v>
      </c>
    </row>
    <row r="3117" spans="1:13" x14ac:dyDescent="0.3">
      <c r="A3117" t="s">
        <v>3147</v>
      </c>
      <c r="B3117" s="1">
        <v>45500</v>
      </c>
      <c r="C3117" t="s">
        <v>36</v>
      </c>
      <c r="D3117" t="s">
        <v>25</v>
      </c>
      <c r="E3117">
        <v>21</v>
      </c>
      <c r="F3117" t="s">
        <v>15</v>
      </c>
      <c r="G3117">
        <v>607.47</v>
      </c>
      <c r="H3117">
        <v>35</v>
      </c>
      <c r="I3117" t="s">
        <v>22</v>
      </c>
      <c r="J3117">
        <v>4.7</v>
      </c>
      <c r="K3117" t="s">
        <v>29</v>
      </c>
      <c r="L3117" t="s">
        <v>18</v>
      </c>
      <c r="M3117" t="str">
        <f>VLOOKUP(D3121,Restaurant_Master!A:B,2,FALSE)</f>
        <v>https://media-cdn.tripadvisor.com/media/photo-s/1c/c7/97/b6/photo6jpg.jpg</v>
      </c>
    </row>
    <row r="3118" spans="1:13" x14ac:dyDescent="0.3">
      <c r="A3118" t="s">
        <v>3148</v>
      </c>
      <c r="B3118" s="1">
        <v>45638</v>
      </c>
      <c r="C3118" t="s">
        <v>43</v>
      </c>
      <c r="D3118" t="s">
        <v>38</v>
      </c>
      <c r="E3118">
        <v>48</v>
      </c>
      <c r="F3118" t="s">
        <v>28</v>
      </c>
      <c r="G3118">
        <v>362.68</v>
      </c>
      <c r="H3118">
        <v>28</v>
      </c>
      <c r="I3118" t="s">
        <v>22</v>
      </c>
      <c r="J3118">
        <v>3.9</v>
      </c>
      <c r="K3118" t="s">
        <v>29</v>
      </c>
      <c r="L3118" t="s">
        <v>23</v>
      </c>
      <c r="M3118" t="str">
        <f>VLOOKUP(D3122,Restaurant_Master!A:B,2,FALSE)</f>
        <v>https://content.jdmagicbox.com/comp/deoria/g6/9999p5568.5568.200119143033.m4g6/catalogue/biryani-house-deoria-ho-deoria-mktc2xph0o.jpg</v>
      </c>
    </row>
    <row r="3119" spans="1:13" x14ac:dyDescent="0.3">
      <c r="A3119" t="s">
        <v>3149</v>
      </c>
      <c r="B3119" s="1">
        <v>45374</v>
      </c>
      <c r="C3119" t="s">
        <v>36</v>
      </c>
      <c r="D3119" t="s">
        <v>38</v>
      </c>
      <c r="E3119">
        <v>45</v>
      </c>
      <c r="F3119" t="s">
        <v>15</v>
      </c>
      <c r="G3119">
        <v>653.37</v>
      </c>
      <c r="H3119">
        <v>49</v>
      </c>
      <c r="I3119" t="s">
        <v>16</v>
      </c>
      <c r="J3119">
        <v>3.9</v>
      </c>
      <c r="K3119" t="s">
        <v>29</v>
      </c>
      <c r="L3119" t="s">
        <v>18</v>
      </c>
      <c r="M3119" t="str">
        <f>VLOOKUP(D3123,Restaurant_Master!A:B,2,FALSE)</f>
        <v>https://dineout-media-assets.swiggy.com/swiggy/image/upload/fl_lossy,f_auto,q_auto/v1660793737/fdqxvxcxg1wtdwvyv45v.jpg</v>
      </c>
    </row>
    <row r="3120" spans="1:13" x14ac:dyDescent="0.3">
      <c r="A3120" t="s">
        <v>3150</v>
      </c>
      <c r="B3120" s="1">
        <v>45466</v>
      </c>
      <c r="C3120" t="s">
        <v>43</v>
      </c>
      <c r="D3120" t="s">
        <v>25</v>
      </c>
      <c r="E3120">
        <v>60</v>
      </c>
      <c r="F3120" t="s">
        <v>28</v>
      </c>
      <c r="G3120">
        <v>877.87</v>
      </c>
      <c r="H3120">
        <v>59</v>
      </c>
      <c r="I3120" t="s">
        <v>16</v>
      </c>
      <c r="J3120">
        <v>3.5</v>
      </c>
      <c r="K3120" t="s">
        <v>17</v>
      </c>
      <c r="L3120" t="s">
        <v>18</v>
      </c>
      <c r="M3120" t="str">
        <f>VLOOKUP(D3124,Restaurant_Master!A:B,2,FALSE)</f>
        <v>https://media-cdn.tripadvisor.com/media/photo-s/1c/c7/97/b6/photo6jpg.jpg</v>
      </c>
    </row>
    <row r="3121" spans="1:13" x14ac:dyDescent="0.3">
      <c r="A3121" t="s">
        <v>3151</v>
      </c>
      <c r="B3121" s="1">
        <v>45615</v>
      </c>
      <c r="C3121" t="s">
        <v>34</v>
      </c>
      <c r="D3121" t="s">
        <v>25</v>
      </c>
      <c r="E3121">
        <v>28</v>
      </c>
      <c r="F3121" t="s">
        <v>28</v>
      </c>
      <c r="G3121">
        <v>150.69</v>
      </c>
      <c r="H3121">
        <v>42</v>
      </c>
      <c r="I3121" t="s">
        <v>16</v>
      </c>
      <c r="J3121">
        <v>4.9000000000000004</v>
      </c>
      <c r="K3121" t="s">
        <v>29</v>
      </c>
      <c r="L3121" t="s">
        <v>18</v>
      </c>
      <c r="M3121" t="str">
        <f>VLOOKUP(D3125,Restaurant_Master!A:B,2,FALSE)</f>
        <v>https://media-cdn.tripadvisor.com/media/photo-s/1c/c7/97/b6/photo6jpg.jpg</v>
      </c>
    </row>
    <row r="3122" spans="1:13" x14ac:dyDescent="0.3">
      <c r="A3122" t="s">
        <v>3152</v>
      </c>
      <c r="B3122" s="1">
        <v>45397</v>
      </c>
      <c r="C3122" t="s">
        <v>13</v>
      </c>
      <c r="D3122" t="s">
        <v>32</v>
      </c>
      <c r="E3122">
        <v>51</v>
      </c>
      <c r="F3122" t="s">
        <v>15</v>
      </c>
      <c r="G3122">
        <v>1073.6199999999999</v>
      </c>
      <c r="H3122">
        <v>58</v>
      </c>
      <c r="I3122" t="s">
        <v>16</v>
      </c>
      <c r="J3122">
        <v>4.3</v>
      </c>
      <c r="K3122" t="s">
        <v>29</v>
      </c>
      <c r="L3122" t="s">
        <v>18</v>
      </c>
      <c r="M3122" t="str">
        <f>VLOOKUP(D3126,Restaurant_Master!A:B,2,FALSE)</f>
        <v>https://www.chatswoodinterchange.com/storages/2018/08/Sushi-World_666x448.jpg</v>
      </c>
    </row>
    <row r="3123" spans="1:13" x14ac:dyDescent="0.3">
      <c r="A3123" t="s">
        <v>3153</v>
      </c>
      <c r="B3123" s="1">
        <v>45335</v>
      </c>
      <c r="C3123" t="s">
        <v>34</v>
      </c>
      <c r="D3123" t="s">
        <v>14</v>
      </c>
      <c r="E3123">
        <v>20</v>
      </c>
      <c r="F3123" t="s">
        <v>28</v>
      </c>
      <c r="G3123">
        <v>265.43</v>
      </c>
      <c r="H3123">
        <v>52</v>
      </c>
      <c r="I3123" t="s">
        <v>16</v>
      </c>
      <c r="J3123">
        <v>3</v>
      </c>
      <c r="K3123" t="s">
        <v>29</v>
      </c>
      <c r="L3123" t="s">
        <v>23</v>
      </c>
      <c r="M3123" t="str">
        <f>VLOOKUP(D3127,Restaurant_Master!A:B,2,FALSE)</f>
        <v>https://www.chatswoodinterchange.com/storages/2018/08/Sushi-World_666x448.jpg</v>
      </c>
    </row>
    <row r="3124" spans="1:13" x14ac:dyDescent="0.3">
      <c r="A3124" t="s">
        <v>3154</v>
      </c>
      <c r="B3124" s="1">
        <v>45500</v>
      </c>
      <c r="C3124" t="s">
        <v>20</v>
      </c>
      <c r="D3124" t="s">
        <v>25</v>
      </c>
      <c r="E3124">
        <v>40</v>
      </c>
      <c r="F3124" t="s">
        <v>28</v>
      </c>
      <c r="G3124">
        <v>386.6</v>
      </c>
      <c r="H3124">
        <v>36</v>
      </c>
      <c r="I3124" t="s">
        <v>22</v>
      </c>
      <c r="J3124">
        <v>3.4</v>
      </c>
      <c r="K3124" t="s">
        <v>41</v>
      </c>
      <c r="L3124" t="s">
        <v>18</v>
      </c>
      <c r="M3124" t="str">
        <f>VLOOKUP(D3128,Restaurant_Master!A:B,2,FALSE)</f>
        <v>https://media-cdn.tripadvisor.com/media/photo-s/1c/c7/97/b6/photo6jpg.jpg</v>
      </c>
    </row>
    <row r="3125" spans="1:13" x14ac:dyDescent="0.3">
      <c r="A3125" t="s">
        <v>3155</v>
      </c>
      <c r="B3125" s="1">
        <v>45332</v>
      </c>
      <c r="C3125" t="s">
        <v>43</v>
      </c>
      <c r="D3125" t="s">
        <v>25</v>
      </c>
      <c r="E3125">
        <v>21</v>
      </c>
      <c r="F3125" t="s">
        <v>15</v>
      </c>
      <c r="G3125">
        <v>1061.8499999999999</v>
      </c>
      <c r="H3125">
        <v>57</v>
      </c>
      <c r="I3125" t="s">
        <v>16</v>
      </c>
      <c r="J3125">
        <v>4.2</v>
      </c>
      <c r="K3125" t="s">
        <v>41</v>
      </c>
      <c r="L3125" t="s">
        <v>18</v>
      </c>
      <c r="M3125" t="str">
        <f>VLOOKUP(D3129,Restaurant_Master!A:B,2,FALSE)</f>
        <v>https://dineout-media-assets.swiggy.com/swiggy/image/upload/fl_lossy,f_auto,q_auto/v1660793737/fdqxvxcxg1wtdwvyv45v.jpg</v>
      </c>
    </row>
    <row r="3126" spans="1:13" x14ac:dyDescent="0.3">
      <c r="A3126" t="s">
        <v>3156</v>
      </c>
      <c r="B3126" s="1">
        <v>45537</v>
      </c>
      <c r="C3126" t="s">
        <v>13</v>
      </c>
      <c r="D3126" t="s">
        <v>38</v>
      </c>
      <c r="E3126">
        <v>23</v>
      </c>
      <c r="F3126" t="s">
        <v>15</v>
      </c>
      <c r="G3126">
        <v>1157.96</v>
      </c>
      <c r="H3126">
        <v>37</v>
      </c>
      <c r="I3126" t="s">
        <v>22</v>
      </c>
      <c r="J3126">
        <v>3.5</v>
      </c>
      <c r="K3126" t="s">
        <v>17</v>
      </c>
      <c r="L3126" t="s">
        <v>18</v>
      </c>
      <c r="M3126" t="str">
        <f>VLOOKUP(D3130,Restaurant_Master!A:B,2,FALSE)</f>
        <v>https://www.chatswoodinterchange.com/storages/2018/08/Sushi-World_666x448.jpg</v>
      </c>
    </row>
    <row r="3127" spans="1:13" x14ac:dyDescent="0.3">
      <c r="A3127" t="s">
        <v>3157</v>
      </c>
      <c r="B3127" s="1">
        <v>45377</v>
      </c>
      <c r="C3127" t="s">
        <v>43</v>
      </c>
      <c r="D3127" t="s">
        <v>38</v>
      </c>
      <c r="E3127">
        <v>34</v>
      </c>
      <c r="F3127" t="s">
        <v>15</v>
      </c>
      <c r="G3127">
        <v>981.09</v>
      </c>
      <c r="H3127">
        <v>59</v>
      </c>
      <c r="I3127" t="s">
        <v>16</v>
      </c>
      <c r="J3127">
        <v>3.3</v>
      </c>
      <c r="K3127" t="s">
        <v>29</v>
      </c>
      <c r="L3127" t="s">
        <v>23</v>
      </c>
      <c r="M3127" t="str">
        <f>VLOOKUP(D3131,Restaurant_Master!A:B,2,FALSE)</f>
        <v>https://media-cdn.tripadvisor.com/media/photo-s/1c/c7/97/b6/photo6jpg.jpg</v>
      </c>
    </row>
    <row r="3128" spans="1:13" x14ac:dyDescent="0.3">
      <c r="A3128" t="s">
        <v>3158</v>
      </c>
      <c r="B3128" s="1">
        <v>45361</v>
      </c>
      <c r="C3128" t="s">
        <v>43</v>
      </c>
      <c r="D3128" t="s">
        <v>25</v>
      </c>
      <c r="E3128">
        <v>23</v>
      </c>
      <c r="F3128" t="s">
        <v>15</v>
      </c>
      <c r="G3128">
        <v>1027.92</v>
      </c>
      <c r="H3128">
        <v>34</v>
      </c>
      <c r="I3128" t="s">
        <v>22</v>
      </c>
      <c r="J3128">
        <v>4.3</v>
      </c>
      <c r="K3128" t="s">
        <v>29</v>
      </c>
      <c r="L3128" t="s">
        <v>18</v>
      </c>
      <c r="M3128" t="str">
        <f>VLOOKUP(D3132,Restaurant_Master!A:B,2,FALSE)</f>
        <v>https://media-cdn.tripadvisor.com/media/photo-s/1c/c7/97/b6/photo6jpg.jpg</v>
      </c>
    </row>
    <row r="3129" spans="1:13" x14ac:dyDescent="0.3">
      <c r="A3129" t="s">
        <v>3159</v>
      </c>
      <c r="B3129" s="1">
        <v>45327</v>
      </c>
      <c r="C3129" t="s">
        <v>34</v>
      </c>
      <c r="D3129" t="s">
        <v>14</v>
      </c>
      <c r="E3129">
        <v>53</v>
      </c>
      <c r="F3129" t="s">
        <v>15</v>
      </c>
      <c r="G3129">
        <v>462.38</v>
      </c>
      <c r="H3129">
        <v>33</v>
      </c>
      <c r="I3129" t="s">
        <v>22</v>
      </c>
      <c r="J3129">
        <v>4.7</v>
      </c>
      <c r="K3129" t="s">
        <v>17</v>
      </c>
      <c r="L3129" t="s">
        <v>18</v>
      </c>
      <c r="M3129" t="str">
        <f>VLOOKUP(D3133,Restaurant_Master!A:B,2,FALSE)</f>
        <v>https://dynamic-media-cdn.tripadvisor.com/media/photo-o/1c/e7/04/0d/front-of-the-local-easily.jpg</v>
      </c>
    </row>
    <row r="3130" spans="1:13" x14ac:dyDescent="0.3">
      <c r="A3130" t="s">
        <v>3160</v>
      </c>
      <c r="B3130" s="1">
        <v>45310</v>
      </c>
      <c r="C3130" t="s">
        <v>36</v>
      </c>
      <c r="D3130" t="s">
        <v>38</v>
      </c>
      <c r="E3130">
        <v>36</v>
      </c>
      <c r="F3130" t="s">
        <v>28</v>
      </c>
      <c r="G3130">
        <v>1059.81</v>
      </c>
      <c r="H3130">
        <v>20</v>
      </c>
      <c r="I3130" t="s">
        <v>22</v>
      </c>
      <c r="J3130">
        <v>3.7</v>
      </c>
      <c r="K3130" t="s">
        <v>29</v>
      </c>
      <c r="L3130" t="s">
        <v>18</v>
      </c>
      <c r="M3130" t="str">
        <f>VLOOKUP(D3134,Restaurant_Master!A:B,2,FALSE)</f>
        <v>https://dineout-media-assets.swiggy.com/swiggy/image/upload/fl_lossy,f_auto,q_auto/v1660793737/fdqxvxcxg1wtdwvyv45v.jpg</v>
      </c>
    </row>
    <row r="3131" spans="1:13" x14ac:dyDescent="0.3">
      <c r="A3131" t="s">
        <v>3161</v>
      </c>
      <c r="B3131" s="1">
        <v>45433</v>
      </c>
      <c r="C3131" t="s">
        <v>13</v>
      </c>
      <c r="D3131" t="s">
        <v>25</v>
      </c>
      <c r="E3131">
        <v>27</v>
      </c>
      <c r="F3131" t="s">
        <v>15</v>
      </c>
      <c r="G3131">
        <v>495.07</v>
      </c>
      <c r="H3131">
        <v>32</v>
      </c>
      <c r="I3131" t="s">
        <v>22</v>
      </c>
      <c r="J3131">
        <v>2.8</v>
      </c>
      <c r="K3131" t="s">
        <v>29</v>
      </c>
      <c r="L3131" t="s">
        <v>18</v>
      </c>
      <c r="M3131" t="str">
        <f>VLOOKUP(D3135,Restaurant_Master!A:B,2,FALSE)</f>
        <v>https://dineout-media-assets.swiggy.com/swiggy/image/upload/fl_lossy,f_auto,q_auto/v1660793737/fdqxvxcxg1wtdwvyv45v.jpg</v>
      </c>
    </row>
    <row r="3132" spans="1:13" x14ac:dyDescent="0.3">
      <c r="A3132" t="s">
        <v>3162</v>
      </c>
      <c r="B3132" s="1">
        <v>45643</v>
      </c>
      <c r="C3132" t="s">
        <v>43</v>
      </c>
      <c r="D3132" t="s">
        <v>25</v>
      </c>
      <c r="E3132">
        <v>30</v>
      </c>
      <c r="F3132" t="s">
        <v>15</v>
      </c>
      <c r="G3132">
        <v>493.6</v>
      </c>
      <c r="H3132">
        <v>43</v>
      </c>
      <c r="I3132" t="s">
        <v>16</v>
      </c>
      <c r="J3132">
        <v>4.2</v>
      </c>
      <c r="K3132" t="s">
        <v>17</v>
      </c>
      <c r="L3132" t="s">
        <v>23</v>
      </c>
      <c r="M3132" t="str">
        <f>VLOOKUP(D3136,Restaurant_Master!A:B,2,FALSE)</f>
        <v>https://content.jdmagicbox.com/comp/deoria/g6/9999p5568.5568.200119143033.m4g6/catalogue/biryani-house-deoria-ho-deoria-mktc2xph0o.jpg</v>
      </c>
    </row>
    <row r="3133" spans="1:13" x14ac:dyDescent="0.3">
      <c r="A3133" t="s">
        <v>3163</v>
      </c>
      <c r="B3133" s="1">
        <v>45309</v>
      </c>
      <c r="C3133" t="s">
        <v>36</v>
      </c>
      <c r="D3133" t="s">
        <v>21</v>
      </c>
      <c r="E3133">
        <v>20</v>
      </c>
      <c r="F3133" t="s">
        <v>15</v>
      </c>
      <c r="G3133">
        <v>1062.8699999999999</v>
      </c>
      <c r="H3133">
        <v>24</v>
      </c>
      <c r="I3133" t="s">
        <v>22</v>
      </c>
      <c r="J3133">
        <v>4.9000000000000004</v>
      </c>
      <c r="K3133" t="s">
        <v>26</v>
      </c>
      <c r="L3133" t="s">
        <v>18</v>
      </c>
      <c r="M3133" t="str">
        <f>VLOOKUP(D3137,Restaurant_Master!A:B,2,FALSE)</f>
        <v>https://content.jdmagicbox.com/comp/deoria/g6/9999p5568.5568.200119143033.m4g6/catalogue/biryani-house-deoria-ho-deoria-mktc2xph0o.jpg</v>
      </c>
    </row>
    <row r="3134" spans="1:13" x14ac:dyDescent="0.3">
      <c r="A3134" t="s">
        <v>3164</v>
      </c>
      <c r="B3134" s="1">
        <v>45473</v>
      </c>
      <c r="C3134" t="s">
        <v>20</v>
      </c>
      <c r="D3134" t="s">
        <v>14</v>
      </c>
      <c r="E3134">
        <v>41</v>
      </c>
      <c r="F3134" t="s">
        <v>15</v>
      </c>
      <c r="G3134">
        <v>273.41000000000003</v>
      </c>
      <c r="H3134">
        <v>43</v>
      </c>
      <c r="I3134" t="s">
        <v>16</v>
      </c>
      <c r="J3134">
        <v>4.7</v>
      </c>
      <c r="K3134" t="s">
        <v>29</v>
      </c>
      <c r="L3134" t="s">
        <v>18</v>
      </c>
      <c r="M3134" t="str">
        <f>VLOOKUP(D3138,Restaurant_Master!A:B,2,FALSE)</f>
        <v>https://media-cdn.tripadvisor.com/media/photo-s/1c/c7/97/b6/photo6jpg.jpg</v>
      </c>
    </row>
    <row r="3135" spans="1:13" x14ac:dyDescent="0.3">
      <c r="A3135" t="s">
        <v>3165</v>
      </c>
      <c r="B3135" s="1">
        <v>45344</v>
      </c>
      <c r="C3135" t="s">
        <v>34</v>
      </c>
      <c r="D3135" t="s">
        <v>14</v>
      </c>
      <c r="E3135">
        <v>25</v>
      </c>
      <c r="F3135" t="s">
        <v>28</v>
      </c>
      <c r="G3135">
        <v>1187.1400000000001</v>
      </c>
      <c r="H3135">
        <v>24</v>
      </c>
      <c r="I3135" t="s">
        <v>22</v>
      </c>
      <c r="J3135">
        <v>2.9</v>
      </c>
      <c r="K3135" t="s">
        <v>41</v>
      </c>
      <c r="L3135" t="s">
        <v>18</v>
      </c>
      <c r="M3135" t="str">
        <f>VLOOKUP(D3139,Restaurant_Master!A:B,2,FALSE)</f>
        <v>https://dineout-media-assets.swiggy.com/swiggy/image/upload/fl_lossy,f_auto,q_auto/v1660793737/fdqxvxcxg1wtdwvyv45v.jpg</v>
      </c>
    </row>
    <row r="3136" spans="1:13" x14ac:dyDescent="0.3">
      <c r="A3136" t="s">
        <v>3166</v>
      </c>
      <c r="B3136" s="1">
        <v>45335</v>
      </c>
      <c r="C3136" t="s">
        <v>43</v>
      </c>
      <c r="D3136" t="s">
        <v>32</v>
      </c>
      <c r="E3136">
        <v>40</v>
      </c>
      <c r="F3136" t="s">
        <v>28</v>
      </c>
      <c r="G3136">
        <v>330.99</v>
      </c>
      <c r="H3136">
        <v>43</v>
      </c>
      <c r="I3136" t="s">
        <v>16</v>
      </c>
      <c r="J3136">
        <v>3</v>
      </c>
      <c r="K3136" t="s">
        <v>41</v>
      </c>
      <c r="L3136" t="s">
        <v>18</v>
      </c>
      <c r="M3136" t="str">
        <f>VLOOKUP(D3140,Restaurant_Master!A:B,2,FALSE)</f>
        <v>https://dineout-media-assets.swiggy.com/swiggy/image/upload/fl_lossy,f_auto,q_auto/v1660793737/fdqxvxcxg1wtdwvyv45v.jpg</v>
      </c>
    </row>
    <row r="3137" spans="1:13" x14ac:dyDescent="0.3">
      <c r="A3137" t="s">
        <v>3167</v>
      </c>
      <c r="B3137" s="1">
        <v>45348</v>
      </c>
      <c r="C3137" t="s">
        <v>34</v>
      </c>
      <c r="D3137" t="s">
        <v>32</v>
      </c>
      <c r="E3137">
        <v>25</v>
      </c>
      <c r="F3137" t="s">
        <v>15</v>
      </c>
      <c r="G3137">
        <v>578.32000000000005</v>
      </c>
      <c r="H3137">
        <v>36</v>
      </c>
      <c r="I3137" t="s">
        <v>22</v>
      </c>
      <c r="J3137">
        <v>4.4000000000000004</v>
      </c>
      <c r="K3137" t="s">
        <v>29</v>
      </c>
      <c r="L3137" t="s">
        <v>23</v>
      </c>
      <c r="M3137" t="str">
        <f>VLOOKUP(D3141,Restaurant_Master!A:B,2,FALSE)</f>
        <v>https://content.jdmagicbox.com/comp/deoria/g6/9999p5568.5568.200119143033.m4g6/catalogue/biryani-house-deoria-ho-deoria-mktc2xph0o.jpg</v>
      </c>
    </row>
    <row r="3138" spans="1:13" x14ac:dyDescent="0.3">
      <c r="A3138" t="s">
        <v>3168</v>
      </c>
      <c r="B3138" s="1">
        <v>45510</v>
      </c>
      <c r="C3138" t="s">
        <v>13</v>
      </c>
      <c r="D3138" t="s">
        <v>25</v>
      </c>
      <c r="E3138">
        <v>24</v>
      </c>
      <c r="F3138" t="s">
        <v>15</v>
      </c>
      <c r="G3138">
        <v>1154.17</v>
      </c>
      <c r="H3138">
        <v>42</v>
      </c>
      <c r="I3138" t="s">
        <v>16</v>
      </c>
      <c r="J3138">
        <v>4.0999999999999996</v>
      </c>
      <c r="K3138" t="s">
        <v>26</v>
      </c>
      <c r="L3138" t="s">
        <v>23</v>
      </c>
      <c r="M3138" t="str">
        <f>VLOOKUP(D3142,Restaurant_Master!A:B,2,FALSE)</f>
        <v>https://media-cdn.tripadvisor.com/media/photo-s/1c/c7/97/b6/photo6jpg.jpg</v>
      </c>
    </row>
    <row r="3139" spans="1:13" x14ac:dyDescent="0.3">
      <c r="A3139" t="s">
        <v>3169</v>
      </c>
      <c r="B3139" s="1">
        <v>45598</v>
      </c>
      <c r="C3139" t="s">
        <v>20</v>
      </c>
      <c r="D3139" t="s">
        <v>14</v>
      </c>
      <c r="E3139">
        <v>28</v>
      </c>
      <c r="F3139" t="s">
        <v>15</v>
      </c>
      <c r="G3139">
        <v>1184.82</v>
      </c>
      <c r="H3139">
        <v>29</v>
      </c>
      <c r="I3139" t="s">
        <v>22</v>
      </c>
      <c r="J3139">
        <v>4.9000000000000004</v>
      </c>
      <c r="K3139" t="s">
        <v>41</v>
      </c>
      <c r="L3139" t="s">
        <v>23</v>
      </c>
      <c r="M3139" t="str">
        <f>VLOOKUP(D3143,Restaurant_Master!A:B,2,FALSE)</f>
        <v>https://dynamic-media-cdn.tripadvisor.com/media/photo-o/1c/e7/04/0d/front-of-the-local-easily.jpg</v>
      </c>
    </row>
    <row r="3140" spans="1:13" x14ac:dyDescent="0.3">
      <c r="A3140" t="s">
        <v>3170</v>
      </c>
      <c r="B3140" s="1">
        <v>45577</v>
      </c>
      <c r="C3140" t="s">
        <v>36</v>
      </c>
      <c r="D3140" t="s">
        <v>14</v>
      </c>
      <c r="E3140">
        <v>38</v>
      </c>
      <c r="F3140" t="s">
        <v>15</v>
      </c>
      <c r="G3140">
        <v>803.17</v>
      </c>
      <c r="H3140">
        <v>21</v>
      </c>
      <c r="I3140" t="s">
        <v>22</v>
      </c>
      <c r="J3140">
        <v>3.4</v>
      </c>
      <c r="K3140" t="s">
        <v>41</v>
      </c>
      <c r="L3140" t="s">
        <v>23</v>
      </c>
      <c r="M3140" t="str">
        <f>VLOOKUP(D3144,Restaurant_Master!A:B,2,FALSE)</f>
        <v>https://media-cdn.tripadvisor.com/media/photo-s/1c/c7/97/b6/photo6jpg.jpg</v>
      </c>
    </row>
    <row r="3141" spans="1:13" x14ac:dyDescent="0.3">
      <c r="A3141" t="s">
        <v>3171</v>
      </c>
      <c r="B3141" s="1">
        <v>45303</v>
      </c>
      <c r="C3141" t="s">
        <v>13</v>
      </c>
      <c r="D3141" t="s">
        <v>32</v>
      </c>
      <c r="E3141">
        <v>56</v>
      </c>
      <c r="F3141" t="s">
        <v>15</v>
      </c>
      <c r="G3141">
        <v>293.74</v>
      </c>
      <c r="H3141">
        <v>31</v>
      </c>
      <c r="I3141" t="s">
        <v>22</v>
      </c>
      <c r="J3141">
        <v>4.9000000000000004</v>
      </c>
      <c r="K3141" t="s">
        <v>41</v>
      </c>
      <c r="L3141" t="s">
        <v>23</v>
      </c>
      <c r="M3141" t="str">
        <f>VLOOKUP(D3145,Restaurant_Master!A:B,2,FALSE)</f>
        <v>https://content.jdmagicbox.com/comp/deoria/g6/9999p5568.5568.200119143033.m4g6/catalogue/biryani-house-deoria-ho-deoria-mktc2xph0o.jpg</v>
      </c>
    </row>
    <row r="3142" spans="1:13" x14ac:dyDescent="0.3">
      <c r="A3142" t="s">
        <v>3172</v>
      </c>
      <c r="B3142" s="1">
        <v>45463</v>
      </c>
      <c r="C3142" t="s">
        <v>36</v>
      </c>
      <c r="D3142" t="s">
        <v>25</v>
      </c>
      <c r="E3142">
        <v>41</v>
      </c>
      <c r="F3142" t="s">
        <v>28</v>
      </c>
      <c r="G3142">
        <v>194.79</v>
      </c>
      <c r="H3142">
        <v>36</v>
      </c>
      <c r="I3142" t="s">
        <v>22</v>
      </c>
      <c r="J3142">
        <v>4.7</v>
      </c>
      <c r="K3142" t="s">
        <v>41</v>
      </c>
      <c r="L3142" t="s">
        <v>18</v>
      </c>
      <c r="M3142" t="str">
        <f>VLOOKUP(D3146,Restaurant_Master!A:B,2,FALSE)</f>
        <v>https://dineout-media-assets.swiggy.com/swiggy/image/upload/fl_lossy,f_auto,q_auto/v1660793737/fdqxvxcxg1wtdwvyv45v.jpg</v>
      </c>
    </row>
    <row r="3143" spans="1:13" x14ac:dyDescent="0.3">
      <c r="A3143" t="s">
        <v>3173</v>
      </c>
      <c r="B3143" s="1">
        <v>45586</v>
      </c>
      <c r="C3143" t="s">
        <v>34</v>
      </c>
      <c r="D3143" t="s">
        <v>21</v>
      </c>
      <c r="E3143">
        <v>18</v>
      </c>
      <c r="F3143" t="s">
        <v>15</v>
      </c>
      <c r="G3143">
        <v>863.36</v>
      </c>
      <c r="H3143">
        <v>32</v>
      </c>
      <c r="I3143" t="s">
        <v>22</v>
      </c>
      <c r="J3143">
        <v>4</v>
      </c>
      <c r="K3143" t="s">
        <v>41</v>
      </c>
      <c r="L3143" t="s">
        <v>23</v>
      </c>
      <c r="M3143" t="str">
        <f>VLOOKUP(D3147,Restaurant_Master!A:B,2,FALSE)</f>
        <v>https://dynamic-media-cdn.tripadvisor.com/media/photo-o/1c/e7/04/0d/front-of-the-local-easily.jpg</v>
      </c>
    </row>
    <row r="3144" spans="1:13" x14ac:dyDescent="0.3">
      <c r="A3144" t="s">
        <v>3174</v>
      </c>
      <c r="B3144" s="1">
        <v>45592</v>
      </c>
      <c r="C3144" t="s">
        <v>20</v>
      </c>
      <c r="D3144" t="s">
        <v>25</v>
      </c>
      <c r="E3144">
        <v>19</v>
      </c>
      <c r="F3144" t="s">
        <v>15</v>
      </c>
      <c r="G3144">
        <v>210.51</v>
      </c>
      <c r="H3144">
        <v>26</v>
      </c>
      <c r="I3144" t="s">
        <v>22</v>
      </c>
      <c r="J3144">
        <v>3.9</v>
      </c>
      <c r="K3144" t="s">
        <v>17</v>
      </c>
      <c r="L3144" t="s">
        <v>23</v>
      </c>
      <c r="M3144" t="str">
        <f>VLOOKUP(D3148,Restaurant_Master!A:B,2,FALSE)</f>
        <v>https://media-cdn.tripadvisor.com/media/photo-s/1c/c7/97/b6/photo6jpg.jpg</v>
      </c>
    </row>
    <row r="3145" spans="1:13" x14ac:dyDescent="0.3">
      <c r="A3145" t="s">
        <v>3175</v>
      </c>
      <c r="B3145" s="1">
        <v>45384</v>
      </c>
      <c r="C3145" t="s">
        <v>43</v>
      </c>
      <c r="D3145" t="s">
        <v>32</v>
      </c>
      <c r="E3145">
        <v>36</v>
      </c>
      <c r="F3145" t="s">
        <v>28</v>
      </c>
      <c r="G3145">
        <v>653.54999999999995</v>
      </c>
      <c r="H3145">
        <v>31</v>
      </c>
      <c r="I3145" t="s">
        <v>22</v>
      </c>
      <c r="J3145">
        <v>3.6</v>
      </c>
      <c r="K3145" t="s">
        <v>41</v>
      </c>
      <c r="L3145" t="s">
        <v>23</v>
      </c>
      <c r="M3145" t="str">
        <f>VLOOKUP(D3149,Restaurant_Master!A:B,2,FALSE)</f>
        <v>https://media-cdn.tripadvisor.com/media/photo-s/1c/c7/97/b6/photo6jpg.jpg</v>
      </c>
    </row>
    <row r="3146" spans="1:13" x14ac:dyDescent="0.3">
      <c r="A3146" t="s">
        <v>3176</v>
      </c>
      <c r="B3146" s="1">
        <v>45340</v>
      </c>
      <c r="C3146" t="s">
        <v>20</v>
      </c>
      <c r="D3146" t="s">
        <v>14</v>
      </c>
      <c r="E3146">
        <v>39</v>
      </c>
      <c r="F3146" t="s">
        <v>15</v>
      </c>
      <c r="G3146">
        <v>417.5</v>
      </c>
      <c r="H3146">
        <v>59</v>
      </c>
      <c r="I3146" t="s">
        <v>16</v>
      </c>
      <c r="J3146">
        <v>2.7</v>
      </c>
      <c r="K3146" t="s">
        <v>41</v>
      </c>
      <c r="L3146" t="s">
        <v>23</v>
      </c>
      <c r="M3146" t="str">
        <f>VLOOKUP(D3150,Restaurant_Master!A:B,2,FALSE)</f>
        <v>https://dynamic-media-cdn.tripadvisor.com/media/photo-o/1c/e7/04/0d/front-of-the-local-easily.jpg</v>
      </c>
    </row>
    <row r="3147" spans="1:13" x14ac:dyDescent="0.3">
      <c r="A3147" t="s">
        <v>3177</v>
      </c>
      <c r="B3147" s="1">
        <v>45359</v>
      </c>
      <c r="C3147" t="s">
        <v>36</v>
      </c>
      <c r="D3147" t="s">
        <v>21</v>
      </c>
      <c r="E3147">
        <v>23</v>
      </c>
      <c r="F3147" t="s">
        <v>15</v>
      </c>
      <c r="G3147">
        <v>1177.3800000000001</v>
      </c>
      <c r="H3147">
        <v>56</v>
      </c>
      <c r="I3147" t="s">
        <v>16</v>
      </c>
      <c r="J3147">
        <v>2.9</v>
      </c>
      <c r="K3147" t="s">
        <v>29</v>
      </c>
      <c r="L3147" t="s">
        <v>23</v>
      </c>
      <c r="M3147" t="str">
        <f>VLOOKUP(D3151,Restaurant_Master!A:B,2,FALSE)</f>
        <v>https://dineout-media-assets.swiggy.com/swiggy/image/upload/fl_lossy,f_auto,q_auto/v1660793737/fdqxvxcxg1wtdwvyv45v.jpg</v>
      </c>
    </row>
    <row r="3148" spans="1:13" x14ac:dyDescent="0.3">
      <c r="A3148" t="s">
        <v>3178</v>
      </c>
      <c r="B3148" s="1">
        <v>45550</v>
      </c>
      <c r="C3148" t="s">
        <v>20</v>
      </c>
      <c r="D3148" t="s">
        <v>25</v>
      </c>
      <c r="E3148">
        <v>41</v>
      </c>
      <c r="F3148" t="s">
        <v>15</v>
      </c>
      <c r="G3148">
        <v>769.86</v>
      </c>
      <c r="H3148">
        <v>55</v>
      </c>
      <c r="I3148" t="s">
        <v>16</v>
      </c>
      <c r="J3148">
        <v>3.6</v>
      </c>
      <c r="K3148" t="s">
        <v>17</v>
      </c>
      <c r="L3148" t="s">
        <v>18</v>
      </c>
      <c r="M3148" t="str">
        <f>VLOOKUP(D3152,Restaurant_Master!A:B,2,FALSE)</f>
        <v>https://dineout-media-assets.swiggy.com/swiggy/image/upload/fl_lossy,f_auto,q_auto/v1660793737/fdqxvxcxg1wtdwvyv45v.jpg</v>
      </c>
    </row>
    <row r="3149" spans="1:13" x14ac:dyDescent="0.3">
      <c r="A3149" t="s">
        <v>3179</v>
      </c>
      <c r="B3149" s="1">
        <v>45422</v>
      </c>
      <c r="C3149" t="s">
        <v>20</v>
      </c>
      <c r="D3149" t="s">
        <v>25</v>
      </c>
      <c r="E3149">
        <v>40</v>
      </c>
      <c r="F3149" t="s">
        <v>15</v>
      </c>
      <c r="G3149">
        <v>965.77</v>
      </c>
      <c r="H3149">
        <v>59</v>
      </c>
      <c r="I3149" t="s">
        <v>16</v>
      </c>
      <c r="J3149">
        <v>2.5</v>
      </c>
      <c r="K3149" t="s">
        <v>17</v>
      </c>
      <c r="L3149" t="s">
        <v>18</v>
      </c>
      <c r="M3149" t="str">
        <f>VLOOKUP(D3153,Restaurant_Master!A:B,2,FALSE)</f>
        <v>https://content.jdmagicbox.com/comp/deoria/g6/9999p5568.5568.200119143033.m4g6/catalogue/biryani-house-deoria-ho-deoria-mktc2xph0o.jpg</v>
      </c>
    </row>
    <row r="3150" spans="1:13" x14ac:dyDescent="0.3">
      <c r="A3150" t="s">
        <v>3180</v>
      </c>
      <c r="B3150" s="1">
        <v>45517</v>
      </c>
      <c r="C3150" t="s">
        <v>13</v>
      </c>
      <c r="D3150" t="s">
        <v>21</v>
      </c>
      <c r="E3150">
        <v>46</v>
      </c>
      <c r="F3150" t="s">
        <v>15</v>
      </c>
      <c r="G3150">
        <v>228.02</v>
      </c>
      <c r="H3150">
        <v>56</v>
      </c>
      <c r="I3150" t="s">
        <v>16</v>
      </c>
      <c r="J3150">
        <v>4.8</v>
      </c>
      <c r="K3150" t="s">
        <v>29</v>
      </c>
      <c r="L3150" t="s">
        <v>18</v>
      </c>
      <c r="M3150" t="str">
        <f>VLOOKUP(D3154,Restaurant_Master!A:B,2,FALSE)</f>
        <v>https://content.jdmagicbox.com/comp/deoria/g6/9999p5568.5568.200119143033.m4g6/catalogue/biryani-house-deoria-ho-deoria-mktc2xph0o.jpg</v>
      </c>
    </row>
    <row r="3151" spans="1:13" x14ac:dyDescent="0.3">
      <c r="A3151" t="s">
        <v>3181</v>
      </c>
      <c r="B3151" s="1">
        <v>45478</v>
      </c>
      <c r="C3151" t="s">
        <v>13</v>
      </c>
      <c r="D3151" t="s">
        <v>14</v>
      </c>
      <c r="E3151">
        <v>54</v>
      </c>
      <c r="F3151" t="s">
        <v>15</v>
      </c>
      <c r="G3151">
        <v>193.43</v>
      </c>
      <c r="H3151">
        <v>45</v>
      </c>
      <c r="I3151" t="s">
        <v>16</v>
      </c>
      <c r="J3151">
        <v>2.7</v>
      </c>
      <c r="K3151" t="s">
        <v>17</v>
      </c>
      <c r="L3151" t="s">
        <v>18</v>
      </c>
      <c r="M3151" t="str">
        <f>VLOOKUP(D3155,Restaurant_Master!A:B,2,FALSE)</f>
        <v>https://media-cdn.tripadvisor.com/media/photo-s/1c/c7/97/b6/photo6jpg.jpg</v>
      </c>
    </row>
    <row r="3152" spans="1:13" x14ac:dyDescent="0.3">
      <c r="A3152" t="s">
        <v>3182</v>
      </c>
      <c r="B3152" s="1">
        <v>45433</v>
      </c>
      <c r="C3152" t="s">
        <v>13</v>
      </c>
      <c r="D3152" t="s">
        <v>14</v>
      </c>
      <c r="E3152">
        <v>34</v>
      </c>
      <c r="F3152" t="s">
        <v>15</v>
      </c>
      <c r="G3152">
        <v>548.25</v>
      </c>
      <c r="H3152">
        <v>20</v>
      </c>
      <c r="I3152" t="s">
        <v>22</v>
      </c>
      <c r="J3152">
        <v>4.9000000000000004</v>
      </c>
      <c r="K3152" t="s">
        <v>41</v>
      </c>
      <c r="L3152" t="s">
        <v>18</v>
      </c>
      <c r="M3152" t="str">
        <f>VLOOKUP(D3156,Restaurant_Master!A:B,2,FALSE)</f>
        <v>https://dineout-media-assets.swiggy.com/swiggy/image/upload/fl_lossy,f_auto,q_auto/v1660793737/fdqxvxcxg1wtdwvyv45v.jpg</v>
      </c>
    </row>
    <row r="3153" spans="1:13" x14ac:dyDescent="0.3">
      <c r="A3153" t="s">
        <v>3183</v>
      </c>
      <c r="B3153" s="1">
        <v>45302</v>
      </c>
      <c r="C3153" t="s">
        <v>43</v>
      </c>
      <c r="D3153" t="s">
        <v>32</v>
      </c>
      <c r="E3153">
        <v>59</v>
      </c>
      <c r="F3153" t="s">
        <v>15</v>
      </c>
      <c r="G3153">
        <v>405.27</v>
      </c>
      <c r="H3153">
        <v>45</v>
      </c>
      <c r="I3153" t="s">
        <v>16</v>
      </c>
      <c r="J3153">
        <v>3.4</v>
      </c>
      <c r="K3153" t="s">
        <v>17</v>
      </c>
      <c r="L3153" t="s">
        <v>18</v>
      </c>
      <c r="M3153" t="str">
        <f>VLOOKUP(D3157,Restaurant_Master!A:B,2,FALSE)</f>
        <v>https://media-cdn.tripadvisor.com/media/photo-s/1c/c7/97/b6/photo6jpg.jpg</v>
      </c>
    </row>
    <row r="3154" spans="1:13" x14ac:dyDescent="0.3">
      <c r="A3154" t="s">
        <v>3184</v>
      </c>
      <c r="B3154" s="1">
        <v>45569</v>
      </c>
      <c r="C3154" t="s">
        <v>36</v>
      </c>
      <c r="D3154" t="s">
        <v>32</v>
      </c>
      <c r="E3154">
        <v>58</v>
      </c>
      <c r="F3154" t="s">
        <v>15</v>
      </c>
      <c r="G3154">
        <v>540.85</v>
      </c>
      <c r="H3154">
        <v>30</v>
      </c>
      <c r="I3154" t="s">
        <v>22</v>
      </c>
      <c r="J3154">
        <v>4.5999999999999996</v>
      </c>
      <c r="K3154" t="s">
        <v>41</v>
      </c>
      <c r="L3154" t="s">
        <v>18</v>
      </c>
      <c r="M3154" t="str">
        <f>VLOOKUP(D3158,Restaurant_Master!A:B,2,FALSE)</f>
        <v>https://www.chatswoodinterchange.com/storages/2018/08/Sushi-World_666x448.jpg</v>
      </c>
    </row>
    <row r="3155" spans="1:13" x14ac:dyDescent="0.3">
      <c r="A3155" t="s">
        <v>3185</v>
      </c>
      <c r="B3155" s="1">
        <v>45579</v>
      </c>
      <c r="C3155" t="s">
        <v>36</v>
      </c>
      <c r="D3155" t="s">
        <v>25</v>
      </c>
      <c r="E3155">
        <v>35</v>
      </c>
      <c r="F3155" t="s">
        <v>15</v>
      </c>
      <c r="G3155">
        <v>543.89</v>
      </c>
      <c r="H3155">
        <v>25</v>
      </c>
      <c r="I3155" t="s">
        <v>22</v>
      </c>
      <c r="J3155">
        <v>4.5999999999999996</v>
      </c>
      <c r="K3155" t="s">
        <v>17</v>
      </c>
      <c r="L3155" t="s">
        <v>18</v>
      </c>
      <c r="M3155" t="str">
        <f>VLOOKUP(D3159,Restaurant_Master!A:B,2,FALSE)</f>
        <v>https://dineout-media-assets.swiggy.com/swiggy/image/upload/fl_lossy,f_auto,q_auto/v1660793737/fdqxvxcxg1wtdwvyv45v.jpg</v>
      </c>
    </row>
    <row r="3156" spans="1:13" x14ac:dyDescent="0.3">
      <c r="A3156" t="s">
        <v>3186</v>
      </c>
      <c r="B3156" s="1">
        <v>45494</v>
      </c>
      <c r="C3156" t="s">
        <v>13</v>
      </c>
      <c r="D3156" t="s">
        <v>14</v>
      </c>
      <c r="E3156">
        <v>59</v>
      </c>
      <c r="F3156" t="s">
        <v>15</v>
      </c>
      <c r="G3156">
        <v>978.31</v>
      </c>
      <c r="H3156">
        <v>38</v>
      </c>
      <c r="I3156" t="s">
        <v>22</v>
      </c>
      <c r="J3156">
        <v>2.7</v>
      </c>
      <c r="K3156" t="s">
        <v>41</v>
      </c>
      <c r="L3156" t="s">
        <v>18</v>
      </c>
      <c r="M3156" t="str">
        <f>VLOOKUP(D3160,Restaurant_Master!A:B,2,FALSE)</f>
        <v>https://dineout-media-assets.swiggy.com/swiggy/image/upload/fl_lossy,f_auto,q_auto/v1660793737/fdqxvxcxg1wtdwvyv45v.jpg</v>
      </c>
    </row>
    <row r="3157" spans="1:13" x14ac:dyDescent="0.3">
      <c r="A3157" t="s">
        <v>3187</v>
      </c>
      <c r="B3157" s="1">
        <v>45623</v>
      </c>
      <c r="C3157" t="s">
        <v>20</v>
      </c>
      <c r="D3157" t="s">
        <v>25</v>
      </c>
      <c r="E3157">
        <v>52</v>
      </c>
      <c r="F3157" t="s">
        <v>28</v>
      </c>
      <c r="G3157">
        <v>642.59</v>
      </c>
      <c r="H3157">
        <v>26</v>
      </c>
      <c r="I3157" t="s">
        <v>22</v>
      </c>
      <c r="J3157">
        <v>2.7</v>
      </c>
      <c r="K3157" t="s">
        <v>41</v>
      </c>
      <c r="L3157" t="s">
        <v>23</v>
      </c>
      <c r="M3157" t="str">
        <f>VLOOKUP(D3161,Restaurant_Master!A:B,2,FALSE)</f>
        <v>https://dineout-media-assets.swiggy.com/swiggy/image/upload/fl_lossy,f_auto,q_auto/v1660793737/fdqxvxcxg1wtdwvyv45v.jpg</v>
      </c>
    </row>
    <row r="3158" spans="1:13" x14ac:dyDescent="0.3">
      <c r="A3158" t="s">
        <v>3188</v>
      </c>
      <c r="B3158" s="1">
        <v>45467</v>
      </c>
      <c r="C3158" t="s">
        <v>20</v>
      </c>
      <c r="D3158" t="s">
        <v>38</v>
      </c>
      <c r="E3158">
        <v>54</v>
      </c>
      <c r="F3158" t="s">
        <v>28</v>
      </c>
      <c r="G3158">
        <v>506.72</v>
      </c>
      <c r="H3158">
        <v>49</v>
      </c>
      <c r="I3158" t="s">
        <v>16</v>
      </c>
      <c r="J3158">
        <v>3.5</v>
      </c>
      <c r="K3158" t="s">
        <v>26</v>
      </c>
      <c r="L3158" t="s">
        <v>18</v>
      </c>
      <c r="M3158" t="str">
        <f>VLOOKUP(D3162,Restaurant_Master!A:B,2,FALSE)</f>
        <v>https://content.jdmagicbox.com/comp/deoria/g6/9999p5568.5568.200119143033.m4g6/catalogue/biryani-house-deoria-ho-deoria-mktc2xph0o.jpg</v>
      </c>
    </row>
    <row r="3159" spans="1:13" x14ac:dyDescent="0.3">
      <c r="A3159" t="s">
        <v>3189</v>
      </c>
      <c r="B3159" s="1">
        <v>45544</v>
      </c>
      <c r="C3159" t="s">
        <v>13</v>
      </c>
      <c r="D3159" t="s">
        <v>14</v>
      </c>
      <c r="E3159">
        <v>24</v>
      </c>
      <c r="F3159" t="s">
        <v>15</v>
      </c>
      <c r="G3159">
        <v>381.23</v>
      </c>
      <c r="H3159">
        <v>20</v>
      </c>
      <c r="I3159" t="s">
        <v>22</v>
      </c>
      <c r="J3159">
        <v>4.5</v>
      </c>
      <c r="K3159" t="s">
        <v>41</v>
      </c>
      <c r="L3159" t="s">
        <v>18</v>
      </c>
      <c r="M3159" t="str">
        <f>VLOOKUP(D3163,Restaurant_Master!A:B,2,FALSE)</f>
        <v>https://dineout-media-assets.swiggy.com/swiggy/image/upload/fl_lossy,f_auto,q_auto/v1660793737/fdqxvxcxg1wtdwvyv45v.jpg</v>
      </c>
    </row>
    <row r="3160" spans="1:13" x14ac:dyDescent="0.3">
      <c r="A3160" t="s">
        <v>3190</v>
      </c>
      <c r="B3160" s="1">
        <v>45359</v>
      </c>
      <c r="C3160" t="s">
        <v>43</v>
      </c>
      <c r="D3160" t="s">
        <v>14</v>
      </c>
      <c r="E3160">
        <v>26</v>
      </c>
      <c r="F3160" t="s">
        <v>15</v>
      </c>
      <c r="G3160">
        <v>1026.97</v>
      </c>
      <c r="H3160">
        <v>27</v>
      </c>
      <c r="I3160" t="s">
        <v>22</v>
      </c>
      <c r="J3160">
        <v>2.7</v>
      </c>
      <c r="K3160" t="s">
        <v>29</v>
      </c>
      <c r="L3160" t="s">
        <v>23</v>
      </c>
      <c r="M3160" t="str">
        <f>VLOOKUP(D3164,Restaurant_Master!A:B,2,FALSE)</f>
        <v>https://www.chatswoodinterchange.com/storages/2018/08/Sushi-World_666x448.jpg</v>
      </c>
    </row>
    <row r="3161" spans="1:13" x14ac:dyDescent="0.3">
      <c r="A3161" t="s">
        <v>3191</v>
      </c>
      <c r="B3161" s="1">
        <v>45591</v>
      </c>
      <c r="C3161" t="s">
        <v>43</v>
      </c>
      <c r="D3161" t="s">
        <v>14</v>
      </c>
      <c r="E3161">
        <v>22</v>
      </c>
      <c r="F3161" t="s">
        <v>15</v>
      </c>
      <c r="G3161">
        <v>650.08000000000004</v>
      </c>
      <c r="H3161">
        <v>36</v>
      </c>
      <c r="I3161" t="s">
        <v>22</v>
      </c>
      <c r="J3161">
        <v>4.7</v>
      </c>
      <c r="K3161" t="s">
        <v>41</v>
      </c>
      <c r="L3161" t="s">
        <v>18</v>
      </c>
      <c r="M3161" t="str">
        <f>VLOOKUP(D3165,Restaurant_Master!A:B,2,FALSE)</f>
        <v>https://media-cdn.tripadvisor.com/media/photo-s/1c/c7/97/b6/photo6jpg.jpg</v>
      </c>
    </row>
    <row r="3162" spans="1:13" x14ac:dyDescent="0.3">
      <c r="A3162" t="s">
        <v>3192</v>
      </c>
      <c r="B3162" s="1">
        <v>45332</v>
      </c>
      <c r="C3162" t="s">
        <v>36</v>
      </c>
      <c r="D3162" t="s">
        <v>32</v>
      </c>
      <c r="E3162">
        <v>29</v>
      </c>
      <c r="F3162" t="s">
        <v>15</v>
      </c>
      <c r="G3162">
        <v>216.6</v>
      </c>
      <c r="H3162">
        <v>33</v>
      </c>
      <c r="I3162" t="s">
        <v>22</v>
      </c>
      <c r="J3162">
        <v>2.6</v>
      </c>
      <c r="K3162" t="s">
        <v>29</v>
      </c>
      <c r="L3162" t="s">
        <v>23</v>
      </c>
      <c r="M3162" t="str">
        <f>VLOOKUP(D3166,Restaurant_Master!A:B,2,FALSE)</f>
        <v>https://content.jdmagicbox.com/comp/deoria/g6/9999p5568.5568.200119143033.m4g6/catalogue/biryani-house-deoria-ho-deoria-mktc2xph0o.jpg</v>
      </c>
    </row>
    <row r="3163" spans="1:13" x14ac:dyDescent="0.3">
      <c r="A3163" t="s">
        <v>3193</v>
      </c>
      <c r="B3163" s="1">
        <v>45485</v>
      </c>
      <c r="C3163" t="s">
        <v>13</v>
      </c>
      <c r="D3163" t="s">
        <v>14</v>
      </c>
      <c r="E3163">
        <v>59</v>
      </c>
      <c r="F3163" t="s">
        <v>28</v>
      </c>
      <c r="G3163">
        <v>291.14999999999998</v>
      </c>
      <c r="H3163">
        <v>59</v>
      </c>
      <c r="I3163" t="s">
        <v>16</v>
      </c>
      <c r="J3163">
        <v>3.6</v>
      </c>
      <c r="K3163" t="s">
        <v>26</v>
      </c>
      <c r="L3163" t="s">
        <v>23</v>
      </c>
      <c r="M3163" t="str">
        <f>VLOOKUP(D3167,Restaurant_Master!A:B,2,FALSE)</f>
        <v>https://dineout-media-assets.swiggy.com/swiggy/image/upload/fl_lossy,f_auto,q_auto/v1660793737/fdqxvxcxg1wtdwvyv45v.jpg</v>
      </c>
    </row>
    <row r="3164" spans="1:13" x14ac:dyDescent="0.3">
      <c r="A3164" t="s">
        <v>3194</v>
      </c>
      <c r="B3164" s="1">
        <v>45562</v>
      </c>
      <c r="C3164" t="s">
        <v>36</v>
      </c>
      <c r="D3164" t="s">
        <v>38</v>
      </c>
      <c r="E3164">
        <v>57</v>
      </c>
      <c r="F3164" t="s">
        <v>28</v>
      </c>
      <c r="G3164">
        <v>990.04</v>
      </c>
      <c r="H3164">
        <v>58</v>
      </c>
      <c r="I3164" t="s">
        <v>16</v>
      </c>
      <c r="J3164">
        <v>4.3</v>
      </c>
      <c r="K3164" t="s">
        <v>26</v>
      </c>
      <c r="L3164" t="s">
        <v>18</v>
      </c>
      <c r="M3164" t="str">
        <f>VLOOKUP(D3168,Restaurant_Master!A:B,2,FALSE)</f>
        <v>https://dineout-media-assets.swiggy.com/swiggy/image/upload/fl_lossy,f_auto,q_auto/v1660793737/fdqxvxcxg1wtdwvyv45v.jpg</v>
      </c>
    </row>
    <row r="3165" spans="1:13" x14ac:dyDescent="0.3">
      <c r="A3165" t="s">
        <v>3195</v>
      </c>
      <c r="B3165" s="1">
        <v>45528</v>
      </c>
      <c r="C3165" t="s">
        <v>20</v>
      </c>
      <c r="D3165" t="s">
        <v>25</v>
      </c>
      <c r="E3165">
        <v>60</v>
      </c>
      <c r="F3165" t="s">
        <v>28</v>
      </c>
      <c r="G3165">
        <v>1155.51</v>
      </c>
      <c r="H3165">
        <v>60</v>
      </c>
      <c r="I3165" t="s">
        <v>16</v>
      </c>
      <c r="J3165">
        <v>3.4</v>
      </c>
      <c r="K3165" t="s">
        <v>26</v>
      </c>
      <c r="L3165" t="s">
        <v>18</v>
      </c>
      <c r="M3165" t="str">
        <f>VLOOKUP(D3169,Restaurant_Master!A:B,2,FALSE)</f>
        <v>https://dineout-media-assets.swiggy.com/swiggy/image/upload/fl_lossy,f_auto,q_auto/v1660793737/fdqxvxcxg1wtdwvyv45v.jpg</v>
      </c>
    </row>
    <row r="3166" spans="1:13" x14ac:dyDescent="0.3">
      <c r="A3166" t="s">
        <v>3196</v>
      </c>
      <c r="B3166" s="1">
        <v>45430</v>
      </c>
      <c r="C3166" t="s">
        <v>20</v>
      </c>
      <c r="D3166" t="s">
        <v>32</v>
      </c>
      <c r="E3166">
        <v>48</v>
      </c>
      <c r="F3166" t="s">
        <v>28</v>
      </c>
      <c r="G3166">
        <v>1014.28</v>
      </c>
      <c r="H3166">
        <v>53</v>
      </c>
      <c r="I3166" t="s">
        <v>16</v>
      </c>
      <c r="J3166">
        <v>4</v>
      </c>
      <c r="K3166" t="s">
        <v>41</v>
      </c>
      <c r="L3166" t="s">
        <v>18</v>
      </c>
      <c r="M3166" t="str">
        <f>VLOOKUP(D3170,Restaurant_Master!A:B,2,FALSE)</f>
        <v>https://dynamic-media-cdn.tripadvisor.com/media/photo-o/1c/e7/04/0d/front-of-the-local-easily.jpg</v>
      </c>
    </row>
    <row r="3167" spans="1:13" x14ac:dyDescent="0.3">
      <c r="A3167" t="s">
        <v>3197</v>
      </c>
      <c r="B3167" s="1">
        <v>45535</v>
      </c>
      <c r="C3167" t="s">
        <v>34</v>
      </c>
      <c r="D3167" t="s">
        <v>14</v>
      </c>
      <c r="E3167">
        <v>50</v>
      </c>
      <c r="F3167" t="s">
        <v>15</v>
      </c>
      <c r="G3167">
        <v>848.19</v>
      </c>
      <c r="H3167">
        <v>55</v>
      </c>
      <c r="I3167" t="s">
        <v>16</v>
      </c>
      <c r="J3167">
        <v>3.9</v>
      </c>
      <c r="K3167" t="s">
        <v>26</v>
      </c>
      <c r="L3167" t="s">
        <v>18</v>
      </c>
      <c r="M3167" t="str">
        <f>VLOOKUP(D3171,Restaurant_Master!A:B,2,FALSE)</f>
        <v>https://dynamic-media-cdn.tripadvisor.com/media/photo-o/1c/e7/04/0d/front-of-the-local-easily.jpg</v>
      </c>
    </row>
    <row r="3168" spans="1:13" x14ac:dyDescent="0.3">
      <c r="A3168" t="s">
        <v>3198</v>
      </c>
      <c r="B3168" s="1">
        <v>45479</v>
      </c>
      <c r="C3168" t="s">
        <v>36</v>
      </c>
      <c r="D3168" t="s">
        <v>14</v>
      </c>
      <c r="E3168">
        <v>57</v>
      </c>
      <c r="F3168" t="s">
        <v>28</v>
      </c>
      <c r="G3168">
        <v>783.36</v>
      </c>
      <c r="H3168">
        <v>60</v>
      </c>
      <c r="I3168" t="s">
        <v>16</v>
      </c>
      <c r="J3168">
        <v>4</v>
      </c>
      <c r="K3168" t="s">
        <v>17</v>
      </c>
      <c r="L3168" t="s">
        <v>23</v>
      </c>
      <c r="M3168" t="str">
        <f>VLOOKUP(D3172,Restaurant_Master!A:B,2,FALSE)</f>
        <v>https://www.chatswoodinterchange.com/storages/2018/08/Sushi-World_666x448.jpg</v>
      </c>
    </row>
    <row r="3169" spans="1:13" x14ac:dyDescent="0.3">
      <c r="A3169" t="s">
        <v>3199</v>
      </c>
      <c r="B3169" s="1">
        <v>45440</v>
      </c>
      <c r="C3169" t="s">
        <v>36</v>
      </c>
      <c r="D3169" t="s">
        <v>14</v>
      </c>
      <c r="E3169">
        <v>23</v>
      </c>
      <c r="F3169" t="s">
        <v>28</v>
      </c>
      <c r="G3169">
        <v>1114.04</v>
      </c>
      <c r="H3169">
        <v>28</v>
      </c>
      <c r="I3169" t="s">
        <v>22</v>
      </c>
      <c r="J3169">
        <v>3.2</v>
      </c>
      <c r="K3169" t="s">
        <v>41</v>
      </c>
      <c r="L3169" t="s">
        <v>18</v>
      </c>
      <c r="M3169" t="str">
        <f>VLOOKUP(D3173,Restaurant_Master!A:B,2,FALSE)</f>
        <v>https://www.chatswoodinterchange.com/storages/2018/08/Sushi-World_666x448.jpg</v>
      </c>
    </row>
    <row r="3170" spans="1:13" x14ac:dyDescent="0.3">
      <c r="A3170" t="s">
        <v>3200</v>
      </c>
      <c r="B3170" s="1">
        <v>45609</v>
      </c>
      <c r="C3170" t="s">
        <v>36</v>
      </c>
      <c r="D3170" t="s">
        <v>21</v>
      </c>
      <c r="E3170">
        <v>30</v>
      </c>
      <c r="F3170" t="s">
        <v>15</v>
      </c>
      <c r="G3170">
        <v>990.57</v>
      </c>
      <c r="H3170">
        <v>27</v>
      </c>
      <c r="I3170" t="s">
        <v>22</v>
      </c>
      <c r="J3170">
        <v>3.1</v>
      </c>
      <c r="K3170" t="s">
        <v>41</v>
      </c>
      <c r="L3170" t="s">
        <v>23</v>
      </c>
      <c r="M3170" t="str">
        <f>VLOOKUP(D3174,Restaurant_Master!A:B,2,FALSE)</f>
        <v>https://media-cdn.tripadvisor.com/media/photo-s/1c/c7/97/b6/photo6jpg.jpg</v>
      </c>
    </row>
    <row r="3171" spans="1:13" x14ac:dyDescent="0.3">
      <c r="A3171" t="s">
        <v>3201</v>
      </c>
      <c r="B3171" s="1">
        <v>45339</v>
      </c>
      <c r="C3171" t="s">
        <v>43</v>
      </c>
      <c r="D3171" t="s">
        <v>21</v>
      </c>
      <c r="E3171">
        <v>22</v>
      </c>
      <c r="F3171" t="s">
        <v>15</v>
      </c>
      <c r="G3171">
        <v>698.46</v>
      </c>
      <c r="H3171">
        <v>36</v>
      </c>
      <c r="I3171" t="s">
        <v>22</v>
      </c>
      <c r="J3171">
        <v>4.7</v>
      </c>
      <c r="K3171" t="s">
        <v>17</v>
      </c>
      <c r="L3171" t="s">
        <v>23</v>
      </c>
      <c r="M3171" t="str">
        <f>VLOOKUP(D3175,Restaurant_Master!A:B,2,FALSE)</f>
        <v>https://media-cdn.tripadvisor.com/media/photo-s/1c/c7/97/b6/photo6jpg.jpg</v>
      </c>
    </row>
    <row r="3172" spans="1:13" x14ac:dyDescent="0.3">
      <c r="A3172" t="s">
        <v>3202</v>
      </c>
      <c r="B3172" s="1">
        <v>45508</v>
      </c>
      <c r="C3172" t="s">
        <v>34</v>
      </c>
      <c r="D3172" t="s">
        <v>38</v>
      </c>
      <c r="E3172">
        <v>53</v>
      </c>
      <c r="F3172" t="s">
        <v>15</v>
      </c>
      <c r="G3172">
        <v>698.5</v>
      </c>
      <c r="H3172">
        <v>39</v>
      </c>
      <c r="I3172" t="s">
        <v>22</v>
      </c>
      <c r="J3172">
        <v>4.7</v>
      </c>
      <c r="K3172" t="s">
        <v>26</v>
      </c>
      <c r="L3172" t="s">
        <v>18</v>
      </c>
      <c r="M3172" t="str">
        <f>VLOOKUP(D3176,Restaurant_Master!A:B,2,FALSE)</f>
        <v>https://media-cdn.tripadvisor.com/media/photo-s/1c/c7/97/b6/photo6jpg.jpg</v>
      </c>
    </row>
    <row r="3173" spans="1:13" x14ac:dyDescent="0.3">
      <c r="A3173" t="s">
        <v>3203</v>
      </c>
      <c r="B3173" s="1">
        <v>45540</v>
      </c>
      <c r="C3173" t="s">
        <v>20</v>
      </c>
      <c r="D3173" t="s">
        <v>38</v>
      </c>
      <c r="E3173">
        <v>32</v>
      </c>
      <c r="F3173" t="s">
        <v>15</v>
      </c>
      <c r="G3173">
        <v>1075.4100000000001</v>
      </c>
      <c r="H3173">
        <v>44</v>
      </c>
      <c r="I3173" t="s">
        <v>16</v>
      </c>
      <c r="J3173">
        <v>3.5</v>
      </c>
      <c r="K3173" t="s">
        <v>17</v>
      </c>
      <c r="L3173" t="s">
        <v>18</v>
      </c>
      <c r="M3173" t="str">
        <f>VLOOKUP(D3177,Restaurant_Master!A:B,2,FALSE)</f>
        <v>https://media-cdn.tripadvisor.com/media/photo-s/1c/c7/97/b6/photo6jpg.jpg</v>
      </c>
    </row>
    <row r="3174" spans="1:13" x14ac:dyDescent="0.3">
      <c r="A3174" t="s">
        <v>3204</v>
      </c>
      <c r="B3174" s="1">
        <v>45596</v>
      </c>
      <c r="C3174" t="s">
        <v>20</v>
      </c>
      <c r="D3174" t="s">
        <v>25</v>
      </c>
      <c r="E3174">
        <v>57</v>
      </c>
      <c r="F3174" t="s">
        <v>15</v>
      </c>
      <c r="G3174">
        <v>429.3</v>
      </c>
      <c r="H3174">
        <v>42</v>
      </c>
      <c r="I3174" t="s">
        <v>16</v>
      </c>
      <c r="J3174">
        <v>2.6</v>
      </c>
      <c r="K3174" t="s">
        <v>17</v>
      </c>
      <c r="L3174" t="s">
        <v>23</v>
      </c>
      <c r="M3174" t="str">
        <f>VLOOKUP(D3178,Restaurant_Master!A:B,2,FALSE)</f>
        <v>https://dineout-media-assets.swiggy.com/swiggy/image/upload/fl_lossy,f_auto,q_auto/v1660793737/fdqxvxcxg1wtdwvyv45v.jpg</v>
      </c>
    </row>
    <row r="3175" spans="1:13" x14ac:dyDescent="0.3">
      <c r="A3175" t="s">
        <v>3205</v>
      </c>
      <c r="B3175" s="1">
        <v>45447</v>
      </c>
      <c r="C3175" t="s">
        <v>20</v>
      </c>
      <c r="D3175" t="s">
        <v>25</v>
      </c>
      <c r="E3175">
        <v>31</v>
      </c>
      <c r="F3175" t="s">
        <v>15</v>
      </c>
      <c r="G3175">
        <v>682.05</v>
      </c>
      <c r="H3175">
        <v>55</v>
      </c>
      <c r="I3175" t="s">
        <v>16</v>
      </c>
      <c r="J3175">
        <v>3</v>
      </c>
      <c r="K3175" t="s">
        <v>29</v>
      </c>
      <c r="L3175" t="s">
        <v>23</v>
      </c>
      <c r="M3175" t="str">
        <f>VLOOKUP(D3179,Restaurant_Master!A:B,2,FALSE)</f>
        <v>https://dynamic-media-cdn.tripadvisor.com/media/photo-o/1c/e7/04/0d/front-of-the-local-easily.jpg</v>
      </c>
    </row>
    <row r="3176" spans="1:13" x14ac:dyDescent="0.3">
      <c r="A3176" t="s">
        <v>3206</v>
      </c>
      <c r="B3176" s="1">
        <v>45439</v>
      </c>
      <c r="C3176" t="s">
        <v>20</v>
      </c>
      <c r="D3176" t="s">
        <v>25</v>
      </c>
      <c r="E3176">
        <v>24</v>
      </c>
      <c r="F3176" t="s">
        <v>15</v>
      </c>
      <c r="G3176">
        <v>1135.1400000000001</v>
      </c>
      <c r="H3176">
        <v>55</v>
      </c>
      <c r="I3176" t="s">
        <v>16</v>
      </c>
      <c r="J3176">
        <v>4.3</v>
      </c>
      <c r="K3176" t="s">
        <v>26</v>
      </c>
      <c r="L3176" t="s">
        <v>23</v>
      </c>
      <c r="M3176" t="str">
        <f>VLOOKUP(D3180,Restaurant_Master!A:B,2,FALSE)</f>
        <v>https://content.jdmagicbox.com/comp/deoria/g6/9999p5568.5568.200119143033.m4g6/catalogue/biryani-house-deoria-ho-deoria-mktc2xph0o.jpg</v>
      </c>
    </row>
    <row r="3177" spans="1:13" x14ac:dyDescent="0.3">
      <c r="A3177" t="s">
        <v>3207</v>
      </c>
      <c r="B3177" s="1">
        <v>45521</v>
      </c>
      <c r="C3177" t="s">
        <v>20</v>
      </c>
      <c r="D3177" t="s">
        <v>25</v>
      </c>
      <c r="E3177">
        <v>58</v>
      </c>
      <c r="F3177" t="s">
        <v>15</v>
      </c>
      <c r="G3177">
        <v>948.93</v>
      </c>
      <c r="H3177">
        <v>20</v>
      </c>
      <c r="I3177" t="s">
        <v>22</v>
      </c>
      <c r="J3177">
        <v>2.7</v>
      </c>
      <c r="K3177" t="s">
        <v>41</v>
      </c>
      <c r="L3177" t="s">
        <v>23</v>
      </c>
      <c r="M3177" t="str">
        <f>VLOOKUP(D3181,Restaurant_Master!A:B,2,FALSE)</f>
        <v>https://content.jdmagicbox.com/comp/deoria/g6/9999p5568.5568.200119143033.m4g6/catalogue/biryani-house-deoria-ho-deoria-mktc2xph0o.jpg</v>
      </c>
    </row>
    <row r="3178" spans="1:13" x14ac:dyDescent="0.3">
      <c r="A3178" t="s">
        <v>3208</v>
      </c>
      <c r="B3178" s="1">
        <v>45487</v>
      </c>
      <c r="C3178" t="s">
        <v>43</v>
      </c>
      <c r="D3178" t="s">
        <v>14</v>
      </c>
      <c r="E3178">
        <v>60</v>
      </c>
      <c r="F3178" t="s">
        <v>28</v>
      </c>
      <c r="G3178">
        <v>744.06</v>
      </c>
      <c r="H3178">
        <v>34</v>
      </c>
      <c r="I3178" t="s">
        <v>22</v>
      </c>
      <c r="J3178">
        <v>2.6</v>
      </c>
      <c r="K3178" t="s">
        <v>17</v>
      </c>
      <c r="L3178" t="s">
        <v>18</v>
      </c>
      <c r="M3178" t="str">
        <f>VLOOKUP(D3182,Restaurant_Master!A:B,2,FALSE)</f>
        <v>https://media-cdn.tripadvisor.com/media/photo-s/1c/c7/97/b6/photo6jpg.jpg</v>
      </c>
    </row>
    <row r="3179" spans="1:13" x14ac:dyDescent="0.3">
      <c r="A3179" t="s">
        <v>3209</v>
      </c>
      <c r="B3179" s="1">
        <v>45625</v>
      </c>
      <c r="C3179" t="s">
        <v>34</v>
      </c>
      <c r="D3179" t="s">
        <v>21</v>
      </c>
      <c r="E3179">
        <v>37</v>
      </c>
      <c r="F3179" t="s">
        <v>15</v>
      </c>
      <c r="G3179">
        <v>200.76</v>
      </c>
      <c r="H3179">
        <v>28</v>
      </c>
      <c r="I3179" t="s">
        <v>22</v>
      </c>
      <c r="J3179">
        <v>4.8</v>
      </c>
      <c r="K3179" t="s">
        <v>29</v>
      </c>
      <c r="L3179" t="s">
        <v>23</v>
      </c>
      <c r="M3179" t="str">
        <f>VLOOKUP(D3183,Restaurant_Master!A:B,2,FALSE)</f>
        <v>https://dineout-media-assets.swiggy.com/swiggy/image/upload/fl_lossy,f_auto,q_auto/v1660793737/fdqxvxcxg1wtdwvyv45v.jpg</v>
      </c>
    </row>
    <row r="3180" spans="1:13" x14ac:dyDescent="0.3">
      <c r="A3180" t="s">
        <v>3210</v>
      </c>
      <c r="B3180" s="1">
        <v>45570</v>
      </c>
      <c r="C3180" t="s">
        <v>36</v>
      </c>
      <c r="D3180" t="s">
        <v>32</v>
      </c>
      <c r="E3180">
        <v>40</v>
      </c>
      <c r="F3180" t="s">
        <v>28</v>
      </c>
      <c r="G3180">
        <v>441.01</v>
      </c>
      <c r="H3180">
        <v>25</v>
      </c>
      <c r="I3180" t="s">
        <v>22</v>
      </c>
      <c r="J3180">
        <v>3.9</v>
      </c>
      <c r="K3180" t="s">
        <v>41</v>
      </c>
      <c r="L3180" t="s">
        <v>23</v>
      </c>
      <c r="M3180" t="str">
        <f>VLOOKUP(D3184,Restaurant_Master!A:B,2,FALSE)</f>
        <v>https://dynamic-media-cdn.tripadvisor.com/media/photo-o/1c/e7/04/0d/front-of-the-local-easily.jpg</v>
      </c>
    </row>
    <row r="3181" spans="1:13" x14ac:dyDescent="0.3">
      <c r="A3181" t="s">
        <v>3211</v>
      </c>
      <c r="B3181" s="1">
        <v>45389</v>
      </c>
      <c r="C3181" t="s">
        <v>20</v>
      </c>
      <c r="D3181" t="s">
        <v>32</v>
      </c>
      <c r="E3181">
        <v>46</v>
      </c>
      <c r="F3181" t="s">
        <v>15</v>
      </c>
      <c r="G3181">
        <v>840.92</v>
      </c>
      <c r="H3181">
        <v>58</v>
      </c>
      <c r="I3181" t="s">
        <v>16</v>
      </c>
      <c r="J3181">
        <v>3.4</v>
      </c>
      <c r="K3181" t="s">
        <v>26</v>
      </c>
      <c r="L3181" t="s">
        <v>18</v>
      </c>
      <c r="M3181" t="str">
        <f>VLOOKUP(D3185,Restaurant_Master!A:B,2,FALSE)</f>
        <v>https://www.chatswoodinterchange.com/storages/2018/08/Sushi-World_666x448.jpg</v>
      </c>
    </row>
    <row r="3182" spans="1:13" x14ac:dyDescent="0.3">
      <c r="A3182" t="s">
        <v>3212</v>
      </c>
      <c r="B3182" s="1">
        <v>45332</v>
      </c>
      <c r="C3182" t="s">
        <v>34</v>
      </c>
      <c r="D3182" t="s">
        <v>25</v>
      </c>
      <c r="E3182">
        <v>49</v>
      </c>
      <c r="F3182" t="s">
        <v>28</v>
      </c>
      <c r="G3182">
        <v>169.71</v>
      </c>
      <c r="H3182">
        <v>24</v>
      </c>
      <c r="I3182" t="s">
        <v>22</v>
      </c>
      <c r="J3182">
        <v>3.8</v>
      </c>
      <c r="K3182" t="s">
        <v>29</v>
      </c>
      <c r="L3182" t="s">
        <v>23</v>
      </c>
      <c r="M3182" t="str">
        <f>VLOOKUP(D3186,Restaurant_Master!A:B,2,FALSE)</f>
        <v>https://www.chatswoodinterchange.com/storages/2018/08/Sushi-World_666x448.jpg</v>
      </c>
    </row>
    <row r="3183" spans="1:13" x14ac:dyDescent="0.3">
      <c r="A3183" t="s">
        <v>3213</v>
      </c>
      <c r="B3183" s="1">
        <v>45324</v>
      </c>
      <c r="C3183" t="s">
        <v>36</v>
      </c>
      <c r="D3183" t="s">
        <v>14</v>
      </c>
      <c r="E3183">
        <v>22</v>
      </c>
      <c r="F3183" t="s">
        <v>28</v>
      </c>
      <c r="G3183">
        <v>787.62</v>
      </c>
      <c r="H3183">
        <v>44</v>
      </c>
      <c r="I3183" t="s">
        <v>16</v>
      </c>
      <c r="J3183">
        <v>4.2</v>
      </c>
      <c r="K3183" t="s">
        <v>29</v>
      </c>
      <c r="L3183" t="s">
        <v>18</v>
      </c>
      <c r="M3183" t="str">
        <f>VLOOKUP(D3187,Restaurant_Master!A:B,2,FALSE)</f>
        <v>https://content.jdmagicbox.com/comp/deoria/g6/9999p5568.5568.200119143033.m4g6/catalogue/biryani-house-deoria-ho-deoria-mktc2xph0o.jpg</v>
      </c>
    </row>
    <row r="3184" spans="1:13" x14ac:dyDescent="0.3">
      <c r="A3184" t="s">
        <v>3214</v>
      </c>
      <c r="B3184" s="1">
        <v>45479</v>
      </c>
      <c r="C3184" t="s">
        <v>34</v>
      </c>
      <c r="D3184" t="s">
        <v>21</v>
      </c>
      <c r="E3184">
        <v>29</v>
      </c>
      <c r="F3184" t="s">
        <v>15</v>
      </c>
      <c r="G3184">
        <v>376.54</v>
      </c>
      <c r="H3184">
        <v>38</v>
      </c>
      <c r="I3184" t="s">
        <v>22</v>
      </c>
      <c r="J3184">
        <v>2.9</v>
      </c>
      <c r="K3184" t="s">
        <v>26</v>
      </c>
      <c r="L3184" t="s">
        <v>18</v>
      </c>
      <c r="M3184" t="str">
        <f>VLOOKUP(D3188,Restaurant_Master!A:B,2,FALSE)</f>
        <v>https://media-cdn.tripadvisor.com/media/photo-s/1c/c7/97/b6/photo6jpg.jpg</v>
      </c>
    </row>
    <row r="3185" spans="1:13" x14ac:dyDescent="0.3">
      <c r="A3185" t="s">
        <v>3215</v>
      </c>
      <c r="B3185" s="1">
        <v>45551</v>
      </c>
      <c r="C3185" t="s">
        <v>34</v>
      </c>
      <c r="D3185" t="s">
        <v>38</v>
      </c>
      <c r="E3185">
        <v>54</v>
      </c>
      <c r="F3185" t="s">
        <v>15</v>
      </c>
      <c r="G3185">
        <v>228.34</v>
      </c>
      <c r="H3185">
        <v>29</v>
      </c>
      <c r="I3185" t="s">
        <v>22</v>
      </c>
      <c r="J3185">
        <v>3.3</v>
      </c>
      <c r="K3185" t="s">
        <v>29</v>
      </c>
      <c r="L3185" t="s">
        <v>23</v>
      </c>
      <c r="M3185" t="str">
        <f>VLOOKUP(D3189,Restaurant_Master!A:B,2,FALSE)</f>
        <v>https://dynamic-media-cdn.tripadvisor.com/media/photo-o/1c/e7/04/0d/front-of-the-local-easily.jpg</v>
      </c>
    </row>
    <row r="3186" spans="1:13" x14ac:dyDescent="0.3">
      <c r="A3186" t="s">
        <v>3216</v>
      </c>
      <c r="B3186" s="1">
        <v>45294</v>
      </c>
      <c r="C3186" t="s">
        <v>20</v>
      </c>
      <c r="D3186" t="s">
        <v>38</v>
      </c>
      <c r="E3186">
        <v>44</v>
      </c>
      <c r="F3186" t="s">
        <v>28</v>
      </c>
      <c r="G3186">
        <v>396.68</v>
      </c>
      <c r="H3186">
        <v>39</v>
      </c>
      <c r="I3186" t="s">
        <v>22</v>
      </c>
      <c r="J3186">
        <v>3.6</v>
      </c>
      <c r="K3186" t="s">
        <v>17</v>
      </c>
      <c r="L3186" t="s">
        <v>18</v>
      </c>
      <c r="M3186" t="str">
        <f>VLOOKUP(D3190,Restaurant_Master!A:B,2,FALSE)</f>
        <v>https://www.chatswoodinterchange.com/storages/2018/08/Sushi-World_666x448.jpg</v>
      </c>
    </row>
    <row r="3187" spans="1:13" x14ac:dyDescent="0.3">
      <c r="A3187" t="s">
        <v>3217</v>
      </c>
      <c r="B3187" s="1">
        <v>45655</v>
      </c>
      <c r="C3187" t="s">
        <v>36</v>
      </c>
      <c r="D3187" t="s">
        <v>32</v>
      </c>
      <c r="E3187">
        <v>23</v>
      </c>
      <c r="F3187" t="s">
        <v>15</v>
      </c>
      <c r="G3187">
        <v>705.31</v>
      </c>
      <c r="H3187">
        <v>38</v>
      </c>
      <c r="I3187" t="s">
        <v>22</v>
      </c>
      <c r="J3187">
        <v>4.9000000000000004</v>
      </c>
      <c r="K3187" t="s">
        <v>17</v>
      </c>
      <c r="L3187" t="s">
        <v>18</v>
      </c>
      <c r="M3187" t="str">
        <f>VLOOKUP(D3191,Restaurant_Master!A:B,2,FALSE)</f>
        <v>https://dynamic-media-cdn.tripadvisor.com/media/photo-o/1c/e7/04/0d/front-of-the-local-easily.jpg</v>
      </c>
    </row>
    <row r="3188" spans="1:13" x14ac:dyDescent="0.3">
      <c r="A3188" t="s">
        <v>3218</v>
      </c>
      <c r="B3188" s="1">
        <v>45484</v>
      </c>
      <c r="C3188" t="s">
        <v>36</v>
      </c>
      <c r="D3188" t="s">
        <v>25</v>
      </c>
      <c r="E3188">
        <v>51</v>
      </c>
      <c r="F3188" t="s">
        <v>28</v>
      </c>
      <c r="G3188">
        <v>219.44</v>
      </c>
      <c r="H3188">
        <v>29</v>
      </c>
      <c r="I3188" t="s">
        <v>22</v>
      </c>
      <c r="J3188">
        <v>3.1</v>
      </c>
      <c r="K3188" t="s">
        <v>17</v>
      </c>
      <c r="L3188" t="s">
        <v>23</v>
      </c>
      <c r="M3188" t="str">
        <f>VLOOKUP(D3192,Restaurant_Master!A:B,2,FALSE)</f>
        <v>https://media-cdn.tripadvisor.com/media/photo-s/1c/c7/97/b6/photo6jpg.jpg</v>
      </c>
    </row>
    <row r="3189" spans="1:13" x14ac:dyDescent="0.3">
      <c r="A3189" t="s">
        <v>3219</v>
      </c>
      <c r="B3189" s="1">
        <v>45634</v>
      </c>
      <c r="C3189" t="s">
        <v>36</v>
      </c>
      <c r="D3189" t="s">
        <v>21</v>
      </c>
      <c r="E3189">
        <v>46</v>
      </c>
      <c r="F3189" t="s">
        <v>15</v>
      </c>
      <c r="G3189">
        <v>292.19</v>
      </c>
      <c r="H3189">
        <v>30</v>
      </c>
      <c r="I3189" t="s">
        <v>22</v>
      </c>
      <c r="J3189">
        <v>3.1</v>
      </c>
      <c r="K3189" t="s">
        <v>26</v>
      </c>
      <c r="L3189" t="s">
        <v>18</v>
      </c>
      <c r="M3189" t="str">
        <f>VLOOKUP(D3193,Restaurant_Master!A:B,2,FALSE)</f>
        <v>https://content.jdmagicbox.com/comp/deoria/g6/9999p5568.5568.200119143033.m4g6/catalogue/biryani-house-deoria-ho-deoria-mktc2xph0o.jpg</v>
      </c>
    </row>
    <row r="3190" spans="1:13" x14ac:dyDescent="0.3">
      <c r="A3190" t="s">
        <v>3220</v>
      </c>
      <c r="B3190" s="1">
        <v>45644</v>
      </c>
      <c r="C3190" t="s">
        <v>36</v>
      </c>
      <c r="D3190" t="s">
        <v>38</v>
      </c>
      <c r="E3190">
        <v>37</v>
      </c>
      <c r="F3190" t="s">
        <v>28</v>
      </c>
      <c r="G3190">
        <v>243.33</v>
      </c>
      <c r="H3190">
        <v>42</v>
      </c>
      <c r="I3190" t="s">
        <v>16</v>
      </c>
      <c r="J3190">
        <v>4.7</v>
      </c>
      <c r="K3190" t="s">
        <v>26</v>
      </c>
      <c r="L3190" t="s">
        <v>18</v>
      </c>
      <c r="M3190" t="str">
        <f>VLOOKUP(D3194,Restaurant_Master!A:B,2,FALSE)</f>
        <v>https://dineout-media-assets.swiggy.com/swiggy/image/upload/fl_lossy,f_auto,q_auto/v1660793737/fdqxvxcxg1wtdwvyv45v.jpg</v>
      </c>
    </row>
    <row r="3191" spans="1:13" x14ac:dyDescent="0.3">
      <c r="A3191" t="s">
        <v>3221</v>
      </c>
      <c r="B3191" s="1">
        <v>45497</v>
      </c>
      <c r="C3191" t="s">
        <v>34</v>
      </c>
      <c r="D3191" t="s">
        <v>21</v>
      </c>
      <c r="E3191">
        <v>55</v>
      </c>
      <c r="F3191" t="s">
        <v>28</v>
      </c>
      <c r="G3191">
        <v>210.47</v>
      </c>
      <c r="H3191">
        <v>44</v>
      </c>
      <c r="I3191" t="s">
        <v>16</v>
      </c>
      <c r="J3191">
        <v>4.8</v>
      </c>
      <c r="K3191" t="s">
        <v>29</v>
      </c>
      <c r="L3191" t="s">
        <v>18</v>
      </c>
      <c r="M3191" t="str">
        <f>VLOOKUP(D3195,Restaurant_Master!A:B,2,FALSE)</f>
        <v>https://content.jdmagicbox.com/comp/deoria/g6/9999p5568.5568.200119143033.m4g6/catalogue/biryani-house-deoria-ho-deoria-mktc2xph0o.jpg</v>
      </c>
    </row>
    <row r="3192" spans="1:13" x14ac:dyDescent="0.3">
      <c r="A3192" t="s">
        <v>3222</v>
      </c>
      <c r="B3192" s="1">
        <v>45376</v>
      </c>
      <c r="C3192" t="s">
        <v>20</v>
      </c>
      <c r="D3192" t="s">
        <v>25</v>
      </c>
      <c r="E3192">
        <v>48</v>
      </c>
      <c r="F3192" t="s">
        <v>15</v>
      </c>
      <c r="G3192">
        <v>522.61</v>
      </c>
      <c r="H3192">
        <v>57</v>
      </c>
      <c r="I3192" t="s">
        <v>16</v>
      </c>
      <c r="J3192">
        <v>3.4</v>
      </c>
      <c r="K3192" t="s">
        <v>29</v>
      </c>
      <c r="L3192" t="s">
        <v>23</v>
      </c>
      <c r="M3192" t="str">
        <f>VLOOKUP(D3196,Restaurant_Master!A:B,2,FALSE)</f>
        <v>https://dineout-media-assets.swiggy.com/swiggy/image/upload/fl_lossy,f_auto,q_auto/v1660793737/fdqxvxcxg1wtdwvyv45v.jpg</v>
      </c>
    </row>
    <row r="3193" spans="1:13" x14ac:dyDescent="0.3">
      <c r="A3193" t="s">
        <v>3223</v>
      </c>
      <c r="B3193" s="1">
        <v>45596</v>
      </c>
      <c r="C3193" t="s">
        <v>34</v>
      </c>
      <c r="D3193" t="s">
        <v>32</v>
      </c>
      <c r="E3193">
        <v>51</v>
      </c>
      <c r="F3193" t="s">
        <v>15</v>
      </c>
      <c r="G3193">
        <v>237.92</v>
      </c>
      <c r="H3193">
        <v>33</v>
      </c>
      <c r="I3193" t="s">
        <v>22</v>
      </c>
      <c r="J3193">
        <v>3.2</v>
      </c>
      <c r="K3193" t="s">
        <v>17</v>
      </c>
      <c r="L3193" t="s">
        <v>18</v>
      </c>
      <c r="M3193" t="str">
        <f>VLOOKUP(D3197,Restaurant_Master!A:B,2,FALSE)</f>
        <v>https://www.chatswoodinterchange.com/storages/2018/08/Sushi-World_666x448.jpg</v>
      </c>
    </row>
    <row r="3194" spans="1:13" x14ac:dyDescent="0.3">
      <c r="A3194" t="s">
        <v>3224</v>
      </c>
      <c r="B3194" s="1">
        <v>45527</v>
      </c>
      <c r="C3194" t="s">
        <v>13</v>
      </c>
      <c r="D3194" t="s">
        <v>14</v>
      </c>
      <c r="E3194">
        <v>46</v>
      </c>
      <c r="F3194" t="s">
        <v>15</v>
      </c>
      <c r="G3194">
        <v>503.63</v>
      </c>
      <c r="H3194">
        <v>31</v>
      </c>
      <c r="I3194" t="s">
        <v>22</v>
      </c>
      <c r="J3194">
        <v>4</v>
      </c>
      <c r="K3194" t="s">
        <v>41</v>
      </c>
      <c r="L3194" t="s">
        <v>18</v>
      </c>
      <c r="M3194" t="str">
        <f>VLOOKUP(D3198,Restaurant_Master!A:B,2,FALSE)</f>
        <v>https://content.jdmagicbox.com/comp/deoria/g6/9999p5568.5568.200119143033.m4g6/catalogue/biryani-house-deoria-ho-deoria-mktc2xph0o.jpg</v>
      </c>
    </row>
    <row r="3195" spans="1:13" x14ac:dyDescent="0.3">
      <c r="A3195" t="s">
        <v>3225</v>
      </c>
      <c r="B3195" s="1">
        <v>45360</v>
      </c>
      <c r="C3195" t="s">
        <v>36</v>
      </c>
      <c r="D3195" t="s">
        <v>32</v>
      </c>
      <c r="E3195">
        <v>40</v>
      </c>
      <c r="F3195" t="s">
        <v>15</v>
      </c>
      <c r="G3195">
        <v>235.11</v>
      </c>
      <c r="H3195">
        <v>46</v>
      </c>
      <c r="I3195" t="s">
        <v>16</v>
      </c>
      <c r="J3195">
        <v>4.5999999999999996</v>
      </c>
      <c r="K3195" t="s">
        <v>26</v>
      </c>
      <c r="L3195" t="s">
        <v>23</v>
      </c>
      <c r="M3195" t="str">
        <f>VLOOKUP(D3199,Restaurant_Master!A:B,2,FALSE)</f>
        <v>https://www.chatswoodinterchange.com/storages/2018/08/Sushi-World_666x448.jpg</v>
      </c>
    </row>
    <row r="3196" spans="1:13" x14ac:dyDescent="0.3">
      <c r="A3196" t="s">
        <v>3226</v>
      </c>
      <c r="B3196" s="1">
        <v>45539</v>
      </c>
      <c r="C3196" t="s">
        <v>13</v>
      </c>
      <c r="D3196" t="s">
        <v>14</v>
      </c>
      <c r="E3196">
        <v>58</v>
      </c>
      <c r="F3196" t="s">
        <v>28</v>
      </c>
      <c r="G3196">
        <v>232.29</v>
      </c>
      <c r="H3196">
        <v>36</v>
      </c>
      <c r="I3196" t="s">
        <v>22</v>
      </c>
      <c r="J3196">
        <v>4.5</v>
      </c>
      <c r="K3196" t="s">
        <v>41</v>
      </c>
      <c r="L3196" t="s">
        <v>18</v>
      </c>
      <c r="M3196" t="str">
        <f>VLOOKUP(D3200,Restaurant_Master!A:B,2,FALSE)</f>
        <v>https://www.chatswoodinterchange.com/storages/2018/08/Sushi-World_666x448.jpg</v>
      </c>
    </row>
    <row r="3197" spans="1:13" x14ac:dyDescent="0.3">
      <c r="A3197" t="s">
        <v>3227</v>
      </c>
      <c r="B3197" s="1">
        <v>45373</v>
      </c>
      <c r="C3197" t="s">
        <v>43</v>
      </c>
      <c r="D3197" t="s">
        <v>38</v>
      </c>
      <c r="E3197">
        <v>57</v>
      </c>
      <c r="F3197" t="s">
        <v>15</v>
      </c>
      <c r="G3197">
        <v>326.44</v>
      </c>
      <c r="H3197">
        <v>36</v>
      </c>
      <c r="I3197" t="s">
        <v>22</v>
      </c>
      <c r="J3197">
        <v>4.9000000000000004</v>
      </c>
      <c r="K3197" t="s">
        <v>41</v>
      </c>
      <c r="L3197" t="s">
        <v>18</v>
      </c>
      <c r="M3197" t="str">
        <f>VLOOKUP(D3201,Restaurant_Master!A:B,2,FALSE)</f>
        <v>https://content.jdmagicbox.com/comp/deoria/g6/9999p5568.5568.200119143033.m4g6/catalogue/biryani-house-deoria-ho-deoria-mktc2xph0o.jpg</v>
      </c>
    </row>
    <row r="3198" spans="1:13" x14ac:dyDescent="0.3">
      <c r="A3198" t="s">
        <v>3228</v>
      </c>
      <c r="B3198" s="1">
        <v>45579</v>
      </c>
      <c r="C3198" t="s">
        <v>34</v>
      </c>
      <c r="D3198" t="s">
        <v>32</v>
      </c>
      <c r="E3198">
        <v>38</v>
      </c>
      <c r="F3198" t="s">
        <v>28</v>
      </c>
      <c r="G3198">
        <v>1141.17</v>
      </c>
      <c r="H3198">
        <v>32</v>
      </c>
      <c r="I3198" t="s">
        <v>22</v>
      </c>
      <c r="J3198">
        <v>3.4</v>
      </c>
      <c r="K3198" t="s">
        <v>17</v>
      </c>
      <c r="L3198" t="s">
        <v>18</v>
      </c>
      <c r="M3198" t="str">
        <f>VLOOKUP(D3202,Restaurant_Master!A:B,2,FALSE)</f>
        <v>https://media-cdn.tripadvisor.com/media/photo-s/1c/c7/97/b6/photo6jpg.jpg</v>
      </c>
    </row>
    <row r="3199" spans="1:13" x14ac:dyDescent="0.3">
      <c r="A3199" t="s">
        <v>3229</v>
      </c>
      <c r="B3199" s="1">
        <v>45603</v>
      </c>
      <c r="C3199" t="s">
        <v>34</v>
      </c>
      <c r="D3199" t="s">
        <v>38</v>
      </c>
      <c r="E3199">
        <v>47</v>
      </c>
      <c r="F3199" t="s">
        <v>28</v>
      </c>
      <c r="G3199">
        <v>775.46</v>
      </c>
      <c r="H3199">
        <v>55</v>
      </c>
      <c r="I3199" t="s">
        <v>16</v>
      </c>
      <c r="J3199">
        <v>4.9000000000000004</v>
      </c>
      <c r="K3199" t="s">
        <v>26</v>
      </c>
      <c r="L3199" t="s">
        <v>23</v>
      </c>
      <c r="M3199" t="str">
        <f>VLOOKUP(D3203,Restaurant_Master!A:B,2,FALSE)</f>
        <v>https://content.jdmagicbox.com/comp/deoria/g6/9999p5568.5568.200119143033.m4g6/catalogue/biryani-house-deoria-ho-deoria-mktc2xph0o.jpg</v>
      </c>
    </row>
    <row r="3200" spans="1:13" x14ac:dyDescent="0.3">
      <c r="A3200" t="s">
        <v>3230</v>
      </c>
      <c r="B3200" s="1">
        <v>45439</v>
      </c>
      <c r="C3200" t="s">
        <v>43</v>
      </c>
      <c r="D3200" t="s">
        <v>38</v>
      </c>
      <c r="E3200">
        <v>29</v>
      </c>
      <c r="F3200" t="s">
        <v>15</v>
      </c>
      <c r="G3200">
        <v>988.83</v>
      </c>
      <c r="H3200">
        <v>60</v>
      </c>
      <c r="I3200" t="s">
        <v>16</v>
      </c>
      <c r="J3200">
        <v>3.7</v>
      </c>
      <c r="K3200" t="s">
        <v>17</v>
      </c>
      <c r="L3200" t="s">
        <v>23</v>
      </c>
      <c r="M3200" t="str">
        <f>VLOOKUP(D3204,Restaurant_Master!A:B,2,FALSE)</f>
        <v>https://media-cdn.tripadvisor.com/media/photo-s/1c/c7/97/b6/photo6jpg.jpg</v>
      </c>
    </row>
    <row r="3201" spans="1:13" x14ac:dyDescent="0.3">
      <c r="A3201" t="s">
        <v>3231</v>
      </c>
      <c r="B3201" s="1">
        <v>45545</v>
      </c>
      <c r="C3201" t="s">
        <v>34</v>
      </c>
      <c r="D3201" t="s">
        <v>32</v>
      </c>
      <c r="E3201">
        <v>48</v>
      </c>
      <c r="F3201" t="s">
        <v>15</v>
      </c>
      <c r="G3201">
        <v>395.6</v>
      </c>
      <c r="H3201">
        <v>51</v>
      </c>
      <c r="I3201" t="s">
        <v>16</v>
      </c>
      <c r="J3201">
        <v>2.5</v>
      </c>
      <c r="K3201" t="s">
        <v>17</v>
      </c>
      <c r="L3201" t="s">
        <v>18</v>
      </c>
      <c r="M3201" t="str">
        <f>VLOOKUP(D3205,Restaurant_Master!A:B,2,FALSE)</f>
        <v>https://media-cdn.tripadvisor.com/media/photo-s/1c/c7/97/b6/photo6jpg.jpg</v>
      </c>
    </row>
    <row r="3202" spans="1:13" x14ac:dyDescent="0.3">
      <c r="A3202" t="s">
        <v>3232</v>
      </c>
      <c r="B3202" s="1">
        <v>45405</v>
      </c>
      <c r="C3202" t="s">
        <v>43</v>
      </c>
      <c r="D3202" t="s">
        <v>25</v>
      </c>
      <c r="E3202">
        <v>55</v>
      </c>
      <c r="F3202" t="s">
        <v>28</v>
      </c>
      <c r="G3202">
        <v>299.93</v>
      </c>
      <c r="H3202">
        <v>59</v>
      </c>
      <c r="I3202" t="s">
        <v>16</v>
      </c>
      <c r="J3202">
        <v>3.7</v>
      </c>
      <c r="K3202" t="s">
        <v>26</v>
      </c>
      <c r="L3202" t="s">
        <v>23</v>
      </c>
      <c r="M3202" t="str">
        <f>VLOOKUP(D3206,Restaurant_Master!A:B,2,FALSE)</f>
        <v>https://dynamic-media-cdn.tripadvisor.com/media/photo-o/1c/e7/04/0d/front-of-the-local-easily.jpg</v>
      </c>
    </row>
    <row r="3203" spans="1:13" x14ac:dyDescent="0.3">
      <c r="A3203" t="s">
        <v>3233</v>
      </c>
      <c r="B3203" s="1">
        <v>45657</v>
      </c>
      <c r="C3203" t="s">
        <v>13</v>
      </c>
      <c r="D3203" t="s">
        <v>32</v>
      </c>
      <c r="E3203">
        <v>18</v>
      </c>
      <c r="F3203" t="s">
        <v>28</v>
      </c>
      <c r="G3203">
        <v>1177.44</v>
      </c>
      <c r="H3203">
        <v>33</v>
      </c>
      <c r="I3203" t="s">
        <v>22</v>
      </c>
      <c r="J3203">
        <v>3.4</v>
      </c>
      <c r="K3203" t="s">
        <v>29</v>
      </c>
      <c r="L3203" t="s">
        <v>23</v>
      </c>
      <c r="M3203" t="str">
        <f>VLOOKUP(D3207,Restaurant_Master!A:B,2,FALSE)</f>
        <v>https://content.jdmagicbox.com/comp/deoria/g6/9999p5568.5568.200119143033.m4g6/catalogue/biryani-house-deoria-ho-deoria-mktc2xph0o.jpg</v>
      </c>
    </row>
    <row r="3204" spans="1:13" x14ac:dyDescent="0.3">
      <c r="A3204" t="s">
        <v>3234</v>
      </c>
      <c r="B3204" s="1">
        <v>45517</v>
      </c>
      <c r="C3204" t="s">
        <v>34</v>
      </c>
      <c r="D3204" t="s">
        <v>25</v>
      </c>
      <c r="E3204">
        <v>59</v>
      </c>
      <c r="F3204" t="s">
        <v>15</v>
      </c>
      <c r="G3204">
        <v>683.28</v>
      </c>
      <c r="H3204">
        <v>56</v>
      </c>
      <c r="I3204" t="s">
        <v>16</v>
      </c>
      <c r="J3204">
        <v>3.8</v>
      </c>
      <c r="K3204" t="s">
        <v>26</v>
      </c>
      <c r="L3204" t="s">
        <v>18</v>
      </c>
      <c r="M3204" t="str">
        <f>VLOOKUP(D3208,Restaurant_Master!A:B,2,FALSE)</f>
        <v>https://dynamic-media-cdn.tripadvisor.com/media/photo-o/1c/e7/04/0d/front-of-the-local-easily.jpg</v>
      </c>
    </row>
    <row r="3205" spans="1:13" x14ac:dyDescent="0.3">
      <c r="A3205" t="s">
        <v>3235</v>
      </c>
      <c r="B3205" s="1">
        <v>45368</v>
      </c>
      <c r="C3205" t="s">
        <v>13</v>
      </c>
      <c r="D3205" t="s">
        <v>25</v>
      </c>
      <c r="E3205">
        <v>25</v>
      </c>
      <c r="F3205" t="s">
        <v>28</v>
      </c>
      <c r="G3205">
        <v>275.17</v>
      </c>
      <c r="H3205">
        <v>58</v>
      </c>
      <c r="I3205" t="s">
        <v>16</v>
      </c>
      <c r="J3205">
        <v>3.4</v>
      </c>
      <c r="K3205" t="s">
        <v>29</v>
      </c>
      <c r="L3205" t="s">
        <v>18</v>
      </c>
      <c r="M3205" t="str">
        <f>VLOOKUP(D3209,Restaurant_Master!A:B,2,FALSE)</f>
        <v>https://dineout-media-assets.swiggy.com/swiggy/image/upload/fl_lossy,f_auto,q_auto/v1660793737/fdqxvxcxg1wtdwvyv45v.jpg</v>
      </c>
    </row>
    <row r="3206" spans="1:13" x14ac:dyDescent="0.3">
      <c r="A3206" t="s">
        <v>3236</v>
      </c>
      <c r="B3206" s="1">
        <v>45654</v>
      </c>
      <c r="C3206" t="s">
        <v>20</v>
      </c>
      <c r="D3206" t="s">
        <v>21</v>
      </c>
      <c r="E3206">
        <v>50</v>
      </c>
      <c r="F3206" t="s">
        <v>15</v>
      </c>
      <c r="G3206">
        <v>619.47</v>
      </c>
      <c r="H3206">
        <v>21</v>
      </c>
      <c r="I3206" t="s">
        <v>22</v>
      </c>
      <c r="J3206">
        <v>3.1</v>
      </c>
      <c r="K3206" t="s">
        <v>41</v>
      </c>
      <c r="L3206" t="s">
        <v>18</v>
      </c>
      <c r="M3206" t="str">
        <f>VLOOKUP(D3210,Restaurant_Master!A:B,2,FALSE)</f>
        <v>https://dynamic-media-cdn.tripadvisor.com/media/photo-o/1c/e7/04/0d/front-of-the-local-easily.jpg</v>
      </c>
    </row>
    <row r="3207" spans="1:13" x14ac:dyDescent="0.3">
      <c r="A3207" t="s">
        <v>3237</v>
      </c>
      <c r="B3207" s="1">
        <v>45577</v>
      </c>
      <c r="C3207" t="s">
        <v>43</v>
      </c>
      <c r="D3207" t="s">
        <v>32</v>
      </c>
      <c r="E3207">
        <v>41</v>
      </c>
      <c r="F3207" t="s">
        <v>28</v>
      </c>
      <c r="G3207">
        <v>931.68</v>
      </c>
      <c r="H3207">
        <v>24</v>
      </c>
      <c r="I3207" t="s">
        <v>22</v>
      </c>
      <c r="J3207">
        <v>2.7</v>
      </c>
      <c r="K3207" t="s">
        <v>41</v>
      </c>
      <c r="L3207" t="s">
        <v>18</v>
      </c>
      <c r="M3207" t="str">
        <f>VLOOKUP(D3211,Restaurant_Master!A:B,2,FALSE)</f>
        <v>https://dynamic-media-cdn.tripadvisor.com/media/photo-o/1c/e7/04/0d/front-of-the-local-easily.jpg</v>
      </c>
    </row>
    <row r="3208" spans="1:13" x14ac:dyDescent="0.3">
      <c r="A3208" t="s">
        <v>3238</v>
      </c>
      <c r="B3208" s="1">
        <v>45531</v>
      </c>
      <c r="C3208" t="s">
        <v>36</v>
      </c>
      <c r="D3208" t="s">
        <v>21</v>
      </c>
      <c r="E3208">
        <v>26</v>
      </c>
      <c r="F3208" t="s">
        <v>28</v>
      </c>
      <c r="G3208">
        <v>1180.4000000000001</v>
      </c>
      <c r="H3208">
        <v>41</v>
      </c>
      <c r="I3208" t="s">
        <v>16</v>
      </c>
      <c r="J3208">
        <v>3.9</v>
      </c>
      <c r="K3208" t="s">
        <v>29</v>
      </c>
      <c r="L3208" t="s">
        <v>23</v>
      </c>
      <c r="M3208" t="str">
        <f>VLOOKUP(D3212,Restaurant_Master!A:B,2,FALSE)</f>
        <v>https://content.jdmagicbox.com/comp/deoria/g6/9999p5568.5568.200119143033.m4g6/catalogue/biryani-house-deoria-ho-deoria-mktc2xph0o.jpg</v>
      </c>
    </row>
    <row r="3209" spans="1:13" x14ac:dyDescent="0.3">
      <c r="A3209" t="s">
        <v>3239</v>
      </c>
      <c r="B3209" s="1">
        <v>45605</v>
      </c>
      <c r="C3209" t="s">
        <v>13</v>
      </c>
      <c r="D3209" t="s">
        <v>14</v>
      </c>
      <c r="E3209">
        <v>38</v>
      </c>
      <c r="F3209" t="s">
        <v>28</v>
      </c>
      <c r="G3209">
        <v>1029.93</v>
      </c>
      <c r="H3209">
        <v>44</v>
      </c>
      <c r="I3209" t="s">
        <v>16</v>
      </c>
      <c r="J3209">
        <v>4.4000000000000004</v>
      </c>
      <c r="K3209" t="s">
        <v>29</v>
      </c>
      <c r="L3209" t="s">
        <v>23</v>
      </c>
      <c r="M3209" t="str">
        <f>VLOOKUP(D3213,Restaurant_Master!A:B,2,FALSE)</f>
        <v>https://content.jdmagicbox.com/comp/deoria/g6/9999p5568.5568.200119143033.m4g6/catalogue/biryani-house-deoria-ho-deoria-mktc2xph0o.jpg</v>
      </c>
    </row>
    <row r="3210" spans="1:13" x14ac:dyDescent="0.3">
      <c r="A3210" t="s">
        <v>3240</v>
      </c>
      <c r="B3210" s="1">
        <v>45431</v>
      </c>
      <c r="C3210" t="s">
        <v>34</v>
      </c>
      <c r="D3210" t="s">
        <v>21</v>
      </c>
      <c r="E3210">
        <v>31</v>
      </c>
      <c r="F3210" t="s">
        <v>15</v>
      </c>
      <c r="G3210">
        <v>392.15</v>
      </c>
      <c r="H3210">
        <v>41</v>
      </c>
      <c r="I3210" t="s">
        <v>16</v>
      </c>
      <c r="J3210">
        <v>2.9</v>
      </c>
      <c r="K3210" t="s">
        <v>29</v>
      </c>
      <c r="L3210" t="s">
        <v>18</v>
      </c>
      <c r="M3210" t="str">
        <f>VLOOKUP(D3214,Restaurant_Master!A:B,2,FALSE)</f>
        <v>https://content.jdmagicbox.com/comp/deoria/g6/9999p5568.5568.200119143033.m4g6/catalogue/biryani-house-deoria-ho-deoria-mktc2xph0o.jpg</v>
      </c>
    </row>
    <row r="3211" spans="1:13" x14ac:dyDescent="0.3">
      <c r="A3211" t="s">
        <v>3241</v>
      </c>
      <c r="B3211" s="1">
        <v>45601</v>
      </c>
      <c r="C3211" t="s">
        <v>34</v>
      </c>
      <c r="D3211" t="s">
        <v>21</v>
      </c>
      <c r="E3211">
        <v>41</v>
      </c>
      <c r="F3211" t="s">
        <v>15</v>
      </c>
      <c r="G3211">
        <v>1054.98</v>
      </c>
      <c r="H3211">
        <v>52</v>
      </c>
      <c r="I3211" t="s">
        <v>16</v>
      </c>
      <c r="J3211">
        <v>3.4</v>
      </c>
      <c r="K3211" t="s">
        <v>29</v>
      </c>
      <c r="L3211" t="s">
        <v>23</v>
      </c>
      <c r="M3211" t="str">
        <f>VLOOKUP(D3215,Restaurant_Master!A:B,2,FALSE)</f>
        <v>https://dynamic-media-cdn.tripadvisor.com/media/photo-o/1c/e7/04/0d/front-of-the-local-easily.jpg</v>
      </c>
    </row>
    <row r="3212" spans="1:13" x14ac:dyDescent="0.3">
      <c r="A3212" t="s">
        <v>3242</v>
      </c>
      <c r="B3212" s="1">
        <v>45633</v>
      </c>
      <c r="C3212" t="s">
        <v>13</v>
      </c>
      <c r="D3212" t="s">
        <v>32</v>
      </c>
      <c r="E3212">
        <v>49</v>
      </c>
      <c r="F3212" t="s">
        <v>28</v>
      </c>
      <c r="G3212">
        <v>1029.81</v>
      </c>
      <c r="H3212">
        <v>57</v>
      </c>
      <c r="I3212" t="s">
        <v>16</v>
      </c>
      <c r="J3212">
        <v>2.5</v>
      </c>
      <c r="K3212" t="s">
        <v>17</v>
      </c>
      <c r="L3212" t="s">
        <v>23</v>
      </c>
      <c r="M3212" t="str">
        <f>VLOOKUP(D3216,Restaurant_Master!A:B,2,FALSE)</f>
        <v>https://dineout-media-assets.swiggy.com/swiggy/image/upload/fl_lossy,f_auto,q_auto/v1660793737/fdqxvxcxg1wtdwvyv45v.jpg</v>
      </c>
    </row>
    <row r="3213" spans="1:13" x14ac:dyDescent="0.3">
      <c r="A3213" t="s">
        <v>3243</v>
      </c>
      <c r="B3213" s="1">
        <v>45373</v>
      </c>
      <c r="C3213" t="s">
        <v>43</v>
      </c>
      <c r="D3213" t="s">
        <v>32</v>
      </c>
      <c r="E3213">
        <v>40</v>
      </c>
      <c r="F3213" t="s">
        <v>28</v>
      </c>
      <c r="G3213">
        <v>315.5</v>
      </c>
      <c r="H3213">
        <v>26</v>
      </c>
      <c r="I3213" t="s">
        <v>22</v>
      </c>
      <c r="J3213">
        <v>2.8</v>
      </c>
      <c r="K3213" t="s">
        <v>17</v>
      </c>
      <c r="L3213" t="s">
        <v>18</v>
      </c>
      <c r="M3213" t="str">
        <f>VLOOKUP(D3217,Restaurant_Master!A:B,2,FALSE)</f>
        <v>https://www.chatswoodinterchange.com/storages/2018/08/Sushi-World_666x448.jpg</v>
      </c>
    </row>
    <row r="3214" spans="1:13" x14ac:dyDescent="0.3">
      <c r="A3214" t="s">
        <v>3244</v>
      </c>
      <c r="B3214" s="1">
        <v>45608</v>
      </c>
      <c r="C3214" t="s">
        <v>13</v>
      </c>
      <c r="D3214" t="s">
        <v>32</v>
      </c>
      <c r="E3214">
        <v>59</v>
      </c>
      <c r="F3214" t="s">
        <v>28</v>
      </c>
      <c r="G3214">
        <v>476.63</v>
      </c>
      <c r="H3214">
        <v>26</v>
      </c>
      <c r="I3214" t="s">
        <v>22</v>
      </c>
      <c r="J3214">
        <v>2.8</v>
      </c>
      <c r="K3214" t="s">
        <v>17</v>
      </c>
      <c r="L3214" t="s">
        <v>23</v>
      </c>
      <c r="M3214" t="str">
        <f>VLOOKUP(D3218,Restaurant_Master!A:B,2,FALSE)</f>
        <v>https://www.chatswoodinterchange.com/storages/2018/08/Sushi-World_666x448.jpg</v>
      </c>
    </row>
    <row r="3215" spans="1:13" x14ac:dyDescent="0.3">
      <c r="A3215" t="s">
        <v>3245</v>
      </c>
      <c r="B3215" s="1">
        <v>45329</v>
      </c>
      <c r="C3215" t="s">
        <v>43</v>
      </c>
      <c r="D3215" t="s">
        <v>21</v>
      </c>
      <c r="E3215">
        <v>36</v>
      </c>
      <c r="F3215" t="s">
        <v>28</v>
      </c>
      <c r="G3215">
        <v>162.74</v>
      </c>
      <c r="H3215">
        <v>24</v>
      </c>
      <c r="I3215" t="s">
        <v>22</v>
      </c>
      <c r="J3215">
        <v>3.5</v>
      </c>
      <c r="K3215" t="s">
        <v>41</v>
      </c>
      <c r="L3215" t="s">
        <v>18</v>
      </c>
      <c r="M3215" t="str">
        <f>VLOOKUP(D3219,Restaurant_Master!A:B,2,FALSE)</f>
        <v>https://media-cdn.tripadvisor.com/media/photo-s/1c/c7/97/b6/photo6jpg.jpg</v>
      </c>
    </row>
    <row r="3216" spans="1:13" x14ac:dyDescent="0.3">
      <c r="A3216" t="s">
        <v>3246</v>
      </c>
      <c r="B3216" s="1">
        <v>45622</v>
      </c>
      <c r="C3216" t="s">
        <v>13</v>
      </c>
      <c r="D3216" t="s">
        <v>14</v>
      </c>
      <c r="E3216">
        <v>54</v>
      </c>
      <c r="F3216" t="s">
        <v>28</v>
      </c>
      <c r="G3216">
        <v>221.14</v>
      </c>
      <c r="H3216">
        <v>20</v>
      </c>
      <c r="I3216" t="s">
        <v>22</v>
      </c>
      <c r="J3216">
        <v>4.7</v>
      </c>
      <c r="K3216" t="s">
        <v>26</v>
      </c>
      <c r="L3216" t="s">
        <v>18</v>
      </c>
      <c r="M3216" t="str">
        <f>VLOOKUP(D3220,Restaurant_Master!A:B,2,FALSE)</f>
        <v>https://media-cdn.tripadvisor.com/media/photo-s/1c/c7/97/b6/photo6jpg.jpg</v>
      </c>
    </row>
    <row r="3217" spans="1:13" x14ac:dyDescent="0.3">
      <c r="A3217" t="s">
        <v>3247</v>
      </c>
      <c r="B3217" s="1">
        <v>45292</v>
      </c>
      <c r="C3217" t="s">
        <v>34</v>
      </c>
      <c r="D3217" t="s">
        <v>38</v>
      </c>
      <c r="E3217">
        <v>23</v>
      </c>
      <c r="F3217" t="s">
        <v>28</v>
      </c>
      <c r="G3217">
        <v>718.15</v>
      </c>
      <c r="H3217">
        <v>20</v>
      </c>
      <c r="I3217" t="s">
        <v>22</v>
      </c>
      <c r="J3217">
        <v>2.5</v>
      </c>
      <c r="K3217" t="s">
        <v>41</v>
      </c>
      <c r="L3217" t="s">
        <v>18</v>
      </c>
      <c r="M3217" t="str">
        <f>VLOOKUP(D3221,Restaurant_Master!A:B,2,FALSE)</f>
        <v>https://dynamic-media-cdn.tripadvisor.com/media/photo-o/1c/e7/04/0d/front-of-the-local-easily.jpg</v>
      </c>
    </row>
    <row r="3218" spans="1:13" x14ac:dyDescent="0.3">
      <c r="A3218" t="s">
        <v>3248</v>
      </c>
      <c r="B3218" s="1">
        <v>45486</v>
      </c>
      <c r="C3218" t="s">
        <v>13</v>
      </c>
      <c r="D3218" t="s">
        <v>38</v>
      </c>
      <c r="E3218">
        <v>46</v>
      </c>
      <c r="F3218" t="s">
        <v>15</v>
      </c>
      <c r="G3218">
        <v>348.3</v>
      </c>
      <c r="H3218">
        <v>59</v>
      </c>
      <c r="I3218" t="s">
        <v>16</v>
      </c>
      <c r="J3218">
        <v>2.8</v>
      </c>
      <c r="K3218" t="s">
        <v>26</v>
      </c>
      <c r="L3218" t="s">
        <v>18</v>
      </c>
      <c r="M3218" t="str">
        <f>VLOOKUP(D3222,Restaurant_Master!A:B,2,FALSE)</f>
        <v>https://dineout-media-assets.swiggy.com/swiggy/image/upload/fl_lossy,f_auto,q_auto/v1660793737/fdqxvxcxg1wtdwvyv45v.jpg</v>
      </c>
    </row>
    <row r="3219" spans="1:13" x14ac:dyDescent="0.3">
      <c r="A3219" t="s">
        <v>3249</v>
      </c>
      <c r="B3219" s="1">
        <v>45573</v>
      </c>
      <c r="C3219" t="s">
        <v>13</v>
      </c>
      <c r="D3219" t="s">
        <v>25</v>
      </c>
      <c r="E3219">
        <v>58</v>
      </c>
      <c r="F3219" t="s">
        <v>15</v>
      </c>
      <c r="G3219">
        <v>532.75</v>
      </c>
      <c r="H3219">
        <v>32</v>
      </c>
      <c r="I3219" t="s">
        <v>22</v>
      </c>
      <c r="J3219">
        <v>2.5</v>
      </c>
      <c r="K3219" t="s">
        <v>17</v>
      </c>
      <c r="L3219" t="s">
        <v>23</v>
      </c>
      <c r="M3219" t="str">
        <f>VLOOKUP(D3223,Restaurant_Master!A:B,2,FALSE)</f>
        <v>https://dynamic-media-cdn.tripadvisor.com/media/photo-o/1c/e7/04/0d/front-of-the-local-easily.jpg</v>
      </c>
    </row>
    <row r="3220" spans="1:13" x14ac:dyDescent="0.3">
      <c r="A3220" t="s">
        <v>3250</v>
      </c>
      <c r="B3220" s="1">
        <v>45525</v>
      </c>
      <c r="C3220" t="s">
        <v>43</v>
      </c>
      <c r="D3220" t="s">
        <v>25</v>
      </c>
      <c r="E3220">
        <v>33</v>
      </c>
      <c r="F3220" t="s">
        <v>15</v>
      </c>
      <c r="G3220">
        <v>1036.6099999999999</v>
      </c>
      <c r="H3220">
        <v>60</v>
      </c>
      <c r="I3220" t="s">
        <v>16</v>
      </c>
      <c r="J3220">
        <v>4.3</v>
      </c>
      <c r="K3220" t="s">
        <v>29</v>
      </c>
      <c r="L3220" t="s">
        <v>23</v>
      </c>
      <c r="M3220" t="str">
        <f>VLOOKUP(D3224,Restaurant_Master!A:B,2,FALSE)</f>
        <v>https://dineout-media-assets.swiggy.com/swiggy/image/upload/fl_lossy,f_auto,q_auto/v1660793737/fdqxvxcxg1wtdwvyv45v.jpg</v>
      </c>
    </row>
    <row r="3221" spans="1:13" x14ac:dyDescent="0.3">
      <c r="A3221" t="s">
        <v>3251</v>
      </c>
      <c r="B3221" s="1">
        <v>45480</v>
      </c>
      <c r="C3221" t="s">
        <v>20</v>
      </c>
      <c r="D3221" t="s">
        <v>21</v>
      </c>
      <c r="E3221">
        <v>26</v>
      </c>
      <c r="F3221" t="s">
        <v>15</v>
      </c>
      <c r="G3221">
        <v>366.28</v>
      </c>
      <c r="H3221">
        <v>51</v>
      </c>
      <c r="I3221" t="s">
        <v>16</v>
      </c>
      <c r="J3221">
        <v>4.4000000000000004</v>
      </c>
      <c r="K3221" t="s">
        <v>26</v>
      </c>
      <c r="L3221" t="s">
        <v>18</v>
      </c>
      <c r="M3221" t="str">
        <f>VLOOKUP(D3225,Restaurant_Master!A:B,2,FALSE)</f>
        <v>https://www.chatswoodinterchange.com/storages/2018/08/Sushi-World_666x448.jpg</v>
      </c>
    </row>
    <row r="3222" spans="1:13" x14ac:dyDescent="0.3">
      <c r="A3222" t="s">
        <v>3252</v>
      </c>
      <c r="B3222" s="1">
        <v>45531</v>
      </c>
      <c r="C3222" t="s">
        <v>20</v>
      </c>
      <c r="D3222" t="s">
        <v>14</v>
      </c>
      <c r="E3222">
        <v>38</v>
      </c>
      <c r="F3222" t="s">
        <v>15</v>
      </c>
      <c r="G3222">
        <v>432.72</v>
      </c>
      <c r="H3222">
        <v>22</v>
      </c>
      <c r="I3222" t="s">
        <v>22</v>
      </c>
      <c r="J3222">
        <v>4.7</v>
      </c>
      <c r="K3222" t="s">
        <v>26</v>
      </c>
      <c r="L3222" t="s">
        <v>23</v>
      </c>
      <c r="M3222" t="str">
        <f>VLOOKUP(D3226,Restaurant_Master!A:B,2,FALSE)</f>
        <v>https://dineout-media-assets.swiggy.com/swiggy/image/upload/fl_lossy,f_auto,q_auto/v1660793737/fdqxvxcxg1wtdwvyv45v.jpg</v>
      </c>
    </row>
    <row r="3223" spans="1:13" x14ac:dyDescent="0.3">
      <c r="A3223" t="s">
        <v>3253</v>
      </c>
      <c r="B3223" s="1">
        <v>45368</v>
      </c>
      <c r="C3223" t="s">
        <v>13</v>
      </c>
      <c r="D3223" t="s">
        <v>21</v>
      </c>
      <c r="E3223">
        <v>48</v>
      </c>
      <c r="F3223" t="s">
        <v>15</v>
      </c>
      <c r="G3223">
        <v>205.83</v>
      </c>
      <c r="H3223">
        <v>30</v>
      </c>
      <c r="I3223" t="s">
        <v>22</v>
      </c>
      <c r="J3223">
        <v>4.5</v>
      </c>
      <c r="K3223" t="s">
        <v>41</v>
      </c>
      <c r="L3223" t="s">
        <v>18</v>
      </c>
      <c r="M3223" t="str">
        <f>VLOOKUP(D3227,Restaurant_Master!A:B,2,FALSE)</f>
        <v>https://dynamic-media-cdn.tripadvisor.com/media/photo-o/1c/e7/04/0d/front-of-the-local-easily.jpg</v>
      </c>
    </row>
    <row r="3224" spans="1:13" x14ac:dyDescent="0.3">
      <c r="A3224" t="s">
        <v>3254</v>
      </c>
      <c r="B3224" s="1">
        <v>45416</v>
      </c>
      <c r="C3224" t="s">
        <v>13</v>
      </c>
      <c r="D3224" t="s">
        <v>14</v>
      </c>
      <c r="E3224">
        <v>60</v>
      </c>
      <c r="F3224" t="s">
        <v>28</v>
      </c>
      <c r="G3224">
        <v>911.74</v>
      </c>
      <c r="H3224">
        <v>52</v>
      </c>
      <c r="I3224" t="s">
        <v>16</v>
      </c>
      <c r="J3224">
        <v>3.5</v>
      </c>
      <c r="K3224" t="s">
        <v>29</v>
      </c>
      <c r="L3224" t="s">
        <v>23</v>
      </c>
      <c r="M3224" t="str">
        <f>VLOOKUP(D3228,Restaurant_Master!A:B,2,FALSE)</f>
        <v>https://www.chatswoodinterchange.com/storages/2018/08/Sushi-World_666x448.jpg</v>
      </c>
    </row>
    <row r="3225" spans="1:13" x14ac:dyDescent="0.3">
      <c r="A3225" t="s">
        <v>3255</v>
      </c>
      <c r="B3225" s="1">
        <v>45538</v>
      </c>
      <c r="C3225" t="s">
        <v>34</v>
      </c>
      <c r="D3225" t="s">
        <v>38</v>
      </c>
      <c r="E3225">
        <v>25</v>
      </c>
      <c r="F3225" t="s">
        <v>28</v>
      </c>
      <c r="G3225">
        <v>208.51</v>
      </c>
      <c r="H3225">
        <v>27</v>
      </c>
      <c r="I3225" t="s">
        <v>22</v>
      </c>
      <c r="J3225">
        <v>4.7</v>
      </c>
      <c r="K3225" t="s">
        <v>41</v>
      </c>
      <c r="L3225" t="s">
        <v>23</v>
      </c>
      <c r="M3225" t="str">
        <f>VLOOKUP(D3229,Restaurant_Master!A:B,2,FALSE)</f>
        <v>https://www.chatswoodinterchange.com/storages/2018/08/Sushi-World_666x448.jpg</v>
      </c>
    </row>
    <row r="3226" spans="1:13" x14ac:dyDescent="0.3">
      <c r="A3226" t="s">
        <v>3256</v>
      </c>
      <c r="B3226" s="1">
        <v>45548</v>
      </c>
      <c r="C3226" t="s">
        <v>43</v>
      </c>
      <c r="D3226" t="s">
        <v>14</v>
      </c>
      <c r="E3226">
        <v>27</v>
      </c>
      <c r="F3226" t="s">
        <v>15</v>
      </c>
      <c r="G3226">
        <v>1135.33</v>
      </c>
      <c r="H3226">
        <v>31</v>
      </c>
      <c r="I3226" t="s">
        <v>22</v>
      </c>
      <c r="J3226">
        <v>3.2</v>
      </c>
      <c r="K3226" t="s">
        <v>41</v>
      </c>
      <c r="L3226" t="s">
        <v>18</v>
      </c>
      <c r="M3226" t="str">
        <f>VLOOKUP(D3230,Restaurant_Master!A:B,2,FALSE)</f>
        <v>https://dineout-media-assets.swiggy.com/swiggy/image/upload/fl_lossy,f_auto,q_auto/v1660793737/fdqxvxcxg1wtdwvyv45v.jpg</v>
      </c>
    </row>
    <row r="3227" spans="1:13" x14ac:dyDescent="0.3">
      <c r="A3227" t="s">
        <v>3257</v>
      </c>
      <c r="B3227" s="1">
        <v>45451</v>
      </c>
      <c r="C3227" t="s">
        <v>43</v>
      </c>
      <c r="D3227" t="s">
        <v>21</v>
      </c>
      <c r="E3227">
        <v>37</v>
      </c>
      <c r="F3227" t="s">
        <v>28</v>
      </c>
      <c r="G3227">
        <v>897.73</v>
      </c>
      <c r="H3227">
        <v>59</v>
      </c>
      <c r="I3227" t="s">
        <v>16</v>
      </c>
      <c r="J3227">
        <v>3.2</v>
      </c>
      <c r="K3227" t="s">
        <v>41</v>
      </c>
      <c r="L3227" t="s">
        <v>18</v>
      </c>
      <c r="M3227" t="str">
        <f>VLOOKUP(D3231,Restaurant_Master!A:B,2,FALSE)</f>
        <v>https://dynamic-media-cdn.tripadvisor.com/media/photo-o/1c/e7/04/0d/front-of-the-local-easily.jpg</v>
      </c>
    </row>
    <row r="3228" spans="1:13" x14ac:dyDescent="0.3">
      <c r="A3228" t="s">
        <v>3258</v>
      </c>
      <c r="B3228" s="1">
        <v>45559</v>
      </c>
      <c r="C3228" t="s">
        <v>34</v>
      </c>
      <c r="D3228" t="s">
        <v>38</v>
      </c>
      <c r="E3228">
        <v>58</v>
      </c>
      <c r="F3228" t="s">
        <v>15</v>
      </c>
      <c r="G3228">
        <v>197.04</v>
      </c>
      <c r="H3228">
        <v>33</v>
      </c>
      <c r="I3228" t="s">
        <v>22</v>
      </c>
      <c r="J3228">
        <v>4.8</v>
      </c>
      <c r="K3228" t="s">
        <v>29</v>
      </c>
      <c r="L3228" t="s">
        <v>23</v>
      </c>
      <c r="M3228" t="str">
        <f>VLOOKUP(D3232,Restaurant_Master!A:B,2,FALSE)</f>
        <v>https://media-cdn.tripadvisor.com/media/photo-s/1c/c7/97/b6/photo6jpg.jpg</v>
      </c>
    </row>
    <row r="3229" spans="1:13" x14ac:dyDescent="0.3">
      <c r="A3229" t="s">
        <v>3259</v>
      </c>
      <c r="B3229" s="1">
        <v>45571</v>
      </c>
      <c r="C3229" t="s">
        <v>34</v>
      </c>
      <c r="D3229" t="s">
        <v>38</v>
      </c>
      <c r="E3229">
        <v>30</v>
      </c>
      <c r="F3229" t="s">
        <v>28</v>
      </c>
      <c r="G3229">
        <v>489.52</v>
      </c>
      <c r="H3229">
        <v>52</v>
      </c>
      <c r="I3229" t="s">
        <v>16</v>
      </c>
      <c r="J3229">
        <v>2.8</v>
      </c>
      <c r="K3229" t="s">
        <v>29</v>
      </c>
      <c r="L3229" t="s">
        <v>18</v>
      </c>
      <c r="M3229" t="str">
        <f>VLOOKUP(D3233,Restaurant_Master!A:B,2,FALSE)</f>
        <v>https://dineout-media-assets.swiggy.com/swiggy/image/upload/fl_lossy,f_auto,q_auto/v1660793737/fdqxvxcxg1wtdwvyv45v.jpg</v>
      </c>
    </row>
    <row r="3230" spans="1:13" x14ac:dyDescent="0.3">
      <c r="A3230" t="s">
        <v>3260</v>
      </c>
      <c r="B3230" s="1">
        <v>45401</v>
      </c>
      <c r="C3230" t="s">
        <v>36</v>
      </c>
      <c r="D3230" t="s">
        <v>14</v>
      </c>
      <c r="E3230">
        <v>37</v>
      </c>
      <c r="F3230" t="s">
        <v>28</v>
      </c>
      <c r="G3230">
        <v>151.38999999999999</v>
      </c>
      <c r="H3230">
        <v>42</v>
      </c>
      <c r="I3230" t="s">
        <v>16</v>
      </c>
      <c r="J3230">
        <v>2.5</v>
      </c>
      <c r="K3230" t="s">
        <v>41</v>
      </c>
      <c r="L3230" t="s">
        <v>18</v>
      </c>
      <c r="M3230" t="str">
        <f>VLOOKUP(D3234,Restaurant_Master!A:B,2,FALSE)</f>
        <v>https://www.chatswoodinterchange.com/storages/2018/08/Sushi-World_666x448.jpg</v>
      </c>
    </row>
    <row r="3231" spans="1:13" x14ac:dyDescent="0.3">
      <c r="A3231" t="s">
        <v>3261</v>
      </c>
      <c r="B3231" s="1">
        <v>45293</v>
      </c>
      <c r="C3231" t="s">
        <v>34</v>
      </c>
      <c r="D3231" t="s">
        <v>21</v>
      </c>
      <c r="E3231">
        <v>38</v>
      </c>
      <c r="F3231" t="s">
        <v>28</v>
      </c>
      <c r="G3231">
        <v>914.86</v>
      </c>
      <c r="H3231">
        <v>31</v>
      </c>
      <c r="I3231" t="s">
        <v>22</v>
      </c>
      <c r="J3231">
        <v>4</v>
      </c>
      <c r="K3231" t="s">
        <v>29</v>
      </c>
      <c r="L3231" t="s">
        <v>18</v>
      </c>
      <c r="M3231" t="str">
        <f>VLOOKUP(D3235,Restaurant_Master!A:B,2,FALSE)</f>
        <v>https://www.chatswoodinterchange.com/storages/2018/08/Sushi-World_666x448.jpg</v>
      </c>
    </row>
    <row r="3232" spans="1:13" x14ac:dyDescent="0.3">
      <c r="A3232" t="s">
        <v>3262</v>
      </c>
      <c r="B3232" s="1">
        <v>45550</v>
      </c>
      <c r="C3232" t="s">
        <v>13</v>
      </c>
      <c r="D3232" t="s">
        <v>25</v>
      </c>
      <c r="E3232">
        <v>51</v>
      </c>
      <c r="F3232" t="s">
        <v>15</v>
      </c>
      <c r="G3232">
        <v>978.53</v>
      </c>
      <c r="H3232">
        <v>34</v>
      </c>
      <c r="I3232" t="s">
        <v>22</v>
      </c>
      <c r="J3232">
        <v>3.6</v>
      </c>
      <c r="K3232" t="s">
        <v>29</v>
      </c>
      <c r="L3232" t="s">
        <v>23</v>
      </c>
      <c r="M3232" t="str">
        <f>VLOOKUP(D3236,Restaurant_Master!A:B,2,FALSE)</f>
        <v>https://dineout-media-assets.swiggy.com/swiggy/image/upload/fl_lossy,f_auto,q_auto/v1660793737/fdqxvxcxg1wtdwvyv45v.jpg</v>
      </c>
    </row>
    <row r="3233" spans="1:13" x14ac:dyDescent="0.3">
      <c r="A3233" t="s">
        <v>3263</v>
      </c>
      <c r="B3233" s="1">
        <v>45399</v>
      </c>
      <c r="C3233" t="s">
        <v>34</v>
      </c>
      <c r="D3233" t="s">
        <v>14</v>
      </c>
      <c r="E3233">
        <v>30</v>
      </c>
      <c r="F3233" t="s">
        <v>15</v>
      </c>
      <c r="G3233">
        <v>252.77</v>
      </c>
      <c r="H3233">
        <v>34</v>
      </c>
      <c r="I3233" t="s">
        <v>22</v>
      </c>
      <c r="J3233">
        <v>3.1</v>
      </c>
      <c r="K3233" t="s">
        <v>17</v>
      </c>
      <c r="L3233" t="s">
        <v>23</v>
      </c>
      <c r="M3233" t="str">
        <f>VLOOKUP(D3237,Restaurant_Master!A:B,2,FALSE)</f>
        <v>https://content.jdmagicbox.com/comp/deoria/g6/9999p5568.5568.200119143033.m4g6/catalogue/biryani-house-deoria-ho-deoria-mktc2xph0o.jpg</v>
      </c>
    </row>
    <row r="3234" spans="1:13" x14ac:dyDescent="0.3">
      <c r="A3234" t="s">
        <v>3264</v>
      </c>
      <c r="B3234" s="1">
        <v>45544</v>
      </c>
      <c r="C3234" t="s">
        <v>20</v>
      </c>
      <c r="D3234" t="s">
        <v>38</v>
      </c>
      <c r="E3234">
        <v>29</v>
      </c>
      <c r="F3234" t="s">
        <v>28</v>
      </c>
      <c r="G3234">
        <v>1053.23</v>
      </c>
      <c r="H3234">
        <v>40</v>
      </c>
      <c r="I3234" t="s">
        <v>22</v>
      </c>
      <c r="J3234">
        <v>3.1</v>
      </c>
      <c r="K3234" t="s">
        <v>17</v>
      </c>
      <c r="L3234" t="s">
        <v>18</v>
      </c>
      <c r="M3234" t="str">
        <f>VLOOKUP(D3238,Restaurant_Master!A:B,2,FALSE)</f>
        <v>https://www.chatswoodinterchange.com/storages/2018/08/Sushi-World_666x448.jpg</v>
      </c>
    </row>
    <row r="3235" spans="1:13" x14ac:dyDescent="0.3">
      <c r="A3235" t="s">
        <v>3265</v>
      </c>
      <c r="B3235" s="1">
        <v>45340</v>
      </c>
      <c r="C3235" t="s">
        <v>34</v>
      </c>
      <c r="D3235" t="s">
        <v>38</v>
      </c>
      <c r="E3235">
        <v>21</v>
      </c>
      <c r="F3235" t="s">
        <v>15</v>
      </c>
      <c r="G3235">
        <v>929.12</v>
      </c>
      <c r="H3235">
        <v>37</v>
      </c>
      <c r="I3235" t="s">
        <v>22</v>
      </c>
      <c r="J3235">
        <v>4</v>
      </c>
      <c r="K3235" t="s">
        <v>41</v>
      </c>
      <c r="L3235" t="s">
        <v>23</v>
      </c>
      <c r="M3235" t="str">
        <f>VLOOKUP(D3239,Restaurant_Master!A:B,2,FALSE)</f>
        <v>https://dynamic-media-cdn.tripadvisor.com/media/photo-o/1c/e7/04/0d/front-of-the-local-easily.jpg</v>
      </c>
    </row>
    <row r="3236" spans="1:13" x14ac:dyDescent="0.3">
      <c r="A3236" t="s">
        <v>3266</v>
      </c>
      <c r="B3236" s="1">
        <v>45593</v>
      </c>
      <c r="C3236" t="s">
        <v>43</v>
      </c>
      <c r="D3236" t="s">
        <v>14</v>
      </c>
      <c r="E3236">
        <v>60</v>
      </c>
      <c r="F3236" t="s">
        <v>15</v>
      </c>
      <c r="G3236">
        <v>647.75</v>
      </c>
      <c r="H3236">
        <v>23</v>
      </c>
      <c r="I3236" t="s">
        <v>22</v>
      </c>
      <c r="J3236">
        <v>4.5</v>
      </c>
      <c r="K3236" t="s">
        <v>41</v>
      </c>
      <c r="L3236" t="s">
        <v>18</v>
      </c>
      <c r="M3236" t="str">
        <f>VLOOKUP(D3240,Restaurant_Master!A:B,2,FALSE)</f>
        <v>https://content.jdmagicbox.com/comp/deoria/g6/9999p5568.5568.200119143033.m4g6/catalogue/biryani-house-deoria-ho-deoria-mktc2xph0o.jpg</v>
      </c>
    </row>
    <row r="3237" spans="1:13" x14ac:dyDescent="0.3">
      <c r="A3237" t="s">
        <v>3267</v>
      </c>
      <c r="B3237" s="1">
        <v>45520</v>
      </c>
      <c r="C3237" t="s">
        <v>43</v>
      </c>
      <c r="D3237" t="s">
        <v>32</v>
      </c>
      <c r="E3237">
        <v>18</v>
      </c>
      <c r="F3237" t="s">
        <v>28</v>
      </c>
      <c r="G3237">
        <v>194.11</v>
      </c>
      <c r="H3237">
        <v>32</v>
      </c>
      <c r="I3237" t="s">
        <v>22</v>
      </c>
      <c r="J3237">
        <v>3.6</v>
      </c>
      <c r="K3237" t="s">
        <v>26</v>
      </c>
      <c r="L3237" t="s">
        <v>23</v>
      </c>
      <c r="M3237" t="str">
        <f>VLOOKUP(D3241,Restaurant_Master!A:B,2,FALSE)</f>
        <v>https://media-cdn.tripadvisor.com/media/photo-s/1c/c7/97/b6/photo6jpg.jpg</v>
      </c>
    </row>
    <row r="3238" spans="1:13" x14ac:dyDescent="0.3">
      <c r="A3238" t="s">
        <v>3268</v>
      </c>
      <c r="B3238" s="1">
        <v>45461</v>
      </c>
      <c r="C3238" t="s">
        <v>36</v>
      </c>
      <c r="D3238" t="s">
        <v>38</v>
      </c>
      <c r="E3238">
        <v>60</v>
      </c>
      <c r="F3238" t="s">
        <v>28</v>
      </c>
      <c r="G3238">
        <v>770.66</v>
      </c>
      <c r="H3238">
        <v>53</v>
      </c>
      <c r="I3238" t="s">
        <v>16</v>
      </c>
      <c r="J3238">
        <v>3.6</v>
      </c>
      <c r="K3238" t="s">
        <v>26</v>
      </c>
      <c r="L3238" t="s">
        <v>18</v>
      </c>
      <c r="M3238" t="str">
        <f>VLOOKUP(D3242,Restaurant_Master!A:B,2,FALSE)</f>
        <v>https://content.jdmagicbox.com/comp/deoria/g6/9999p5568.5568.200119143033.m4g6/catalogue/biryani-house-deoria-ho-deoria-mktc2xph0o.jpg</v>
      </c>
    </row>
    <row r="3239" spans="1:13" x14ac:dyDescent="0.3">
      <c r="A3239" t="s">
        <v>3269</v>
      </c>
      <c r="B3239" s="1">
        <v>45465</v>
      </c>
      <c r="C3239" t="s">
        <v>20</v>
      </c>
      <c r="D3239" t="s">
        <v>21</v>
      </c>
      <c r="E3239">
        <v>19</v>
      </c>
      <c r="F3239" t="s">
        <v>15</v>
      </c>
      <c r="G3239">
        <v>605.34</v>
      </c>
      <c r="H3239">
        <v>28</v>
      </c>
      <c r="I3239" t="s">
        <v>22</v>
      </c>
      <c r="J3239">
        <v>3.7</v>
      </c>
      <c r="K3239" t="s">
        <v>26</v>
      </c>
      <c r="L3239" t="s">
        <v>18</v>
      </c>
      <c r="M3239" t="str">
        <f>VLOOKUP(D3243,Restaurant_Master!A:B,2,FALSE)</f>
        <v>https://www.chatswoodinterchange.com/storages/2018/08/Sushi-World_666x448.jpg</v>
      </c>
    </row>
    <row r="3240" spans="1:13" x14ac:dyDescent="0.3">
      <c r="A3240" t="s">
        <v>3270</v>
      </c>
      <c r="B3240" s="1">
        <v>45382</v>
      </c>
      <c r="C3240" t="s">
        <v>13</v>
      </c>
      <c r="D3240" t="s">
        <v>32</v>
      </c>
      <c r="E3240">
        <v>49</v>
      </c>
      <c r="F3240" t="s">
        <v>28</v>
      </c>
      <c r="G3240">
        <v>448.84</v>
      </c>
      <c r="H3240">
        <v>53</v>
      </c>
      <c r="I3240" t="s">
        <v>16</v>
      </c>
      <c r="J3240">
        <v>3.8</v>
      </c>
      <c r="K3240" t="s">
        <v>26</v>
      </c>
      <c r="L3240" t="s">
        <v>18</v>
      </c>
      <c r="M3240" t="str">
        <f>VLOOKUP(D3244,Restaurant_Master!A:B,2,FALSE)</f>
        <v>https://dynamic-media-cdn.tripadvisor.com/media/photo-o/1c/e7/04/0d/front-of-the-local-easily.jpg</v>
      </c>
    </row>
    <row r="3241" spans="1:13" x14ac:dyDescent="0.3">
      <c r="A3241" t="s">
        <v>3271</v>
      </c>
      <c r="B3241" s="1">
        <v>45455</v>
      </c>
      <c r="C3241" t="s">
        <v>13</v>
      </c>
      <c r="D3241" t="s">
        <v>25</v>
      </c>
      <c r="E3241">
        <v>38</v>
      </c>
      <c r="F3241" t="s">
        <v>28</v>
      </c>
      <c r="G3241">
        <v>381.33</v>
      </c>
      <c r="H3241">
        <v>20</v>
      </c>
      <c r="I3241" t="s">
        <v>22</v>
      </c>
      <c r="J3241">
        <v>2.8</v>
      </c>
      <c r="K3241" t="s">
        <v>17</v>
      </c>
      <c r="L3241" t="s">
        <v>23</v>
      </c>
      <c r="M3241" t="str">
        <f>VLOOKUP(D3245,Restaurant_Master!A:B,2,FALSE)</f>
        <v>https://media-cdn.tripadvisor.com/media/photo-s/1c/c7/97/b6/photo6jpg.jpg</v>
      </c>
    </row>
    <row r="3242" spans="1:13" x14ac:dyDescent="0.3">
      <c r="A3242" t="s">
        <v>3272</v>
      </c>
      <c r="B3242" s="1">
        <v>45386</v>
      </c>
      <c r="C3242" t="s">
        <v>13</v>
      </c>
      <c r="D3242" t="s">
        <v>32</v>
      </c>
      <c r="E3242">
        <v>31</v>
      </c>
      <c r="F3242" t="s">
        <v>28</v>
      </c>
      <c r="G3242">
        <v>1186.6300000000001</v>
      </c>
      <c r="H3242">
        <v>24</v>
      </c>
      <c r="I3242" t="s">
        <v>22</v>
      </c>
      <c r="J3242">
        <v>3.1</v>
      </c>
      <c r="K3242" t="s">
        <v>26</v>
      </c>
      <c r="L3242" t="s">
        <v>18</v>
      </c>
      <c r="M3242" t="str">
        <f>VLOOKUP(D3246,Restaurant_Master!A:B,2,FALSE)</f>
        <v>https://www.chatswoodinterchange.com/storages/2018/08/Sushi-World_666x448.jpg</v>
      </c>
    </row>
    <row r="3243" spans="1:13" x14ac:dyDescent="0.3">
      <c r="A3243" t="s">
        <v>3273</v>
      </c>
      <c r="B3243" s="1">
        <v>45604</v>
      </c>
      <c r="C3243" t="s">
        <v>13</v>
      </c>
      <c r="D3243" t="s">
        <v>38</v>
      </c>
      <c r="E3243">
        <v>36</v>
      </c>
      <c r="F3243" t="s">
        <v>15</v>
      </c>
      <c r="G3243">
        <v>857.34</v>
      </c>
      <c r="H3243">
        <v>29</v>
      </c>
      <c r="I3243" t="s">
        <v>22</v>
      </c>
      <c r="J3243">
        <v>4.8</v>
      </c>
      <c r="K3243" t="s">
        <v>26</v>
      </c>
      <c r="L3243" t="s">
        <v>23</v>
      </c>
      <c r="M3243" t="str">
        <f>VLOOKUP(D3247,Restaurant_Master!A:B,2,FALSE)</f>
        <v>https://media-cdn.tripadvisor.com/media/photo-s/1c/c7/97/b6/photo6jpg.jpg</v>
      </c>
    </row>
    <row r="3244" spans="1:13" x14ac:dyDescent="0.3">
      <c r="A3244" t="s">
        <v>3274</v>
      </c>
      <c r="B3244" s="1">
        <v>45518</v>
      </c>
      <c r="C3244" t="s">
        <v>36</v>
      </c>
      <c r="D3244" t="s">
        <v>21</v>
      </c>
      <c r="E3244">
        <v>45</v>
      </c>
      <c r="F3244" t="s">
        <v>15</v>
      </c>
      <c r="G3244">
        <v>846.36</v>
      </c>
      <c r="H3244">
        <v>24</v>
      </c>
      <c r="I3244" t="s">
        <v>22</v>
      </c>
      <c r="J3244">
        <v>3.4</v>
      </c>
      <c r="K3244" t="s">
        <v>41</v>
      </c>
      <c r="L3244" t="s">
        <v>23</v>
      </c>
      <c r="M3244" t="str">
        <f>VLOOKUP(D3248,Restaurant_Master!A:B,2,FALSE)</f>
        <v>https://dynamic-media-cdn.tripadvisor.com/media/photo-o/1c/e7/04/0d/front-of-the-local-easily.jpg</v>
      </c>
    </row>
    <row r="3245" spans="1:13" x14ac:dyDescent="0.3">
      <c r="A3245" t="s">
        <v>3275</v>
      </c>
      <c r="B3245" s="1">
        <v>45477</v>
      </c>
      <c r="C3245" t="s">
        <v>43</v>
      </c>
      <c r="D3245" t="s">
        <v>25</v>
      </c>
      <c r="E3245">
        <v>46</v>
      </c>
      <c r="F3245" t="s">
        <v>28</v>
      </c>
      <c r="G3245">
        <v>875.54</v>
      </c>
      <c r="H3245">
        <v>60</v>
      </c>
      <c r="I3245" t="s">
        <v>16</v>
      </c>
      <c r="J3245">
        <v>4.4000000000000004</v>
      </c>
      <c r="K3245" t="s">
        <v>29</v>
      </c>
      <c r="L3245" t="s">
        <v>18</v>
      </c>
      <c r="M3245" t="str">
        <f>VLOOKUP(D3249,Restaurant_Master!A:B,2,FALSE)</f>
        <v>https://dineout-media-assets.swiggy.com/swiggy/image/upload/fl_lossy,f_auto,q_auto/v1660793737/fdqxvxcxg1wtdwvyv45v.jpg</v>
      </c>
    </row>
    <row r="3246" spans="1:13" x14ac:dyDescent="0.3">
      <c r="A3246" t="s">
        <v>3276</v>
      </c>
      <c r="B3246" s="1">
        <v>45536</v>
      </c>
      <c r="C3246" t="s">
        <v>20</v>
      </c>
      <c r="D3246" t="s">
        <v>38</v>
      </c>
      <c r="E3246">
        <v>48</v>
      </c>
      <c r="F3246" t="s">
        <v>28</v>
      </c>
      <c r="G3246">
        <v>821.31</v>
      </c>
      <c r="H3246">
        <v>56</v>
      </c>
      <c r="I3246" t="s">
        <v>16</v>
      </c>
      <c r="J3246">
        <v>3.5</v>
      </c>
      <c r="K3246" t="s">
        <v>41</v>
      </c>
      <c r="L3246" t="s">
        <v>23</v>
      </c>
      <c r="M3246" t="str">
        <f>VLOOKUP(D3250,Restaurant_Master!A:B,2,FALSE)</f>
        <v>https://dineout-media-assets.swiggy.com/swiggy/image/upload/fl_lossy,f_auto,q_auto/v1660793737/fdqxvxcxg1wtdwvyv45v.jpg</v>
      </c>
    </row>
    <row r="3247" spans="1:13" x14ac:dyDescent="0.3">
      <c r="A3247" t="s">
        <v>3277</v>
      </c>
      <c r="B3247" s="1">
        <v>45626</v>
      </c>
      <c r="C3247" t="s">
        <v>13</v>
      </c>
      <c r="D3247" t="s">
        <v>25</v>
      </c>
      <c r="E3247">
        <v>44</v>
      </c>
      <c r="F3247" t="s">
        <v>28</v>
      </c>
      <c r="G3247">
        <v>1052.08</v>
      </c>
      <c r="H3247">
        <v>55</v>
      </c>
      <c r="I3247" t="s">
        <v>16</v>
      </c>
      <c r="J3247">
        <v>2.8</v>
      </c>
      <c r="K3247" t="s">
        <v>17</v>
      </c>
      <c r="L3247" t="s">
        <v>23</v>
      </c>
      <c r="M3247" t="str">
        <f>VLOOKUP(D3251,Restaurant_Master!A:B,2,FALSE)</f>
        <v>https://www.chatswoodinterchange.com/storages/2018/08/Sushi-World_666x448.jpg</v>
      </c>
    </row>
    <row r="3248" spans="1:13" x14ac:dyDescent="0.3">
      <c r="A3248" t="s">
        <v>3278</v>
      </c>
      <c r="B3248" s="1">
        <v>45401</v>
      </c>
      <c r="C3248" t="s">
        <v>43</v>
      </c>
      <c r="D3248" t="s">
        <v>21</v>
      </c>
      <c r="E3248">
        <v>55</v>
      </c>
      <c r="F3248" t="s">
        <v>28</v>
      </c>
      <c r="G3248">
        <v>1101.5</v>
      </c>
      <c r="H3248">
        <v>32</v>
      </c>
      <c r="I3248" t="s">
        <v>22</v>
      </c>
      <c r="J3248">
        <v>2.8</v>
      </c>
      <c r="K3248" t="s">
        <v>17</v>
      </c>
      <c r="L3248" t="s">
        <v>18</v>
      </c>
      <c r="M3248" t="str">
        <f>VLOOKUP(D3252,Restaurant_Master!A:B,2,FALSE)</f>
        <v>https://www.chatswoodinterchange.com/storages/2018/08/Sushi-World_666x448.jpg</v>
      </c>
    </row>
    <row r="3249" spans="1:13" x14ac:dyDescent="0.3">
      <c r="A3249" t="s">
        <v>3279</v>
      </c>
      <c r="B3249" s="1">
        <v>45521</v>
      </c>
      <c r="C3249" t="s">
        <v>13</v>
      </c>
      <c r="D3249" t="s">
        <v>14</v>
      </c>
      <c r="E3249">
        <v>25</v>
      </c>
      <c r="F3249" t="s">
        <v>28</v>
      </c>
      <c r="G3249">
        <v>1059.22</v>
      </c>
      <c r="H3249">
        <v>23</v>
      </c>
      <c r="I3249" t="s">
        <v>22</v>
      </c>
      <c r="J3249">
        <v>3.4</v>
      </c>
      <c r="K3249" t="s">
        <v>29</v>
      </c>
      <c r="L3249" t="s">
        <v>18</v>
      </c>
      <c r="M3249" t="str">
        <f>VLOOKUP(D3253,Restaurant_Master!A:B,2,FALSE)</f>
        <v>https://www.chatswoodinterchange.com/storages/2018/08/Sushi-World_666x448.jpg</v>
      </c>
    </row>
    <row r="3250" spans="1:13" x14ac:dyDescent="0.3">
      <c r="A3250" t="s">
        <v>3280</v>
      </c>
      <c r="B3250" s="1">
        <v>45455</v>
      </c>
      <c r="C3250" t="s">
        <v>34</v>
      </c>
      <c r="D3250" t="s">
        <v>14</v>
      </c>
      <c r="E3250">
        <v>43</v>
      </c>
      <c r="F3250" t="s">
        <v>28</v>
      </c>
      <c r="G3250">
        <v>243.09</v>
      </c>
      <c r="H3250">
        <v>42</v>
      </c>
      <c r="I3250" t="s">
        <v>16</v>
      </c>
      <c r="J3250">
        <v>4.0999999999999996</v>
      </c>
      <c r="K3250" t="s">
        <v>26</v>
      </c>
      <c r="L3250" t="s">
        <v>18</v>
      </c>
      <c r="M3250" t="str">
        <f>VLOOKUP(D3254,Restaurant_Master!A:B,2,FALSE)</f>
        <v>https://www.chatswoodinterchange.com/storages/2018/08/Sushi-World_666x448.jpg</v>
      </c>
    </row>
    <row r="3251" spans="1:13" x14ac:dyDescent="0.3">
      <c r="A3251" t="s">
        <v>3281</v>
      </c>
      <c r="B3251" s="1">
        <v>45610</v>
      </c>
      <c r="C3251" t="s">
        <v>36</v>
      </c>
      <c r="D3251" t="s">
        <v>38</v>
      </c>
      <c r="E3251">
        <v>25</v>
      </c>
      <c r="F3251" t="s">
        <v>28</v>
      </c>
      <c r="G3251">
        <v>1087.7</v>
      </c>
      <c r="H3251">
        <v>37</v>
      </c>
      <c r="I3251" t="s">
        <v>22</v>
      </c>
      <c r="J3251">
        <v>3.5</v>
      </c>
      <c r="K3251" t="s">
        <v>17</v>
      </c>
      <c r="L3251" t="s">
        <v>23</v>
      </c>
      <c r="M3251" t="str">
        <f>VLOOKUP(D3255,Restaurant_Master!A:B,2,FALSE)</f>
        <v>https://dynamic-media-cdn.tripadvisor.com/media/photo-o/1c/e7/04/0d/front-of-the-local-easily.jpg</v>
      </c>
    </row>
    <row r="3252" spans="1:13" x14ac:dyDescent="0.3">
      <c r="A3252" t="s">
        <v>3282</v>
      </c>
      <c r="B3252" s="1">
        <v>45341</v>
      </c>
      <c r="C3252" t="s">
        <v>36</v>
      </c>
      <c r="D3252" t="s">
        <v>38</v>
      </c>
      <c r="E3252">
        <v>32</v>
      </c>
      <c r="F3252" t="s">
        <v>15</v>
      </c>
      <c r="G3252">
        <v>859.53</v>
      </c>
      <c r="H3252">
        <v>20</v>
      </c>
      <c r="I3252" t="s">
        <v>22</v>
      </c>
      <c r="J3252">
        <v>3</v>
      </c>
      <c r="K3252" t="s">
        <v>17</v>
      </c>
      <c r="L3252" t="s">
        <v>18</v>
      </c>
      <c r="M3252" t="str">
        <f>VLOOKUP(D3256,Restaurant_Master!A:B,2,FALSE)</f>
        <v>https://dynamic-media-cdn.tripadvisor.com/media/photo-o/1c/e7/04/0d/front-of-the-local-easily.jpg</v>
      </c>
    </row>
    <row r="3253" spans="1:13" x14ac:dyDescent="0.3">
      <c r="A3253" t="s">
        <v>3283</v>
      </c>
      <c r="B3253" s="1">
        <v>45605</v>
      </c>
      <c r="C3253" t="s">
        <v>13</v>
      </c>
      <c r="D3253" t="s">
        <v>38</v>
      </c>
      <c r="E3253">
        <v>42</v>
      </c>
      <c r="F3253" t="s">
        <v>28</v>
      </c>
      <c r="G3253">
        <v>701.47</v>
      </c>
      <c r="H3253">
        <v>54</v>
      </c>
      <c r="I3253" t="s">
        <v>16</v>
      </c>
      <c r="J3253">
        <v>3.4</v>
      </c>
      <c r="K3253" t="s">
        <v>17</v>
      </c>
      <c r="L3253" t="s">
        <v>23</v>
      </c>
      <c r="M3253" t="str">
        <f>VLOOKUP(D3257,Restaurant_Master!A:B,2,FALSE)</f>
        <v>https://www.chatswoodinterchange.com/storages/2018/08/Sushi-World_666x448.jpg</v>
      </c>
    </row>
    <row r="3254" spans="1:13" x14ac:dyDescent="0.3">
      <c r="A3254" t="s">
        <v>3284</v>
      </c>
      <c r="B3254" s="1">
        <v>45298</v>
      </c>
      <c r="C3254" t="s">
        <v>13</v>
      </c>
      <c r="D3254" t="s">
        <v>38</v>
      </c>
      <c r="E3254">
        <v>42</v>
      </c>
      <c r="F3254" t="s">
        <v>15</v>
      </c>
      <c r="G3254">
        <v>1096.08</v>
      </c>
      <c r="H3254">
        <v>39</v>
      </c>
      <c r="I3254" t="s">
        <v>22</v>
      </c>
      <c r="J3254">
        <v>2.7</v>
      </c>
      <c r="K3254" t="s">
        <v>26</v>
      </c>
      <c r="L3254" t="s">
        <v>23</v>
      </c>
      <c r="M3254" t="str">
        <f>VLOOKUP(D3258,Restaurant_Master!A:B,2,FALSE)</f>
        <v>https://dineout-media-assets.swiggy.com/swiggy/image/upload/fl_lossy,f_auto,q_auto/v1660793737/fdqxvxcxg1wtdwvyv45v.jpg</v>
      </c>
    </row>
    <row r="3255" spans="1:13" x14ac:dyDescent="0.3">
      <c r="A3255" t="s">
        <v>3285</v>
      </c>
      <c r="B3255" s="1">
        <v>45296</v>
      </c>
      <c r="C3255" t="s">
        <v>20</v>
      </c>
      <c r="D3255" t="s">
        <v>21</v>
      </c>
      <c r="E3255">
        <v>27</v>
      </c>
      <c r="F3255" t="s">
        <v>28</v>
      </c>
      <c r="G3255">
        <v>421.48</v>
      </c>
      <c r="H3255">
        <v>60</v>
      </c>
      <c r="I3255" t="s">
        <v>16</v>
      </c>
      <c r="J3255">
        <v>2.9</v>
      </c>
      <c r="K3255" t="s">
        <v>17</v>
      </c>
      <c r="L3255" t="s">
        <v>18</v>
      </c>
      <c r="M3255" t="str">
        <f>VLOOKUP(D3259,Restaurant_Master!A:B,2,FALSE)</f>
        <v>https://www.chatswoodinterchange.com/storages/2018/08/Sushi-World_666x448.jpg</v>
      </c>
    </row>
    <row r="3256" spans="1:13" x14ac:dyDescent="0.3">
      <c r="A3256" t="s">
        <v>3286</v>
      </c>
      <c r="B3256" s="1">
        <v>45592</v>
      </c>
      <c r="C3256" t="s">
        <v>34</v>
      </c>
      <c r="D3256" t="s">
        <v>21</v>
      </c>
      <c r="E3256">
        <v>33</v>
      </c>
      <c r="F3256" t="s">
        <v>28</v>
      </c>
      <c r="G3256">
        <v>748.21</v>
      </c>
      <c r="H3256">
        <v>25</v>
      </c>
      <c r="I3256" t="s">
        <v>22</v>
      </c>
      <c r="J3256">
        <v>3.6</v>
      </c>
      <c r="K3256" t="s">
        <v>17</v>
      </c>
      <c r="L3256" t="s">
        <v>23</v>
      </c>
      <c r="M3256" t="str">
        <f>VLOOKUP(D3260,Restaurant_Master!A:B,2,FALSE)</f>
        <v>https://dynamic-media-cdn.tripadvisor.com/media/photo-o/1c/e7/04/0d/front-of-the-local-easily.jpg</v>
      </c>
    </row>
    <row r="3257" spans="1:13" x14ac:dyDescent="0.3">
      <c r="A3257" t="s">
        <v>3287</v>
      </c>
      <c r="B3257" s="1">
        <v>45561</v>
      </c>
      <c r="C3257" t="s">
        <v>13</v>
      </c>
      <c r="D3257" t="s">
        <v>38</v>
      </c>
      <c r="E3257">
        <v>32</v>
      </c>
      <c r="F3257" t="s">
        <v>28</v>
      </c>
      <c r="G3257">
        <v>353.57</v>
      </c>
      <c r="H3257">
        <v>53</v>
      </c>
      <c r="I3257" t="s">
        <v>16</v>
      </c>
      <c r="J3257">
        <v>3.3</v>
      </c>
      <c r="K3257" t="s">
        <v>41</v>
      </c>
      <c r="L3257" t="s">
        <v>18</v>
      </c>
      <c r="M3257" t="str">
        <f>VLOOKUP(D3261,Restaurant_Master!A:B,2,FALSE)</f>
        <v>https://www.chatswoodinterchange.com/storages/2018/08/Sushi-World_666x448.jpg</v>
      </c>
    </row>
    <row r="3258" spans="1:13" x14ac:dyDescent="0.3">
      <c r="A3258" t="s">
        <v>3288</v>
      </c>
      <c r="B3258" s="1">
        <v>45352</v>
      </c>
      <c r="C3258" t="s">
        <v>13</v>
      </c>
      <c r="D3258" t="s">
        <v>14</v>
      </c>
      <c r="E3258">
        <v>55</v>
      </c>
      <c r="F3258" t="s">
        <v>15</v>
      </c>
      <c r="G3258">
        <v>1133.77</v>
      </c>
      <c r="H3258">
        <v>60</v>
      </c>
      <c r="I3258" t="s">
        <v>16</v>
      </c>
      <c r="J3258">
        <v>4.5</v>
      </c>
      <c r="K3258" t="s">
        <v>17</v>
      </c>
      <c r="L3258" t="s">
        <v>18</v>
      </c>
      <c r="M3258" t="str">
        <f>VLOOKUP(D3262,Restaurant_Master!A:B,2,FALSE)</f>
        <v>https://www.chatswoodinterchange.com/storages/2018/08/Sushi-World_666x448.jpg</v>
      </c>
    </row>
    <row r="3259" spans="1:13" x14ac:dyDescent="0.3">
      <c r="A3259" t="s">
        <v>3289</v>
      </c>
      <c r="B3259" s="1">
        <v>45639</v>
      </c>
      <c r="C3259" t="s">
        <v>20</v>
      </c>
      <c r="D3259" t="s">
        <v>38</v>
      </c>
      <c r="E3259">
        <v>18</v>
      </c>
      <c r="F3259" t="s">
        <v>28</v>
      </c>
      <c r="G3259">
        <v>245.06</v>
      </c>
      <c r="H3259">
        <v>31</v>
      </c>
      <c r="I3259" t="s">
        <v>22</v>
      </c>
      <c r="J3259">
        <v>2.6</v>
      </c>
      <c r="K3259" t="s">
        <v>29</v>
      </c>
      <c r="L3259" t="s">
        <v>23</v>
      </c>
      <c r="M3259" t="str">
        <f>VLOOKUP(D3263,Restaurant_Master!A:B,2,FALSE)</f>
        <v>https://www.chatswoodinterchange.com/storages/2018/08/Sushi-World_666x448.jpg</v>
      </c>
    </row>
    <row r="3260" spans="1:13" x14ac:dyDescent="0.3">
      <c r="A3260" t="s">
        <v>3290</v>
      </c>
      <c r="B3260" s="1">
        <v>45311</v>
      </c>
      <c r="C3260" t="s">
        <v>34</v>
      </c>
      <c r="D3260" t="s">
        <v>21</v>
      </c>
      <c r="E3260">
        <v>46</v>
      </c>
      <c r="F3260" t="s">
        <v>15</v>
      </c>
      <c r="G3260">
        <v>617.17999999999995</v>
      </c>
      <c r="H3260">
        <v>45</v>
      </c>
      <c r="I3260" t="s">
        <v>16</v>
      </c>
      <c r="J3260">
        <v>4.4000000000000004</v>
      </c>
      <c r="K3260" t="s">
        <v>17</v>
      </c>
      <c r="L3260" t="s">
        <v>18</v>
      </c>
      <c r="M3260" t="str">
        <f>VLOOKUP(D3264,Restaurant_Master!A:B,2,FALSE)</f>
        <v>https://dynamic-media-cdn.tripadvisor.com/media/photo-o/1c/e7/04/0d/front-of-the-local-easily.jpg</v>
      </c>
    </row>
    <row r="3261" spans="1:13" x14ac:dyDescent="0.3">
      <c r="A3261" t="s">
        <v>3291</v>
      </c>
      <c r="B3261" s="1">
        <v>45536</v>
      </c>
      <c r="C3261" t="s">
        <v>13</v>
      </c>
      <c r="D3261" t="s">
        <v>38</v>
      </c>
      <c r="E3261">
        <v>42</v>
      </c>
      <c r="F3261" t="s">
        <v>28</v>
      </c>
      <c r="G3261">
        <v>925.66</v>
      </c>
      <c r="H3261">
        <v>55</v>
      </c>
      <c r="I3261" t="s">
        <v>16</v>
      </c>
      <c r="J3261">
        <v>2.6</v>
      </c>
      <c r="K3261" t="s">
        <v>17</v>
      </c>
      <c r="L3261" t="s">
        <v>23</v>
      </c>
      <c r="M3261" t="str">
        <f>VLOOKUP(D3265,Restaurant_Master!A:B,2,FALSE)</f>
        <v>https://content.jdmagicbox.com/comp/deoria/g6/9999p5568.5568.200119143033.m4g6/catalogue/biryani-house-deoria-ho-deoria-mktc2xph0o.jpg</v>
      </c>
    </row>
    <row r="3262" spans="1:13" x14ac:dyDescent="0.3">
      <c r="A3262" t="s">
        <v>3292</v>
      </c>
      <c r="B3262" s="1">
        <v>45357</v>
      </c>
      <c r="C3262" t="s">
        <v>13</v>
      </c>
      <c r="D3262" t="s">
        <v>38</v>
      </c>
      <c r="E3262">
        <v>27</v>
      </c>
      <c r="F3262" t="s">
        <v>15</v>
      </c>
      <c r="G3262">
        <v>484.45</v>
      </c>
      <c r="H3262">
        <v>48</v>
      </c>
      <c r="I3262" t="s">
        <v>16</v>
      </c>
      <c r="J3262">
        <v>4.4000000000000004</v>
      </c>
      <c r="K3262" t="s">
        <v>41</v>
      </c>
      <c r="L3262" t="s">
        <v>23</v>
      </c>
      <c r="M3262" t="str">
        <f>VLOOKUP(D3266,Restaurant_Master!A:B,2,FALSE)</f>
        <v>https://dynamic-media-cdn.tripadvisor.com/media/photo-o/1c/e7/04/0d/front-of-the-local-easily.jpg</v>
      </c>
    </row>
    <row r="3263" spans="1:13" x14ac:dyDescent="0.3">
      <c r="A3263" t="s">
        <v>3293</v>
      </c>
      <c r="B3263" s="1">
        <v>45611</v>
      </c>
      <c r="C3263" t="s">
        <v>43</v>
      </c>
      <c r="D3263" t="s">
        <v>38</v>
      </c>
      <c r="E3263">
        <v>35</v>
      </c>
      <c r="F3263" t="s">
        <v>28</v>
      </c>
      <c r="G3263">
        <v>360.2</v>
      </c>
      <c r="H3263">
        <v>23</v>
      </c>
      <c r="I3263" t="s">
        <v>22</v>
      </c>
      <c r="J3263">
        <v>4.5</v>
      </c>
      <c r="K3263" t="s">
        <v>17</v>
      </c>
      <c r="L3263" t="s">
        <v>18</v>
      </c>
      <c r="M3263" t="str">
        <f>VLOOKUP(D3267,Restaurant_Master!A:B,2,FALSE)</f>
        <v>https://content.jdmagicbox.com/comp/deoria/g6/9999p5568.5568.200119143033.m4g6/catalogue/biryani-house-deoria-ho-deoria-mktc2xph0o.jpg</v>
      </c>
    </row>
    <row r="3264" spans="1:13" x14ac:dyDescent="0.3">
      <c r="A3264" t="s">
        <v>3294</v>
      </c>
      <c r="B3264" s="1">
        <v>45566</v>
      </c>
      <c r="C3264" t="s">
        <v>43</v>
      </c>
      <c r="D3264" t="s">
        <v>21</v>
      </c>
      <c r="E3264">
        <v>39</v>
      </c>
      <c r="F3264" t="s">
        <v>28</v>
      </c>
      <c r="G3264">
        <v>657.94</v>
      </c>
      <c r="H3264">
        <v>57</v>
      </c>
      <c r="I3264" t="s">
        <v>16</v>
      </c>
      <c r="J3264">
        <v>3.9</v>
      </c>
      <c r="K3264" t="s">
        <v>17</v>
      </c>
      <c r="L3264" t="s">
        <v>23</v>
      </c>
      <c r="M3264" t="str">
        <f>VLOOKUP(D3268,Restaurant_Master!A:B,2,FALSE)</f>
        <v>https://dynamic-media-cdn.tripadvisor.com/media/photo-o/1c/e7/04/0d/front-of-the-local-easily.jpg</v>
      </c>
    </row>
    <row r="3265" spans="1:13" x14ac:dyDescent="0.3">
      <c r="A3265" t="s">
        <v>3295</v>
      </c>
      <c r="B3265" s="1">
        <v>45506</v>
      </c>
      <c r="C3265" t="s">
        <v>34</v>
      </c>
      <c r="D3265" t="s">
        <v>32</v>
      </c>
      <c r="E3265">
        <v>48</v>
      </c>
      <c r="F3265" t="s">
        <v>15</v>
      </c>
      <c r="G3265">
        <v>239.17</v>
      </c>
      <c r="H3265">
        <v>53</v>
      </c>
      <c r="I3265" t="s">
        <v>16</v>
      </c>
      <c r="J3265">
        <v>2.8</v>
      </c>
      <c r="K3265" t="s">
        <v>17</v>
      </c>
      <c r="L3265" t="s">
        <v>18</v>
      </c>
      <c r="M3265" t="str">
        <f>VLOOKUP(D3269,Restaurant_Master!A:B,2,FALSE)</f>
        <v>https://dineout-media-assets.swiggy.com/swiggy/image/upload/fl_lossy,f_auto,q_auto/v1660793737/fdqxvxcxg1wtdwvyv45v.jpg</v>
      </c>
    </row>
    <row r="3266" spans="1:13" x14ac:dyDescent="0.3">
      <c r="A3266" t="s">
        <v>3296</v>
      </c>
      <c r="B3266" s="1">
        <v>45617</v>
      </c>
      <c r="C3266" t="s">
        <v>13</v>
      </c>
      <c r="D3266" t="s">
        <v>21</v>
      </c>
      <c r="E3266">
        <v>25</v>
      </c>
      <c r="F3266" t="s">
        <v>28</v>
      </c>
      <c r="G3266">
        <v>1108.31</v>
      </c>
      <c r="H3266">
        <v>28</v>
      </c>
      <c r="I3266" t="s">
        <v>22</v>
      </c>
      <c r="J3266">
        <v>3.1</v>
      </c>
      <c r="K3266" t="s">
        <v>29</v>
      </c>
      <c r="L3266" t="s">
        <v>23</v>
      </c>
      <c r="M3266" t="str">
        <f>VLOOKUP(D3270,Restaurant_Master!A:B,2,FALSE)</f>
        <v>https://dineout-media-assets.swiggy.com/swiggy/image/upload/fl_lossy,f_auto,q_auto/v1660793737/fdqxvxcxg1wtdwvyv45v.jpg</v>
      </c>
    </row>
    <row r="3267" spans="1:13" x14ac:dyDescent="0.3">
      <c r="A3267" t="s">
        <v>3297</v>
      </c>
      <c r="B3267" s="1">
        <v>45594</v>
      </c>
      <c r="C3267" t="s">
        <v>20</v>
      </c>
      <c r="D3267" t="s">
        <v>32</v>
      </c>
      <c r="E3267">
        <v>34</v>
      </c>
      <c r="F3267" t="s">
        <v>28</v>
      </c>
      <c r="G3267">
        <v>1177.45</v>
      </c>
      <c r="H3267">
        <v>52</v>
      </c>
      <c r="I3267" t="s">
        <v>16</v>
      </c>
      <c r="J3267">
        <v>4.0999999999999996</v>
      </c>
      <c r="K3267" t="s">
        <v>26</v>
      </c>
      <c r="L3267" t="s">
        <v>23</v>
      </c>
      <c r="M3267" t="str">
        <f>VLOOKUP(D3271,Restaurant_Master!A:B,2,FALSE)</f>
        <v>https://dineout-media-assets.swiggy.com/swiggy/image/upload/fl_lossy,f_auto,q_auto/v1660793737/fdqxvxcxg1wtdwvyv45v.jpg</v>
      </c>
    </row>
    <row r="3268" spans="1:13" x14ac:dyDescent="0.3">
      <c r="A3268" t="s">
        <v>3298</v>
      </c>
      <c r="B3268" s="1">
        <v>45399</v>
      </c>
      <c r="C3268" t="s">
        <v>34</v>
      </c>
      <c r="D3268" t="s">
        <v>21</v>
      </c>
      <c r="E3268">
        <v>56</v>
      </c>
      <c r="F3268" t="s">
        <v>28</v>
      </c>
      <c r="G3268">
        <v>581.44000000000005</v>
      </c>
      <c r="H3268">
        <v>44</v>
      </c>
      <c r="I3268" t="s">
        <v>16</v>
      </c>
      <c r="J3268">
        <v>3.8</v>
      </c>
      <c r="K3268" t="s">
        <v>41</v>
      </c>
      <c r="L3268" t="s">
        <v>23</v>
      </c>
      <c r="M3268" t="str">
        <f>VLOOKUP(D3272,Restaurant_Master!A:B,2,FALSE)</f>
        <v>https://dineout-media-assets.swiggy.com/swiggy/image/upload/fl_lossy,f_auto,q_auto/v1660793737/fdqxvxcxg1wtdwvyv45v.jpg</v>
      </c>
    </row>
    <row r="3269" spans="1:13" x14ac:dyDescent="0.3">
      <c r="A3269" t="s">
        <v>3299</v>
      </c>
      <c r="B3269" s="1">
        <v>45401</v>
      </c>
      <c r="C3269" t="s">
        <v>36</v>
      </c>
      <c r="D3269" t="s">
        <v>14</v>
      </c>
      <c r="E3269">
        <v>41</v>
      </c>
      <c r="F3269" t="s">
        <v>15</v>
      </c>
      <c r="G3269">
        <v>664.16</v>
      </c>
      <c r="H3269">
        <v>34</v>
      </c>
      <c r="I3269" t="s">
        <v>22</v>
      </c>
      <c r="J3269">
        <v>3.4</v>
      </c>
      <c r="K3269" t="s">
        <v>26</v>
      </c>
      <c r="L3269" t="s">
        <v>23</v>
      </c>
      <c r="M3269" t="str">
        <f>VLOOKUP(D3273,Restaurant_Master!A:B,2,FALSE)</f>
        <v>https://dineout-media-assets.swiggy.com/swiggy/image/upload/fl_lossy,f_auto,q_auto/v1660793737/fdqxvxcxg1wtdwvyv45v.jpg</v>
      </c>
    </row>
    <row r="3270" spans="1:13" x14ac:dyDescent="0.3">
      <c r="A3270" t="s">
        <v>3300</v>
      </c>
      <c r="B3270" s="1">
        <v>45328</v>
      </c>
      <c r="C3270" t="s">
        <v>13</v>
      </c>
      <c r="D3270" t="s">
        <v>14</v>
      </c>
      <c r="E3270">
        <v>37</v>
      </c>
      <c r="F3270" t="s">
        <v>15</v>
      </c>
      <c r="G3270">
        <v>1155.97</v>
      </c>
      <c r="H3270">
        <v>31</v>
      </c>
      <c r="I3270" t="s">
        <v>22</v>
      </c>
      <c r="J3270">
        <v>3.7</v>
      </c>
      <c r="K3270" t="s">
        <v>17</v>
      </c>
      <c r="L3270" t="s">
        <v>23</v>
      </c>
      <c r="M3270" t="str">
        <f>VLOOKUP(D3274,Restaurant_Master!A:B,2,FALSE)</f>
        <v>https://media-cdn.tripadvisor.com/media/photo-s/1c/c7/97/b6/photo6jpg.jpg</v>
      </c>
    </row>
    <row r="3271" spans="1:13" x14ac:dyDescent="0.3">
      <c r="A3271" t="s">
        <v>3301</v>
      </c>
      <c r="B3271" s="1">
        <v>45468</v>
      </c>
      <c r="C3271" t="s">
        <v>36</v>
      </c>
      <c r="D3271" t="s">
        <v>14</v>
      </c>
      <c r="E3271">
        <v>59</v>
      </c>
      <c r="F3271" t="s">
        <v>15</v>
      </c>
      <c r="G3271">
        <v>862.67</v>
      </c>
      <c r="H3271">
        <v>26</v>
      </c>
      <c r="I3271" t="s">
        <v>22</v>
      </c>
      <c r="J3271">
        <v>3.4</v>
      </c>
      <c r="K3271" t="s">
        <v>26</v>
      </c>
      <c r="L3271" t="s">
        <v>23</v>
      </c>
      <c r="M3271" t="str">
        <f>VLOOKUP(D3275,Restaurant_Master!A:B,2,FALSE)</f>
        <v>https://www.chatswoodinterchange.com/storages/2018/08/Sushi-World_666x448.jpg</v>
      </c>
    </row>
    <row r="3272" spans="1:13" x14ac:dyDescent="0.3">
      <c r="A3272" t="s">
        <v>3302</v>
      </c>
      <c r="B3272" s="1">
        <v>45505</v>
      </c>
      <c r="C3272" t="s">
        <v>13</v>
      </c>
      <c r="D3272" t="s">
        <v>14</v>
      </c>
      <c r="E3272">
        <v>40</v>
      </c>
      <c r="F3272" t="s">
        <v>28</v>
      </c>
      <c r="G3272">
        <v>758.98</v>
      </c>
      <c r="H3272">
        <v>44</v>
      </c>
      <c r="I3272" t="s">
        <v>16</v>
      </c>
      <c r="J3272">
        <v>4</v>
      </c>
      <c r="K3272" t="s">
        <v>41</v>
      </c>
      <c r="L3272" t="s">
        <v>23</v>
      </c>
      <c r="M3272" t="str">
        <f>VLOOKUP(D3276,Restaurant_Master!A:B,2,FALSE)</f>
        <v>https://content.jdmagicbox.com/comp/deoria/g6/9999p5568.5568.200119143033.m4g6/catalogue/biryani-house-deoria-ho-deoria-mktc2xph0o.jpg</v>
      </c>
    </row>
    <row r="3273" spans="1:13" x14ac:dyDescent="0.3">
      <c r="A3273" t="s">
        <v>3303</v>
      </c>
      <c r="B3273" s="1">
        <v>45538</v>
      </c>
      <c r="C3273" t="s">
        <v>13</v>
      </c>
      <c r="D3273" t="s">
        <v>14</v>
      </c>
      <c r="E3273">
        <v>60</v>
      </c>
      <c r="F3273" t="s">
        <v>28</v>
      </c>
      <c r="G3273">
        <v>467.33</v>
      </c>
      <c r="H3273">
        <v>37</v>
      </c>
      <c r="I3273" t="s">
        <v>22</v>
      </c>
      <c r="J3273">
        <v>3.8</v>
      </c>
      <c r="K3273" t="s">
        <v>41</v>
      </c>
      <c r="L3273" t="s">
        <v>18</v>
      </c>
      <c r="M3273" t="str">
        <f>VLOOKUP(D3277,Restaurant_Master!A:B,2,FALSE)</f>
        <v>https://media-cdn.tripadvisor.com/media/photo-s/1c/c7/97/b6/photo6jpg.jpg</v>
      </c>
    </row>
    <row r="3274" spans="1:13" x14ac:dyDescent="0.3">
      <c r="A3274" t="s">
        <v>3304</v>
      </c>
      <c r="B3274" s="1">
        <v>45458</v>
      </c>
      <c r="C3274" t="s">
        <v>36</v>
      </c>
      <c r="D3274" t="s">
        <v>25</v>
      </c>
      <c r="E3274">
        <v>26</v>
      </c>
      <c r="F3274" t="s">
        <v>15</v>
      </c>
      <c r="G3274">
        <v>159.16999999999999</v>
      </c>
      <c r="H3274">
        <v>47</v>
      </c>
      <c r="I3274" t="s">
        <v>16</v>
      </c>
      <c r="J3274">
        <v>4.5</v>
      </c>
      <c r="K3274" t="s">
        <v>29</v>
      </c>
      <c r="L3274" t="s">
        <v>23</v>
      </c>
      <c r="M3274" t="str">
        <f>VLOOKUP(D3278,Restaurant_Master!A:B,2,FALSE)</f>
        <v>https://www.chatswoodinterchange.com/storages/2018/08/Sushi-World_666x448.jpg</v>
      </c>
    </row>
    <row r="3275" spans="1:13" x14ac:dyDescent="0.3">
      <c r="A3275" t="s">
        <v>3305</v>
      </c>
      <c r="B3275" s="1">
        <v>45624</v>
      </c>
      <c r="C3275" t="s">
        <v>36</v>
      </c>
      <c r="D3275" t="s">
        <v>38</v>
      </c>
      <c r="E3275">
        <v>58</v>
      </c>
      <c r="F3275" t="s">
        <v>28</v>
      </c>
      <c r="G3275">
        <v>1142.23</v>
      </c>
      <c r="H3275">
        <v>54</v>
      </c>
      <c r="I3275" t="s">
        <v>16</v>
      </c>
      <c r="J3275">
        <v>4.9000000000000004</v>
      </c>
      <c r="K3275" t="s">
        <v>41</v>
      </c>
      <c r="L3275" t="s">
        <v>23</v>
      </c>
      <c r="M3275" t="str">
        <f>VLOOKUP(D3279,Restaurant_Master!A:B,2,FALSE)</f>
        <v>https://dineout-media-assets.swiggy.com/swiggy/image/upload/fl_lossy,f_auto,q_auto/v1660793737/fdqxvxcxg1wtdwvyv45v.jpg</v>
      </c>
    </row>
    <row r="3276" spans="1:13" x14ac:dyDescent="0.3">
      <c r="A3276" t="s">
        <v>3306</v>
      </c>
      <c r="B3276" s="1">
        <v>45577</v>
      </c>
      <c r="C3276" t="s">
        <v>13</v>
      </c>
      <c r="D3276" t="s">
        <v>32</v>
      </c>
      <c r="E3276">
        <v>18</v>
      </c>
      <c r="F3276" t="s">
        <v>15</v>
      </c>
      <c r="G3276">
        <v>884.35</v>
      </c>
      <c r="H3276">
        <v>50</v>
      </c>
      <c r="I3276" t="s">
        <v>16</v>
      </c>
      <c r="J3276">
        <v>3.3</v>
      </c>
      <c r="K3276" t="s">
        <v>17</v>
      </c>
      <c r="L3276" t="s">
        <v>23</v>
      </c>
      <c r="M3276" t="str">
        <f>VLOOKUP(D3280,Restaurant_Master!A:B,2,FALSE)</f>
        <v>https://dineout-media-assets.swiggy.com/swiggy/image/upload/fl_lossy,f_auto,q_auto/v1660793737/fdqxvxcxg1wtdwvyv45v.jpg</v>
      </c>
    </row>
    <row r="3277" spans="1:13" x14ac:dyDescent="0.3">
      <c r="A3277" t="s">
        <v>3307</v>
      </c>
      <c r="B3277" s="1">
        <v>45466</v>
      </c>
      <c r="C3277" t="s">
        <v>20</v>
      </c>
      <c r="D3277" t="s">
        <v>25</v>
      </c>
      <c r="E3277">
        <v>26</v>
      </c>
      <c r="F3277" t="s">
        <v>15</v>
      </c>
      <c r="G3277">
        <v>532.35</v>
      </c>
      <c r="H3277">
        <v>59</v>
      </c>
      <c r="I3277" t="s">
        <v>16</v>
      </c>
      <c r="J3277">
        <v>4.5999999999999996</v>
      </c>
      <c r="K3277" t="s">
        <v>29</v>
      </c>
      <c r="L3277" t="s">
        <v>23</v>
      </c>
      <c r="M3277" t="str">
        <f>VLOOKUP(D3281,Restaurant_Master!A:B,2,FALSE)</f>
        <v>https://dineout-media-assets.swiggy.com/swiggy/image/upload/fl_lossy,f_auto,q_auto/v1660793737/fdqxvxcxg1wtdwvyv45v.jpg</v>
      </c>
    </row>
    <row r="3278" spans="1:13" x14ac:dyDescent="0.3">
      <c r="A3278" t="s">
        <v>3308</v>
      </c>
      <c r="B3278" s="1">
        <v>45418</v>
      </c>
      <c r="C3278" t="s">
        <v>13</v>
      </c>
      <c r="D3278" t="s">
        <v>38</v>
      </c>
      <c r="E3278">
        <v>33</v>
      </c>
      <c r="F3278" t="s">
        <v>28</v>
      </c>
      <c r="G3278">
        <v>819.59</v>
      </c>
      <c r="H3278">
        <v>53</v>
      </c>
      <c r="I3278" t="s">
        <v>16</v>
      </c>
      <c r="J3278">
        <v>3.1</v>
      </c>
      <c r="K3278" t="s">
        <v>26</v>
      </c>
      <c r="L3278" t="s">
        <v>23</v>
      </c>
      <c r="M3278" t="str">
        <f>VLOOKUP(D3282,Restaurant_Master!A:B,2,FALSE)</f>
        <v>https://www.chatswoodinterchange.com/storages/2018/08/Sushi-World_666x448.jpg</v>
      </c>
    </row>
    <row r="3279" spans="1:13" x14ac:dyDescent="0.3">
      <c r="A3279" t="s">
        <v>3309</v>
      </c>
      <c r="B3279" s="1">
        <v>45543</v>
      </c>
      <c r="C3279" t="s">
        <v>13</v>
      </c>
      <c r="D3279" t="s">
        <v>14</v>
      </c>
      <c r="E3279">
        <v>48</v>
      </c>
      <c r="F3279" t="s">
        <v>15</v>
      </c>
      <c r="G3279">
        <v>1072.72</v>
      </c>
      <c r="H3279">
        <v>51</v>
      </c>
      <c r="I3279" t="s">
        <v>16</v>
      </c>
      <c r="J3279">
        <v>2.9</v>
      </c>
      <c r="K3279" t="s">
        <v>26</v>
      </c>
      <c r="L3279" t="s">
        <v>23</v>
      </c>
      <c r="M3279" t="str">
        <f>VLOOKUP(D3283,Restaurant_Master!A:B,2,FALSE)</f>
        <v>https://media-cdn.tripadvisor.com/media/photo-s/1c/c7/97/b6/photo6jpg.jpg</v>
      </c>
    </row>
    <row r="3280" spans="1:13" x14ac:dyDescent="0.3">
      <c r="A3280" t="s">
        <v>3310</v>
      </c>
      <c r="B3280" s="1">
        <v>45541</v>
      </c>
      <c r="C3280" t="s">
        <v>13</v>
      </c>
      <c r="D3280" t="s">
        <v>14</v>
      </c>
      <c r="E3280">
        <v>31</v>
      </c>
      <c r="F3280" t="s">
        <v>15</v>
      </c>
      <c r="G3280">
        <v>234</v>
      </c>
      <c r="H3280">
        <v>50</v>
      </c>
      <c r="I3280" t="s">
        <v>16</v>
      </c>
      <c r="J3280">
        <v>3.5</v>
      </c>
      <c r="K3280" t="s">
        <v>17</v>
      </c>
      <c r="L3280" t="s">
        <v>18</v>
      </c>
      <c r="M3280" t="str">
        <f>VLOOKUP(D3284,Restaurant_Master!A:B,2,FALSE)</f>
        <v>https://www.chatswoodinterchange.com/storages/2018/08/Sushi-World_666x448.jpg</v>
      </c>
    </row>
    <row r="3281" spans="1:13" x14ac:dyDescent="0.3">
      <c r="A3281" t="s">
        <v>3311</v>
      </c>
      <c r="B3281" s="1">
        <v>45333</v>
      </c>
      <c r="C3281" t="s">
        <v>43</v>
      </c>
      <c r="D3281" t="s">
        <v>14</v>
      </c>
      <c r="E3281">
        <v>46</v>
      </c>
      <c r="F3281" t="s">
        <v>28</v>
      </c>
      <c r="G3281">
        <v>777.71</v>
      </c>
      <c r="H3281">
        <v>52</v>
      </c>
      <c r="I3281" t="s">
        <v>16</v>
      </c>
      <c r="J3281">
        <v>4.5</v>
      </c>
      <c r="K3281" t="s">
        <v>26</v>
      </c>
      <c r="L3281" t="s">
        <v>18</v>
      </c>
      <c r="M3281" t="str">
        <f>VLOOKUP(D3285,Restaurant_Master!A:B,2,FALSE)</f>
        <v>https://dynamic-media-cdn.tripadvisor.com/media/photo-o/1c/e7/04/0d/front-of-the-local-easily.jpg</v>
      </c>
    </row>
    <row r="3282" spans="1:13" x14ac:dyDescent="0.3">
      <c r="A3282" t="s">
        <v>3312</v>
      </c>
      <c r="B3282" s="1">
        <v>45499</v>
      </c>
      <c r="C3282" t="s">
        <v>36</v>
      </c>
      <c r="D3282" t="s">
        <v>38</v>
      </c>
      <c r="E3282">
        <v>33</v>
      </c>
      <c r="F3282" t="s">
        <v>28</v>
      </c>
      <c r="G3282">
        <v>1142.26</v>
      </c>
      <c r="H3282">
        <v>60</v>
      </c>
      <c r="I3282" t="s">
        <v>16</v>
      </c>
      <c r="J3282">
        <v>4.5</v>
      </c>
      <c r="K3282" t="s">
        <v>41</v>
      </c>
      <c r="L3282" t="s">
        <v>18</v>
      </c>
      <c r="M3282" t="str">
        <f>VLOOKUP(D3286,Restaurant_Master!A:B,2,FALSE)</f>
        <v>https://dynamic-media-cdn.tripadvisor.com/media/photo-o/1c/e7/04/0d/front-of-the-local-easily.jpg</v>
      </c>
    </row>
    <row r="3283" spans="1:13" x14ac:dyDescent="0.3">
      <c r="A3283" t="s">
        <v>3313</v>
      </c>
      <c r="B3283" s="1">
        <v>45466</v>
      </c>
      <c r="C3283" t="s">
        <v>20</v>
      </c>
      <c r="D3283" t="s">
        <v>25</v>
      </c>
      <c r="E3283">
        <v>42</v>
      </c>
      <c r="F3283" t="s">
        <v>28</v>
      </c>
      <c r="G3283">
        <v>515.24</v>
      </c>
      <c r="H3283">
        <v>46</v>
      </c>
      <c r="I3283" t="s">
        <v>16</v>
      </c>
      <c r="J3283">
        <v>5</v>
      </c>
      <c r="K3283" t="s">
        <v>29</v>
      </c>
      <c r="L3283" t="s">
        <v>23</v>
      </c>
      <c r="M3283" t="str">
        <f>VLOOKUP(D3287,Restaurant_Master!A:B,2,FALSE)</f>
        <v>https://content.jdmagicbox.com/comp/deoria/g6/9999p5568.5568.200119143033.m4g6/catalogue/biryani-house-deoria-ho-deoria-mktc2xph0o.jpg</v>
      </c>
    </row>
    <row r="3284" spans="1:13" x14ac:dyDescent="0.3">
      <c r="A3284" t="s">
        <v>3314</v>
      </c>
      <c r="B3284" s="1">
        <v>45509</v>
      </c>
      <c r="C3284" t="s">
        <v>36</v>
      </c>
      <c r="D3284" t="s">
        <v>38</v>
      </c>
      <c r="E3284">
        <v>46</v>
      </c>
      <c r="F3284" t="s">
        <v>28</v>
      </c>
      <c r="G3284">
        <v>624.73</v>
      </c>
      <c r="H3284">
        <v>23</v>
      </c>
      <c r="I3284" t="s">
        <v>22</v>
      </c>
      <c r="J3284">
        <v>4.3</v>
      </c>
      <c r="K3284" t="s">
        <v>41</v>
      </c>
      <c r="L3284" t="s">
        <v>23</v>
      </c>
      <c r="M3284" t="str">
        <f>VLOOKUP(D3288,Restaurant_Master!A:B,2,FALSE)</f>
        <v>https://dineout-media-assets.swiggy.com/swiggy/image/upload/fl_lossy,f_auto,q_auto/v1660793737/fdqxvxcxg1wtdwvyv45v.jpg</v>
      </c>
    </row>
    <row r="3285" spans="1:13" x14ac:dyDescent="0.3">
      <c r="A3285" t="s">
        <v>3315</v>
      </c>
      <c r="B3285" s="1">
        <v>45334</v>
      </c>
      <c r="C3285" t="s">
        <v>36</v>
      </c>
      <c r="D3285" t="s">
        <v>21</v>
      </c>
      <c r="E3285">
        <v>42</v>
      </c>
      <c r="F3285" t="s">
        <v>28</v>
      </c>
      <c r="G3285">
        <v>508.22</v>
      </c>
      <c r="H3285">
        <v>49</v>
      </c>
      <c r="I3285" t="s">
        <v>16</v>
      </c>
      <c r="J3285">
        <v>4.0999999999999996</v>
      </c>
      <c r="K3285" t="s">
        <v>17</v>
      </c>
      <c r="L3285" t="s">
        <v>23</v>
      </c>
      <c r="M3285" t="str">
        <f>VLOOKUP(D3289,Restaurant_Master!A:B,2,FALSE)</f>
        <v>https://dynamic-media-cdn.tripadvisor.com/media/photo-o/1c/e7/04/0d/front-of-the-local-easily.jpg</v>
      </c>
    </row>
    <row r="3286" spans="1:13" x14ac:dyDescent="0.3">
      <c r="A3286" t="s">
        <v>3316</v>
      </c>
      <c r="B3286" s="1">
        <v>45590</v>
      </c>
      <c r="C3286" t="s">
        <v>34</v>
      </c>
      <c r="D3286" t="s">
        <v>21</v>
      </c>
      <c r="E3286">
        <v>48</v>
      </c>
      <c r="F3286" t="s">
        <v>28</v>
      </c>
      <c r="G3286">
        <v>183.29</v>
      </c>
      <c r="H3286">
        <v>24</v>
      </c>
      <c r="I3286" t="s">
        <v>22</v>
      </c>
      <c r="J3286">
        <v>4.3</v>
      </c>
      <c r="K3286" t="s">
        <v>26</v>
      </c>
      <c r="L3286" t="s">
        <v>18</v>
      </c>
      <c r="M3286" t="str">
        <f>VLOOKUP(D3290,Restaurant_Master!A:B,2,FALSE)</f>
        <v>https://www.chatswoodinterchange.com/storages/2018/08/Sushi-World_666x448.jpg</v>
      </c>
    </row>
    <row r="3287" spans="1:13" x14ac:dyDescent="0.3">
      <c r="A3287" t="s">
        <v>3317</v>
      </c>
      <c r="B3287" s="1">
        <v>45603</v>
      </c>
      <c r="C3287" t="s">
        <v>13</v>
      </c>
      <c r="D3287" t="s">
        <v>32</v>
      </c>
      <c r="E3287">
        <v>56</v>
      </c>
      <c r="F3287" t="s">
        <v>15</v>
      </c>
      <c r="G3287">
        <v>674.21</v>
      </c>
      <c r="H3287">
        <v>53</v>
      </c>
      <c r="I3287" t="s">
        <v>16</v>
      </c>
      <c r="J3287">
        <v>2.5</v>
      </c>
      <c r="K3287" t="s">
        <v>41</v>
      </c>
      <c r="L3287" t="s">
        <v>18</v>
      </c>
      <c r="M3287" t="str">
        <f>VLOOKUP(D3291,Restaurant_Master!A:B,2,FALSE)</f>
        <v>https://content.jdmagicbox.com/comp/deoria/g6/9999p5568.5568.200119143033.m4g6/catalogue/biryani-house-deoria-ho-deoria-mktc2xph0o.jpg</v>
      </c>
    </row>
    <row r="3288" spans="1:13" x14ac:dyDescent="0.3">
      <c r="A3288" t="s">
        <v>3318</v>
      </c>
      <c r="B3288" s="1">
        <v>45341</v>
      </c>
      <c r="C3288" t="s">
        <v>20</v>
      </c>
      <c r="D3288" t="s">
        <v>14</v>
      </c>
      <c r="E3288">
        <v>51</v>
      </c>
      <c r="F3288" t="s">
        <v>28</v>
      </c>
      <c r="G3288">
        <v>323.49</v>
      </c>
      <c r="H3288">
        <v>50</v>
      </c>
      <c r="I3288" t="s">
        <v>16</v>
      </c>
      <c r="J3288">
        <v>3.8</v>
      </c>
      <c r="K3288" t="s">
        <v>29</v>
      </c>
      <c r="L3288" t="s">
        <v>23</v>
      </c>
      <c r="M3288" t="str">
        <f>VLOOKUP(D3292,Restaurant_Master!A:B,2,FALSE)</f>
        <v>https://www.chatswoodinterchange.com/storages/2018/08/Sushi-World_666x448.jpg</v>
      </c>
    </row>
    <row r="3289" spans="1:13" x14ac:dyDescent="0.3">
      <c r="A3289" t="s">
        <v>3319</v>
      </c>
      <c r="B3289" s="1">
        <v>45312</v>
      </c>
      <c r="C3289" t="s">
        <v>20</v>
      </c>
      <c r="D3289" t="s">
        <v>21</v>
      </c>
      <c r="E3289">
        <v>30</v>
      </c>
      <c r="F3289" t="s">
        <v>15</v>
      </c>
      <c r="G3289">
        <v>1119.92</v>
      </c>
      <c r="H3289">
        <v>60</v>
      </c>
      <c r="I3289" t="s">
        <v>16</v>
      </c>
      <c r="J3289">
        <v>4.3</v>
      </c>
      <c r="K3289" t="s">
        <v>29</v>
      </c>
      <c r="L3289" t="s">
        <v>23</v>
      </c>
      <c r="M3289" t="str">
        <f>VLOOKUP(D3293,Restaurant_Master!A:B,2,FALSE)</f>
        <v>https://www.chatswoodinterchange.com/storages/2018/08/Sushi-World_666x448.jpg</v>
      </c>
    </row>
    <row r="3290" spans="1:13" x14ac:dyDescent="0.3">
      <c r="A3290" t="s">
        <v>3320</v>
      </c>
      <c r="B3290" s="1">
        <v>45311</v>
      </c>
      <c r="C3290" t="s">
        <v>20</v>
      </c>
      <c r="D3290" t="s">
        <v>38</v>
      </c>
      <c r="E3290">
        <v>28</v>
      </c>
      <c r="F3290" t="s">
        <v>15</v>
      </c>
      <c r="G3290">
        <v>408.13</v>
      </c>
      <c r="H3290">
        <v>26</v>
      </c>
      <c r="I3290" t="s">
        <v>22</v>
      </c>
      <c r="J3290">
        <v>4</v>
      </c>
      <c r="K3290" t="s">
        <v>17</v>
      </c>
      <c r="L3290" t="s">
        <v>18</v>
      </c>
      <c r="M3290" t="str">
        <f>VLOOKUP(D3294,Restaurant_Master!A:B,2,FALSE)</f>
        <v>https://dineout-media-assets.swiggy.com/swiggy/image/upload/fl_lossy,f_auto,q_auto/v1660793737/fdqxvxcxg1wtdwvyv45v.jpg</v>
      </c>
    </row>
    <row r="3291" spans="1:13" x14ac:dyDescent="0.3">
      <c r="A3291" t="s">
        <v>3321</v>
      </c>
      <c r="B3291" s="1">
        <v>45420</v>
      </c>
      <c r="C3291" t="s">
        <v>13</v>
      </c>
      <c r="D3291" t="s">
        <v>32</v>
      </c>
      <c r="E3291">
        <v>58</v>
      </c>
      <c r="F3291" t="s">
        <v>28</v>
      </c>
      <c r="G3291">
        <v>948.21</v>
      </c>
      <c r="H3291">
        <v>54</v>
      </c>
      <c r="I3291" t="s">
        <v>16</v>
      </c>
      <c r="J3291">
        <v>4.9000000000000004</v>
      </c>
      <c r="K3291" t="s">
        <v>29</v>
      </c>
      <c r="L3291" t="s">
        <v>18</v>
      </c>
      <c r="M3291" t="str">
        <f>VLOOKUP(D3295,Restaurant_Master!A:B,2,FALSE)</f>
        <v>https://dineout-media-assets.swiggy.com/swiggy/image/upload/fl_lossy,f_auto,q_auto/v1660793737/fdqxvxcxg1wtdwvyv45v.jpg</v>
      </c>
    </row>
    <row r="3292" spans="1:13" x14ac:dyDescent="0.3">
      <c r="A3292" t="s">
        <v>3322</v>
      </c>
      <c r="B3292" s="1">
        <v>45370</v>
      </c>
      <c r="C3292" t="s">
        <v>36</v>
      </c>
      <c r="D3292" t="s">
        <v>38</v>
      </c>
      <c r="E3292">
        <v>47</v>
      </c>
      <c r="F3292" t="s">
        <v>15</v>
      </c>
      <c r="G3292">
        <v>776.61</v>
      </c>
      <c r="H3292">
        <v>32</v>
      </c>
      <c r="I3292" t="s">
        <v>22</v>
      </c>
      <c r="J3292">
        <v>3.3</v>
      </c>
      <c r="K3292" t="s">
        <v>26</v>
      </c>
      <c r="L3292" t="s">
        <v>23</v>
      </c>
      <c r="M3292" t="str">
        <f>VLOOKUP(D3296,Restaurant_Master!A:B,2,FALSE)</f>
        <v>https://dynamic-media-cdn.tripadvisor.com/media/photo-o/1c/e7/04/0d/front-of-the-local-easily.jpg</v>
      </c>
    </row>
    <row r="3293" spans="1:13" x14ac:dyDescent="0.3">
      <c r="A3293" t="s">
        <v>3323</v>
      </c>
      <c r="B3293" s="1">
        <v>45633</v>
      </c>
      <c r="C3293" t="s">
        <v>43</v>
      </c>
      <c r="D3293" t="s">
        <v>38</v>
      </c>
      <c r="E3293">
        <v>47</v>
      </c>
      <c r="F3293" t="s">
        <v>28</v>
      </c>
      <c r="G3293">
        <v>178.5</v>
      </c>
      <c r="H3293">
        <v>21</v>
      </c>
      <c r="I3293" t="s">
        <v>22</v>
      </c>
      <c r="J3293">
        <v>3.1</v>
      </c>
      <c r="K3293" t="s">
        <v>41</v>
      </c>
      <c r="L3293" t="s">
        <v>23</v>
      </c>
      <c r="M3293" t="str">
        <f>VLOOKUP(D3297,Restaurant_Master!A:B,2,FALSE)</f>
        <v>https://content.jdmagicbox.com/comp/deoria/g6/9999p5568.5568.200119143033.m4g6/catalogue/biryani-house-deoria-ho-deoria-mktc2xph0o.jpg</v>
      </c>
    </row>
    <row r="3294" spans="1:13" x14ac:dyDescent="0.3">
      <c r="A3294" t="s">
        <v>3324</v>
      </c>
      <c r="B3294" s="1">
        <v>45491</v>
      </c>
      <c r="C3294" t="s">
        <v>20</v>
      </c>
      <c r="D3294" t="s">
        <v>14</v>
      </c>
      <c r="E3294">
        <v>28</v>
      </c>
      <c r="F3294" t="s">
        <v>15</v>
      </c>
      <c r="G3294">
        <v>594.38</v>
      </c>
      <c r="H3294">
        <v>46</v>
      </c>
      <c r="I3294" t="s">
        <v>16</v>
      </c>
      <c r="J3294">
        <v>3.2</v>
      </c>
      <c r="K3294" t="s">
        <v>17</v>
      </c>
      <c r="L3294" t="s">
        <v>23</v>
      </c>
      <c r="M3294" t="str">
        <f>VLOOKUP(D3298,Restaurant_Master!A:B,2,FALSE)</f>
        <v>https://www.chatswoodinterchange.com/storages/2018/08/Sushi-World_666x448.jpg</v>
      </c>
    </row>
    <row r="3295" spans="1:13" x14ac:dyDescent="0.3">
      <c r="A3295" t="s">
        <v>3325</v>
      </c>
      <c r="B3295" s="1">
        <v>45601</v>
      </c>
      <c r="C3295" t="s">
        <v>34</v>
      </c>
      <c r="D3295" t="s">
        <v>14</v>
      </c>
      <c r="E3295">
        <v>21</v>
      </c>
      <c r="F3295" t="s">
        <v>15</v>
      </c>
      <c r="G3295">
        <v>1075.5999999999999</v>
      </c>
      <c r="H3295">
        <v>54</v>
      </c>
      <c r="I3295" t="s">
        <v>16</v>
      </c>
      <c r="J3295">
        <v>3.4</v>
      </c>
      <c r="K3295" t="s">
        <v>26</v>
      </c>
      <c r="L3295" t="s">
        <v>18</v>
      </c>
      <c r="M3295" t="str">
        <f>VLOOKUP(D3299,Restaurant_Master!A:B,2,FALSE)</f>
        <v>https://dineout-media-assets.swiggy.com/swiggy/image/upload/fl_lossy,f_auto,q_auto/v1660793737/fdqxvxcxg1wtdwvyv45v.jpg</v>
      </c>
    </row>
    <row r="3296" spans="1:13" x14ac:dyDescent="0.3">
      <c r="A3296" t="s">
        <v>3326</v>
      </c>
      <c r="B3296" s="1">
        <v>45488</v>
      </c>
      <c r="C3296" t="s">
        <v>13</v>
      </c>
      <c r="D3296" t="s">
        <v>21</v>
      </c>
      <c r="E3296">
        <v>41</v>
      </c>
      <c r="F3296" t="s">
        <v>15</v>
      </c>
      <c r="G3296">
        <v>1041.55</v>
      </c>
      <c r="H3296">
        <v>44</v>
      </c>
      <c r="I3296" t="s">
        <v>16</v>
      </c>
      <c r="J3296">
        <v>2.7</v>
      </c>
      <c r="K3296" t="s">
        <v>41</v>
      </c>
      <c r="L3296" t="s">
        <v>18</v>
      </c>
      <c r="M3296" t="str">
        <f>VLOOKUP(D3300,Restaurant_Master!A:B,2,FALSE)</f>
        <v>https://media-cdn.tripadvisor.com/media/photo-s/1c/c7/97/b6/photo6jpg.jpg</v>
      </c>
    </row>
    <row r="3297" spans="1:13" x14ac:dyDescent="0.3">
      <c r="A3297" t="s">
        <v>3327</v>
      </c>
      <c r="B3297" s="1">
        <v>45420</v>
      </c>
      <c r="C3297" t="s">
        <v>34</v>
      </c>
      <c r="D3297" t="s">
        <v>32</v>
      </c>
      <c r="E3297">
        <v>56</v>
      </c>
      <c r="F3297" t="s">
        <v>15</v>
      </c>
      <c r="G3297">
        <v>948.93</v>
      </c>
      <c r="H3297">
        <v>24</v>
      </c>
      <c r="I3297" t="s">
        <v>22</v>
      </c>
      <c r="J3297">
        <v>4.3</v>
      </c>
      <c r="K3297" t="s">
        <v>41</v>
      </c>
      <c r="L3297" t="s">
        <v>23</v>
      </c>
      <c r="M3297" t="str">
        <f>VLOOKUP(D3301,Restaurant_Master!A:B,2,FALSE)</f>
        <v>https://dineout-media-assets.swiggy.com/swiggy/image/upload/fl_lossy,f_auto,q_auto/v1660793737/fdqxvxcxg1wtdwvyv45v.jpg</v>
      </c>
    </row>
    <row r="3298" spans="1:13" x14ac:dyDescent="0.3">
      <c r="A3298" t="s">
        <v>3328</v>
      </c>
      <c r="B3298" s="1">
        <v>45405</v>
      </c>
      <c r="C3298" t="s">
        <v>34</v>
      </c>
      <c r="D3298" t="s">
        <v>38</v>
      </c>
      <c r="E3298">
        <v>30</v>
      </c>
      <c r="F3298" t="s">
        <v>28</v>
      </c>
      <c r="G3298">
        <v>253.23</v>
      </c>
      <c r="H3298">
        <v>25</v>
      </c>
      <c r="I3298" t="s">
        <v>22</v>
      </c>
      <c r="J3298">
        <v>4.0999999999999996</v>
      </c>
      <c r="K3298" t="s">
        <v>17</v>
      </c>
      <c r="L3298" t="s">
        <v>23</v>
      </c>
      <c r="M3298" t="str">
        <f>VLOOKUP(D3302,Restaurant_Master!A:B,2,FALSE)</f>
        <v>https://dynamic-media-cdn.tripadvisor.com/media/photo-o/1c/e7/04/0d/front-of-the-local-easily.jpg</v>
      </c>
    </row>
    <row r="3299" spans="1:13" x14ac:dyDescent="0.3">
      <c r="A3299" t="s">
        <v>3329</v>
      </c>
      <c r="B3299" s="1">
        <v>45546</v>
      </c>
      <c r="C3299" t="s">
        <v>13</v>
      </c>
      <c r="D3299" t="s">
        <v>14</v>
      </c>
      <c r="E3299">
        <v>45</v>
      </c>
      <c r="F3299" t="s">
        <v>28</v>
      </c>
      <c r="G3299">
        <v>412.85</v>
      </c>
      <c r="H3299">
        <v>38</v>
      </c>
      <c r="I3299" t="s">
        <v>22</v>
      </c>
      <c r="J3299">
        <v>3</v>
      </c>
      <c r="K3299" t="s">
        <v>29</v>
      </c>
      <c r="L3299" t="s">
        <v>23</v>
      </c>
      <c r="M3299" t="str">
        <f>VLOOKUP(D3303,Restaurant_Master!A:B,2,FALSE)</f>
        <v>https://dineout-media-assets.swiggy.com/swiggy/image/upload/fl_lossy,f_auto,q_auto/v1660793737/fdqxvxcxg1wtdwvyv45v.jpg</v>
      </c>
    </row>
    <row r="3300" spans="1:13" x14ac:dyDescent="0.3">
      <c r="A3300" t="s">
        <v>3330</v>
      </c>
      <c r="B3300" s="1">
        <v>45579</v>
      </c>
      <c r="C3300" t="s">
        <v>34</v>
      </c>
      <c r="D3300" t="s">
        <v>25</v>
      </c>
      <c r="E3300">
        <v>41</v>
      </c>
      <c r="F3300" t="s">
        <v>15</v>
      </c>
      <c r="G3300">
        <v>708.58</v>
      </c>
      <c r="H3300">
        <v>52</v>
      </c>
      <c r="I3300" t="s">
        <v>16</v>
      </c>
      <c r="J3300">
        <v>3</v>
      </c>
      <c r="K3300" t="s">
        <v>41</v>
      </c>
      <c r="L3300" t="s">
        <v>23</v>
      </c>
      <c r="M3300" t="str">
        <f>VLOOKUP(D3304,Restaurant_Master!A:B,2,FALSE)</f>
        <v>https://dynamic-media-cdn.tripadvisor.com/media/photo-o/1c/e7/04/0d/front-of-the-local-easily.jpg</v>
      </c>
    </row>
    <row r="3301" spans="1:13" x14ac:dyDescent="0.3">
      <c r="A3301" t="s">
        <v>3331</v>
      </c>
      <c r="B3301" s="1">
        <v>45562</v>
      </c>
      <c r="C3301" t="s">
        <v>20</v>
      </c>
      <c r="D3301" t="s">
        <v>14</v>
      </c>
      <c r="E3301">
        <v>48</v>
      </c>
      <c r="F3301" t="s">
        <v>28</v>
      </c>
      <c r="G3301">
        <v>656.42</v>
      </c>
      <c r="H3301">
        <v>41</v>
      </c>
      <c r="I3301" t="s">
        <v>16</v>
      </c>
      <c r="J3301">
        <v>3.8</v>
      </c>
      <c r="K3301" t="s">
        <v>26</v>
      </c>
      <c r="L3301" t="s">
        <v>18</v>
      </c>
      <c r="M3301" t="str">
        <f>VLOOKUP(D3305,Restaurant_Master!A:B,2,FALSE)</f>
        <v>https://dynamic-media-cdn.tripadvisor.com/media/photo-o/1c/e7/04/0d/front-of-the-local-easily.jpg</v>
      </c>
    </row>
    <row r="3302" spans="1:13" x14ac:dyDescent="0.3">
      <c r="A3302" t="s">
        <v>3332</v>
      </c>
      <c r="B3302" s="1">
        <v>45547</v>
      </c>
      <c r="C3302" t="s">
        <v>34</v>
      </c>
      <c r="D3302" t="s">
        <v>21</v>
      </c>
      <c r="E3302">
        <v>23</v>
      </c>
      <c r="F3302" t="s">
        <v>28</v>
      </c>
      <c r="G3302">
        <v>852.13</v>
      </c>
      <c r="H3302">
        <v>59</v>
      </c>
      <c r="I3302" t="s">
        <v>16</v>
      </c>
      <c r="J3302">
        <v>3.3</v>
      </c>
      <c r="K3302" t="s">
        <v>41</v>
      </c>
      <c r="L3302" t="s">
        <v>18</v>
      </c>
      <c r="M3302" t="str">
        <f>VLOOKUP(D3306,Restaurant_Master!A:B,2,FALSE)</f>
        <v>https://dynamic-media-cdn.tripadvisor.com/media/photo-o/1c/e7/04/0d/front-of-the-local-easily.jpg</v>
      </c>
    </row>
    <row r="3303" spans="1:13" x14ac:dyDescent="0.3">
      <c r="A3303" t="s">
        <v>3333</v>
      </c>
      <c r="B3303" s="1">
        <v>45356</v>
      </c>
      <c r="C3303" t="s">
        <v>13</v>
      </c>
      <c r="D3303" t="s">
        <v>14</v>
      </c>
      <c r="E3303">
        <v>37</v>
      </c>
      <c r="F3303" t="s">
        <v>15</v>
      </c>
      <c r="G3303">
        <v>496.11</v>
      </c>
      <c r="H3303">
        <v>58</v>
      </c>
      <c r="I3303" t="s">
        <v>16</v>
      </c>
      <c r="J3303">
        <v>4.7</v>
      </c>
      <c r="K3303" t="s">
        <v>41</v>
      </c>
      <c r="L3303" t="s">
        <v>23</v>
      </c>
      <c r="M3303" t="str">
        <f>VLOOKUP(D3307,Restaurant_Master!A:B,2,FALSE)</f>
        <v>https://dineout-media-assets.swiggy.com/swiggy/image/upload/fl_lossy,f_auto,q_auto/v1660793737/fdqxvxcxg1wtdwvyv45v.jpg</v>
      </c>
    </row>
    <row r="3304" spans="1:13" x14ac:dyDescent="0.3">
      <c r="A3304" t="s">
        <v>3334</v>
      </c>
      <c r="B3304" s="1">
        <v>45413</v>
      </c>
      <c r="C3304" t="s">
        <v>36</v>
      </c>
      <c r="D3304" t="s">
        <v>21</v>
      </c>
      <c r="E3304">
        <v>19</v>
      </c>
      <c r="F3304" t="s">
        <v>15</v>
      </c>
      <c r="G3304">
        <v>363.18</v>
      </c>
      <c r="H3304">
        <v>35</v>
      </c>
      <c r="I3304" t="s">
        <v>22</v>
      </c>
      <c r="J3304">
        <v>2.7</v>
      </c>
      <c r="K3304" t="s">
        <v>29</v>
      </c>
      <c r="L3304" t="s">
        <v>18</v>
      </c>
      <c r="M3304" t="str">
        <f>VLOOKUP(D3308,Restaurant_Master!A:B,2,FALSE)</f>
        <v>https://media-cdn.tripadvisor.com/media/photo-s/1c/c7/97/b6/photo6jpg.jpg</v>
      </c>
    </row>
    <row r="3305" spans="1:13" x14ac:dyDescent="0.3">
      <c r="A3305" t="s">
        <v>3335</v>
      </c>
      <c r="B3305" s="1">
        <v>45428</v>
      </c>
      <c r="C3305" t="s">
        <v>34</v>
      </c>
      <c r="D3305" t="s">
        <v>21</v>
      </c>
      <c r="E3305">
        <v>27</v>
      </c>
      <c r="F3305" t="s">
        <v>28</v>
      </c>
      <c r="G3305">
        <v>322.75</v>
      </c>
      <c r="H3305">
        <v>40</v>
      </c>
      <c r="I3305" t="s">
        <v>22</v>
      </c>
      <c r="J3305">
        <v>3.6</v>
      </c>
      <c r="K3305" t="s">
        <v>17</v>
      </c>
      <c r="L3305" t="s">
        <v>23</v>
      </c>
      <c r="M3305" t="str">
        <f>VLOOKUP(D3309,Restaurant_Master!A:B,2,FALSE)</f>
        <v>https://dineout-media-assets.swiggy.com/swiggy/image/upload/fl_lossy,f_auto,q_auto/v1660793737/fdqxvxcxg1wtdwvyv45v.jpg</v>
      </c>
    </row>
    <row r="3306" spans="1:13" x14ac:dyDescent="0.3">
      <c r="A3306" t="s">
        <v>3336</v>
      </c>
      <c r="B3306" s="1">
        <v>45614</v>
      </c>
      <c r="C3306" t="s">
        <v>34</v>
      </c>
      <c r="D3306" t="s">
        <v>21</v>
      </c>
      <c r="E3306">
        <v>43</v>
      </c>
      <c r="F3306" t="s">
        <v>28</v>
      </c>
      <c r="G3306">
        <v>715.61</v>
      </c>
      <c r="H3306">
        <v>51</v>
      </c>
      <c r="I3306" t="s">
        <v>16</v>
      </c>
      <c r="J3306">
        <v>3.5</v>
      </c>
      <c r="K3306" t="s">
        <v>26</v>
      </c>
      <c r="L3306" t="s">
        <v>23</v>
      </c>
      <c r="M3306" t="str">
        <f>VLOOKUP(D3310,Restaurant_Master!A:B,2,FALSE)</f>
        <v>https://www.chatswoodinterchange.com/storages/2018/08/Sushi-World_666x448.jpg</v>
      </c>
    </row>
    <row r="3307" spans="1:13" x14ac:dyDescent="0.3">
      <c r="A3307" t="s">
        <v>3337</v>
      </c>
      <c r="B3307" s="1">
        <v>45300</v>
      </c>
      <c r="C3307" t="s">
        <v>34</v>
      </c>
      <c r="D3307" t="s">
        <v>14</v>
      </c>
      <c r="E3307">
        <v>41</v>
      </c>
      <c r="F3307" t="s">
        <v>28</v>
      </c>
      <c r="G3307">
        <v>738.12</v>
      </c>
      <c r="H3307">
        <v>46</v>
      </c>
      <c r="I3307" t="s">
        <v>16</v>
      </c>
      <c r="J3307">
        <v>3.9</v>
      </c>
      <c r="K3307" t="s">
        <v>17</v>
      </c>
      <c r="L3307" t="s">
        <v>18</v>
      </c>
      <c r="M3307" t="str">
        <f>VLOOKUP(D3311,Restaurant_Master!A:B,2,FALSE)</f>
        <v>https://www.chatswoodinterchange.com/storages/2018/08/Sushi-World_666x448.jpg</v>
      </c>
    </row>
    <row r="3308" spans="1:13" x14ac:dyDescent="0.3">
      <c r="A3308" t="s">
        <v>3338</v>
      </c>
      <c r="B3308" s="1">
        <v>45628</v>
      </c>
      <c r="C3308" t="s">
        <v>34</v>
      </c>
      <c r="D3308" t="s">
        <v>25</v>
      </c>
      <c r="E3308">
        <v>39</v>
      </c>
      <c r="F3308" t="s">
        <v>15</v>
      </c>
      <c r="G3308">
        <v>1144.51</v>
      </c>
      <c r="H3308">
        <v>30</v>
      </c>
      <c r="I3308" t="s">
        <v>22</v>
      </c>
      <c r="J3308">
        <v>4.5999999999999996</v>
      </c>
      <c r="K3308" t="s">
        <v>29</v>
      </c>
      <c r="L3308" t="s">
        <v>23</v>
      </c>
      <c r="M3308" t="str">
        <f>VLOOKUP(D3312,Restaurant_Master!A:B,2,FALSE)</f>
        <v>https://dynamic-media-cdn.tripadvisor.com/media/photo-o/1c/e7/04/0d/front-of-the-local-easily.jpg</v>
      </c>
    </row>
    <row r="3309" spans="1:13" x14ac:dyDescent="0.3">
      <c r="A3309" t="s">
        <v>3339</v>
      </c>
      <c r="B3309" s="1">
        <v>45608</v>
      </c>
      <c r="C3309" t="s">
        <v>36</v>
      </c>
      <c r="D3309" t="s">
        <v>14</v>
      </c>
      <c r="E3309">
        <v>53</v>
      </c>
      <c r="F3309" t="s">
        <v>28</v>
      </c>
      <c r="G3309">
        <v>156.15</v>
      </c>
      <c r="H3309">
        <v>53</v>
      </c>
      <c r="I3309" t="s">
        <v>16</v>
      </c>
      <c r="J3309">
        <v>4.8</v>
      </c>
      <c r="K3309" t="s">
        <v>17</v>
      </c>
      <c r="L3309" t="s">
        <v>18</v>
      </c>
      <c r="M3309" t="str">
        <f>VLOOKUP(D3313,Restaurant_Master!A:B,2,FALSE)</f>
        <v>https://dineout-media-assets.swiggy.com/swiggy/image/upload/fl_lossy,f_auto,q_auto/v1660793737/fdqxvxcxg1wtdwvyv45v.jpg</v>
      </c>
    </row>
    <row r="3310" spans="1:13" x14ac:dyDescent="0.3">
      <c r="A3310" t="s">
        <v>3340</v>
      </c>
      <c r="B3310" s="1">
        <v>45345</v>
      </c>
      <c r="C3310" t="s">
        <v>13</v>
      </c>
      <c r="D3310" t="s">
        <v>38</v>
      </c>
      <c r="E3310">
        <v>19</v>
      </c>
      <c r="F3310" t="s">
        <v>15</v>
      </c>
      <c r="G3310">
        <v>1142.82</v>
      </c>
      <c r="H3310">
        <v>27</v>
      </c>
      <c r="I3310" t="s">
        <v>22</v>
      </c>
      <c r="J3310">
        <v>4.5999999999999996</v>
      </c>
      <c r="K3310" t="s">
        <v>17</v>
      </c>
      <c r="L3310" t="s">
        <v>18</v>
      </c>
      <c r="M3310" t="str">
        <f>VLOOKUP(D3314,Restaurant_Master!A:B,2,FALSE)</f>
        <v>https://www.chatswoodinterchange.com/storages/2018/08/Sushi-World_666x448.jpg</v>
      </c>
    </row>
    <row r="3311" spans="1:13" x14ac:dyDescent="0.3">
      <c r="A3311" t="s">
        <v>3341</v>
      </c>
      <c r="B3311" s="1">
        <v>45564</v>
      </c>
      <c r="C3311" t="s">
        <v>43</v>
      </c>
      <c r="D3311" t="s">
        <v>38</v>
      </c>
      <c r="E3311">
        <v>44</v>
      </c>
      <c r="F3311" t="s">
        <v>28</v>
      </c>
      <c r="G3311">
        <v>314.42</v>
      </c>
      <c r="H3311">
        <v>34</v>
      </c>
      <c r="I3311" t="s">
        <v>22</v>
      </c>
      <c r="J3311">
        <v>2.7</v>
      </c>
      <c r="K3311" t="s">
        <v>26</v>
      </c>
      <c r="L3311" t="s">
        <v>23</v>
      </c>
      <c r="M3311" t="str">
        <f>VLOOKUP(D3315,Restaurant_Master!A:B,2,FALSE)</f>
        <v>https://dynamic-media-cdn.tripadvisor.com/media/photo-o/1c/e7/04/0d/front-of-the-local-easily.jpg</v>
      </c>
    </row>
    <row r="3312" spans="1:13" x14ac:dyDescent="0.3">
      <c r="A3312" t="s">
        <v>3342</v>
      </c>
      <c r="B3312" s="1">
        <v>45333</v>
      </c>
      <c r="C3312" t="s">
        <v>20</v>
      </c>
      <c r="D3312" t="s">
        <v>21</v>
      </c>
      <c r="E3312">
        <v>58</v>
      </c>
      <c r="F3312" t="s">
        <v>15</v>
      </c>
      <c r="G3312">
        <v>867.35</v>
      </c>
      <c r="H3312">
        <v>45</v>
      </c>
      <c r="I3312" t="s">
        <v>16</v>
      </c>
      <c r="J3312">
        <v>2.9</v>
      </c>
      <c r="K3312" t="s">
        <v>17</v>
      </c>
      <c r="L3312" t="s">
        <v>18</v>
      </c>
      <c r="M3312" t="str">
        <f>VLOOKUP(D3316,Restaurant_Master!A:B,2,FALSE)</f>
        <v>https://dynamic-media-cdn.tripadvisor.com/media/photo-o/1c/e7/04/0d/front-of-the-local-easily.jpg</v>
      </c>
    </row>
    <row r="3313" spans="1:13" x14ac:dyDescent="0.3">
      <c r="A3313" t="s">
        <v>3343</v>
      </c>
      <c r="B3313" s="1">
        <v>45395</v>
      </c>
      <c r="C3313" t="s">
        <v>20</v>
      </c>
      <c r="D3313" t="s">
        <v>14</v>
      </c>
      <c r="E3313">
        <v>42</v>
      </c>
      <c r="F3313" t="s">
        <v>15</v>
      </c>
      <c r="G3313">
        <v>859.56</v>
      </c>
      <c r="H3313">
        <v>33</v>
      </c>
      <c r="I3313" t="s">
        <v>22</v>
      </c>
      <c r="J3313">
        <v>4.3</v>
      </c>
      <c r="K3313" t="s">
        <v>41</v>
      </c>
      <c r="L3313" t="s">
        <v>18</v>
      </c>
      <c r="M3313" t="str">
        <f>VLOOKUP(D3317,Restaurant_Master!A:B,2,FALSE)</f>
        <v>https://www.chatswoodinterchange.com/storages/2018/08/Sushi-World_666x448.jpg</v>
      </c>
    </row>
    <row r="3314" spans="1:13" x14ac:dyDescent="0.3">
      <c r="A3314" t="s">
        <v>3344</v>
      </c>
      <c r="B3314" s="1">
        <v>45466</v>
      </c>
      <c r="C3314" t="s">
        <v>20</v>
      </c>
      <c r="D3314" t="s">
        <v>38</v>
      </c>
      <c r="E3314">
        <v>58</v>
      </c>
      <c r="F3314" t="s">
        <v>15</v>
      </c>
      <c r="G3314">
        <v>244.6</v>
      </c>
      <c r="H3314">
        <v>21</v>
      </c>
      <c r="I3314" t="s">
        <v>22</v>
      </c>
      <c r="J3314">
        <v>2.5</v>
      </c>
      <c r="K3314" t="s">
        <v>26</v>
      </c>
      <c r="L3314" t="s">
        <v>23</v>
      </c>
      <c r="M3314" t="str">
        <f>VLOOKUP(D3318,Restaurant_Master!A:B,2,FALSE)</f>
        <v>https://media-cdn.tripadvisor.com/media/photo-s/1c/c7/97/b6/photo6jpg.jpg</v>
      </c>
    </row>
    <row r="3315" spans="1:13" x14ac:dyDescent="0.3">
      <c r="A3315" t="s">
        <v>3345</v>
      </c>
      <c r="B3315" s="1">
        <v>45652</v>
      </c>
      <c r="C3315" t="s">
        <v>34</v>
      </c>
      <c r="D3315" t="s">
        <v>21</v>
      </c>
      <c r="E3315">
        <v>32</v>
      </c>
      <c r="F3315" t="s">
        <v>15</v>
      </c>
      <c r="G3315">
        <v>171.41</v>
      </c>
      <c r="H3315">
        <v>22</v>
      </c>
      <c r="I3315" t="s">
        <v>22</v>
      </c>
      <c r="J3315">
        <v>3</v>
      </c>
      <c r="K3315" t="s">
        <v>26</v>
      </c>
      <c r="L3315" t="s">
        <v>23</v>
      </c>
      <c r="M3315" t="str">
        <f>VLOOKUP(D3319,Restaurant_Master!A:B,2,FALSE)</f>
        <v>https://content.jdmagicbox.com/comp/deoria/g6/9999p5568.5568.200119143033.m4g6/catalogue/biryani-house-deoria-ho-deoria-mktc2xph0o.jpg</v>
      </c>
    </row>
    <row r="3316" spans="1:13" x14ac:dyDescent="0.3">
      <c r="A3316" t="s">
        <v>3346</v>
      </c>
      <c r="B3316" s="1">
        <v>45539</v>
      </c>
      <c r="C3316" t="s">
        <v>34</v>
      </c>
      <c r="D3316" t="s">
        <v>21</v>
      </c>
      <c r="E3316">
        <v>22</v>
      </c>
      <c r="F3316" t="s">
        <v>28</v>
      </c>
      <c r="G3316">
        <v>1079.52</v>
      </c>
      <c r="H3316">
        <v>56</v>
      </c>
      <c r="I3316" t="s">
        <v>16</v>
      </c>
      <c r="J3316">
        <v>3.4</v>
      </c>
      <c r="K3316" t="s">
        <v>26</v>
      </c>
      <c r="L3316" t="s">
        <v>23</v>
      </c>
      <c r="M3316" t="str">
        <f>VLOOKUP(D3320,Restaurant_Master!A:B,2,FALSE)</f>
        <v>https://dynamic-media-cdn.tripadvisor.com/media/photo-o/1c/e7/04/0d/front-of-the-local-easily.jpg</v>
      </c>
    </row>
    <row r="3317" spans="1:13" x14ac:dyDescent="0.3">
      <c r="A3317" t="s">
        <v>3347</v>
      </c>
      <c r="B3317" s="1">
        <v>45516</v>
      </c>
      <c r="C3317" t="s">
        <v>36</v>
      </c>
      <c r="D3317" t="s">
        <v>38</v>
      </c>
      <c r="E3317">
        <v>18</v>
      </c>
      <c r="F3317" t="s">
        <v>15</v>
      </c>
      <c r="G3317">
        <v>158.65</v>
      </c>
      <c r="H3317">
        <v>40</v>
      </c>
      <c r="I3317" t="s">
        <v>22</v>
      </c>
      <c r="J3317">
        <v>4.8</v>
      </c>
      <c r="K3317" t="s">
        <v>17</v>
      </c>
      <c r="L3317" t="s">
        <v>18</v>
      </c>
      <c r="M3317" t="str">
        <f>VLOOKUP(D3321,Restaurant_Master!A:B,2,FALSE)</f>
        <v>https://media-cdn.tripadvisor.com/media/photo-s/1c/c7/97/b6/photo6jpg.jpg</v>
      </c>
    </row>
    <row r="3318" spans="1:13" x14ac:dyDescent="0.3">
      <c r="A3318" t="s">
        <v>3348</v>
      </c>
      <c r="B3318" s="1">
        <v>45513</v>
      </c>
      <c r="C3318" t="s">
        <v>20</v>
      </c>
      <c r="D3318" t="s">
        <v>25</v>
      </c>
      <c r="E3318">
        <v>33</v>
      </c>
      <c r="F3318" t="s">
        <v>28</v>
      </c>
      <c r="G3318">
        <v>1131.8599999999999</v>
      </c>
      <c r="H3318">
        <v>39</v>
      </c>
      <c r="I3318" t="s">
        <v>22</v>
      </c>
      <c r="J3318">
        <v>3.2</v>
      </c>
      <c r="K3318" t="s">
        <v>17</v>
      </c>
      <c r="L3318" t="s">
        <v>23</v>
      </c>
      <c r="M3318" t="str">
        <f>VLOOKUP(D3322,Restaurant_Master!A:B,2,FALSE)</f>
        <v>https://www.chatswoodinterchange.com/storages/2018/08/Sushi-World_666x448.jpg</v>
      </c>
    </row>
    <row r="3319" spans="1:13" x14ac:dyDescent="0.3">
      <c r="A3319" t="s">
        <v>3349</v>
      </c>
      <c r="B3319" s="1">
        <v>45596</v>
      </c>
      <c r="C3319" t="s">
        <v>43</v>
      </c>
      <c r="D3319" t="s">
        <v>32</v>
      </c>
      <c r="E3319">
        <v>18</v>
      </c>
      <c r="F3319" t="s">
        <v>15</v>
      </c>
      <c r="G3319">
        <v>754.13</v>
      </c>
      <c r="H3319">
        <v>32</v>
      </c>
      <c r="I3319" t="s">
        <v>22</v>
      </c>
      <c r="J3319">
        <v>4.2</v>
      </c>
      <c r="K3319" t="s">
        <v>26</v>
      </c>
      <c r="L3319" t="s">
        <v>23</v>
      </c>
      <c r="M3319" t="str">
        <f>VLOOKUP(D3323,Restaurant_Master!A:B,2,FALSE)</f>
        <v>https://dineout-media-assets.swiggy.com/swiggy/image/upload/fl_lossy,f_auto,q_auto/v1660793737/fdqxvxcxg1wtdwvyv45v.jpg</v>
      </c>
    </row>
    <row r="3320" spans="1:13" x14ac:dyDescent="0.3">
      <c r="A3320" t="s">
        <v>3350</v>
      </c>
      <c r="B3320" s="1">
        <v>45651</v>
      </c>
      <c r="C3320" t="s">
        <v>34</v>
      </c>
      <c r="D3320" t="s">
        <v>21</v>
      </c>
      <c r="E3320">
        <v>55</v>
      </c>
      <c r="F3320" t="s">
        <v>15</v>
      </c>
      <c r="G3320">
        <v>643.04</v>
      </c>
      <c r="H3320">
        <v>33</v>
      </c>
      <c r="I3320" t="s">
        <v>22</v>
      </c>
      <c r="J3320">
        <v>3.5</v>
      </c>
      <c r="K3320" t="s">
        <v>26</v>
      </c>
      <c r="L3320" t="s">
        <v>23</v>
      </c>
      <c r="M3320" t="str">
        <f>VLOOKUP(D3324,Restaurant_Master!A:B,2,FALSE)</f>
        <v>https://dineout-media-assets.swiggy.com/swiggy/image/upload/fl_lossy,f_auto,q_auto/v1660793737/fdqxvxcxg1wtdwvyv45v.jpg</v>
      </c>
    </row>
    <row r="3321" spans="1:13" x14ac:dyDescent="0.3">
      <c r="A3321" t="s">
        <v>3351</v>
      </c>
      <c r="B3321" s="1">
        <v>45543</v>
      </c>
      <c r="C3321" t="s">
        <v>20</v>
      </c>
      <c r="D3321" t="s">
        <v>25</v>
      </c>
      <c r="E3321">
        <v>22</v>
      </c>
      <c r="F3321" t="s">
        <v>15</v>
      </c>
      <c r="G3321">
        <v>942.46</v>
      </c>
      <c r="H3321">
        <v>46</v>
      </c>
      <c r="I3321" t="s">
        <v>16</v>
      </c>
      <c r="J3321">
        <v>3</v>
      </c>
      <c r="K3321" t="s">
        <v>26</v>
      </c>
      <c r="L3321" t="s">
        <v>18</v>
      </c>
      <c r="M3321" t="str">
        <f>VLOOKUP(D3325,Restaurant_Master!A:B,2,FALSE)</f>
        <v>https://media-cdn.tripadvisor.com/media/photo-s/1c/c7/97/b6/photo6jpg.jpg</v>
      </c>
    </row>
    <row r="3322" spans="1:13" x14ac:dyDescent="0.3">
      <c r="A3322" t="s">
        <v>3352</v>
      </c>
      <c r="B3322" s="1">
        <v>45329</v>
      </c>
      <c r="C3322" t="s">
        <v>13</v>
      </c>
      <c r="D3322" t="s">
        <v>38</v>
      </c>
      <c r="E3322">
        <v>44</v>
      </c>
      <c r="F3322" t="s">
        <v>15</v>
      </c>
      <c r="G3322">
        <v>992.27</v>
      </c>
      <c r="H3322">
        <v>32</v>
      </c>
      <c r="I3322" t="s">
        <v>22</v>
      </c>
      <c r="J3322">
        <v>3.6</v>
      </c>
      <c r="K3322" t="s">
        <v>29</v>
      </c>
      <c r="L3322" t="s">
        <v>23</v>
      </c>
      <c r="M3322" t="str">
        <f>VLOOKUP(D3326,Restaurant_Master!A:B,2,FALSE)</f>
        <v>https://www.chatswoodinterchange.com/storages/2018/08/Sushi-World_666x448.jpg</v>
      </c>
    </row>
    <row r="3323" spans="1:13" x14ac:dyDescent="0.3">
      <c r="A3323" t="s">
        <v>3353</v>
      </c>
      <c r="B3323" s="1">
        <v>45577</v>
      </c>
      <c r="C3323" t="s">
        <v>13</v>
      </c>
      <c r="D3323" t="s">
        <v>14</v>
      </c>
      <c r="E3323">
        <v>22</v>
      </c>
      <c r="F3323" t="s">
        <v>28</v>
      </c>
      <c r="G3323">
        <v>270.38</v>
      </c>
      <c r="H3323">
        <v>37</v>
      </c>
      <c r="I3323" t="s">
        <v>22</v>
      </c>
      <c r="J3323">
        <v>4.3</v>
      </c>
      <c r="K3323" t="s">
        <v>29</v>
      </c>
      <c r="L3323" t="s">
        <v>23</v>
      </c>
      <c r="M3323" t="str">
        <f>VLOOKUP(D3327,Restaurant_Master!A:B,2,FALSE)</f>
        <v>https://dineout-media-assets.swiggy.com/swiggy/image/upload/fl_lossy,f_auto,q_auto/v1660793737/fdqxvxcxg1wtdwvyv45v.jpg</v>
      </c>
    </row>
    <row r="3324" spans="1:13" x14ac:dyDescent="0.3">
      <c r="A3324" t="s">
        <v>3354</v>
      </c>
      <c r="B3324" s="1">
        <v>45354</v>
      </c>
      <c r="C3324" t="s">
        <v>13</v>
      </c>
      <c r="D3324" t="s">
        <v>14</v>
      </c>
      <c r="E3324">
        <v>33</v>
      </c>
      <c r="F3324" t="s">
        <v>15</v>
      </c>
      <c r="G3324">
        <v>272.33</v>
      </c>
      <c r="H3324">
        <v>26</v>
      </c>
      <c r="I3324" t="s">
        <v>22</v>
      </c>
      <c r="J3324">
        <v>3</v>
      </c>
      <c r="K3324" t="s">
        <v>29</v>
      </c>
      <c r="L3324" t="s">
        <v>23</v>
      </c>
      <c r="M3324" t="str">
        <f>VLOOKUP(D3328,Restaurant_Master!A:B,2,FALSE)</f>
        <v>https://dineout-media-assets.swiggy.com/swiggy/image/upload/fl_lossy,f_auto,q_auto/v1660793737/fdqxvxcxg1wtdwvyv45v.jpg</v>
      </c>
    </row>
    <row r="3325" spans="1:13" x14ac:dyDescent="0.3">
      <c r="A3325" t="s">
        <v>3355</v>
      </c>
      <c r="B3325" s="1">
        <v>45510</v>
      </c>
      <c r="C3325" t="s">
        <v>43</v>
      </c>
      <c r="D3325" t="s">
        <v>25</v>
      </c>
      <c r="E3325">
        <v>45</v>
      </c>
      <c r="F3325" t="s">
        <v>15</v>
      </c>
      <c r="G3325">
        <v>684.22</v>
      </c>
      <c r="H3325">
        <v>30</v>
      </c>
      <c r="I3325" t="s">
        <v>22</v>
      </c>
      <c r="J3325">
        <v>3.6</v>
      </c>
      <c r="K3325" t="s">
        <v>29</v>
      </c>
      <c r="L3325" t="s">
        <v>18</v>
      </c>
      <c r="M3325" t="str">
        <f>VLOOKUP(D3329,Restaurant_Master!A:B,2,FALSE)</f>
        <v>https://dineout-media-assets.swiggy.com/swiggy/image/upload/fl_lossy,f_auto,q_auto/v1660793737/fdqxvxcxg1wtdwvyv45v.jpg</v>
      </c>
    </row>
    <row r="3326" spans="1:13" x14ac:dyDescent="0.3">
      <c r="A3326" t="s">
        <v>3356</v>
      </c>
      <c r="B3326" s="1">
        <v>45649</v>
      </c>
      <c r="C3326" t="s">
        <v>13</v>
      </c>
      <c r="D3326" t="s">
        <v>38</v>
      </c>
      <c r="E3326">
        <v>25</v>
      </c>
      <c r="F3326" t="s">
        <v>15</v>
      </c>
      <c r="G3326">
        <v>512.62</v>
      </c>
      <c r="H3326">
        <v>40</v>
      </c>
      <c r="I3326" t="s">
        <v>22</v>
      </c>
      <c r="J3326">
        <v>3.7</v>
      </c>
      <c r="K3326" t="s">
        <v>41</v>
      </c>
      <c r="L3326" t="s">
        <v>23</v>
      </c>
      <c r="M3326" t="str">
        <f>VLOOKUP(D3330,Restaurant_Master!A:B,2,FALSE)</f>
        <v>https://dineout-media-assets.swiggy.com/swiggy/image/upload/fl_lossy,f_auto,q_auto/v1660793737/fdqxvxcxg1wtdwvyv45v.jpg</v>
      </c>
    </row>
    <row r="3327" spans="1:13" x14ac:dyDescent="0.3">
      <c r="A3327" t="s">
        <v>3357</v>
      </c>
      <c r="B3327" s="1">
        <v>45618</v>
      </c>
      <c r="C3327" t="s">
        <v>20</v>
      </c>
      <c r="D3327" t="s">
        <v>14</v>
      </c>
      <c r="E3327">
        <v>33</v>
      </c>
      <c r="F3327" t="s">
        <v>15</v>
      </c>
      <c r="G3327">
        <v>739.48</v>
      </c>
      <c r="H3327">
        <v>59</v>
      </c>
      <c r="I3327" t="s">
        <v>16</v>
      </c>
      <c r="J3327">
        <v>4.2</v>
      </c>
      <c r="K3327" t="s">
        <v>29</v>
      </c>
      <c r="L3327" t="s">
        <v>18</v>
      </c>
      <c r="M3327" t="str">
        <f>VLOOKUP(D3331,Restaurant_Master!A:B,2,FALSE)</f>
        <v>https://content.jdmagicbox.com/comp/deoria/g6/9999p5568.5568.200119143033.m4g6/catalogue/biryani-house-deoria-ho-deoria-mktc2xph0o.jpg</v>
      </c>
    </row>
    <row r="3328" spans="1:13" x14ac:dyDescent="0.3">
      <c r="A3328" t="s">
        <v>3358</v>
      </c>
      <c r="B3328" s="1">
        <v>45618</v>
      </c>
      <c r="C3328" t="s">
        <v>13</v>
      </c>
      <c r="D3328" t="s">
        <v>14</v>
      </c>
      <c r="E3328">
        <v>54</v>
      </c>
      <c r="F3328" t="s">
        <v>28</v>
      </c>
      <c r="G3328">
        <v>341.1</v>
      </c>
      <c r="H3328">
        <v>26</v>
      </c>
      <c r="I3328" t="s">
        <v>22</v>
      </c>
      <c r="J3328">
        <v>3.6</v>
      </c>
      <c r="K3328" t="s">
        <v>41</v>
      </c>
      <c r="L3328" t="s">
        <v>23</v>
      </c>
      <c r="M3328" t="str">
        <f>VLOOKUP(D3332,Restaurant_Master!A:B,2,FALSE)</f>
        <v>https://dineout-media-assets.swiggy.com/swiggy/image/upload/fl_lossy,f_auto,q_auto/v1660793737/fdqxvxcxg1wtdwvyv45v.jpg</v>
      </c>
    </row>
    <row r="3329" spans="1:13" x14ac:dyDescent="0.3">
      <c r="A3329" t="s">
        <v>3359</v>
      </c>
      <c r="B3329" s="1">
        <v>45478</v>
      </c>
      <c r="C3329" t="s">
        <v>43</v>
      </c>
      <c r="D3329" t="s">
        <v>14</v>
      </c>
      <c r="E3329">
        <v>48</v>
      </c>
      <c r="F3329" t="s">
        <v>15</v>
      </c>
      <c r="G3329">
        <v>808.51</v>
      </c>
      <c r="H3329">
        <v>28</v>
      </c>
      <c r="I3329" t="s">
        <v>22</v>
      </c>
      <c r="J3329">
        <v>4.4000000000000004</v>
      </c>
      <c r="K3329" t="s">
        <v>26</v>
      </c>
      <c r="L3329" t="s">
        <v>18</v>
      </c>
      <c r="M3329" t="str">
        <f>VLOOKUP(D3333,Restaurant_Master!A:B,2,FALSE)</f>
        <v>https://dineout-media-assets.swiggy.com/swiggy/image/upload/fl_lossy,f_auto,q_auto/v1660793737/fdqxvxcxg1wtdwvyv45v.jpg</v>
      </c>
    </row>
    <row r="3330" spans="1:13" x14ac:dyDescent="0.3">
      <c r="A3330" t="s">
        <v>3360</v>
      </c>
      <c r="B3330" s="1">
        <v>45642</v>
      </c>
      <c r="C3330" t="s">
        <v>36</v>
      </c>
      <c r="D3330" t="s">
        <v>14</v>
      </c>
      <c r="E3330">
        <v>59</v>
      </c>
      <c r="F3330" t="s">
        <v>15</v>
      </c>
      <c r="G3330">
        <v>1032.58</v>
      </c>
      <c r="H3330">
        <v>59</v>
      </c>
      <c r="I3330" t="s">
        <v>16</v>
      </c>
      <c r="J3330">
        <v>2.8</v>
      </c>
      <c r="K3330" t="s">
        <v>26</v>
      </c>
      <c r="L3330" t="s">
        <v>18</v>
      </c>
      <c r="M3330" t="str">
        <f>VLOOKUP(D3334,Restaurant_Master!A:B,2,FALSE)</f>
        <v>https://content.jdmagicbox.com/comp/deoria/g6/9999p5568.5568.200119143033.m4g6/catalogue/biryani-house-deoria-ho-deoria-mktc2xph0o.jpg</v>
      </c>
    </row>
    <row r="3331" spans="1:13" x14ac:dyDescent="0.3">
      <c r="A3331" t="s">
        <v>3361</v>
      </c>
      <c r="B3331" s="1">
        <v>45602</v>
      </c>
      <c r="C3331" t="s">
        <v>34</v>
      </c>
      <c r="D3331" t="s">
        <v>32</v>
      </c>
      <c r="E3331">
        <v>43</v>
      </c>
      <c r="F3331" t="s">
        <v>15</v>
      </c>
      <c r="G3331">
        <v>590.22</v>
      </c>
      <c r="H3331">
        <v>32</v>
      </c>
      <c r="I3331" t="s">
        <v>22</v>
      </c>
      <c r="J3331">
        <v>3</v>
      </c>
      <c r="K3331" t="s">
        <v>17</v>
      </c>
      <c r="L3331" t="s">
        <v>18</v>
      </c>
      <c r="M3331" t="str">
        <f>VLOOKUP(D3335,Restaurant_Master!A:B,2,FALSE)</f>
        <v>https://www.chatswoodinterchange.com/storages/2018/08/Sushi-World_666x448.jpg</v>
      </c>
    </row>
    <row r="3332" spans="1:13" x14ac:dyDescent="0.3">
      <c r="A3332" t="s">
        <v>3362</v>
      </c>
      <c r="B3332" s="1">
        <v>45651</v>
      </c>
      <c r="C3332" t="s">
        <v>43</v>
      </c>
      <c r="D3332" t="s">
        <v>14</v>
      </c>
      <c r="E3332">
        <v>33</v>
      </c>
      <c r="F3332" t="s">
        <v>28</v>
      </c>
      <c r="G3332">
        <v>906.91</v>
      </c>
      <c r="H3332">
        <v>25</v>
      </c>
      <c r="I3332" t="s">
        <v>22</v>
      </c>
      <c r="J3332">
        <v>2.8</v>
      </c>
      <c r="K3332" t="s">
        <v>29</v>
      </c>
      <c r="L3332" t="s">
        <v>18</v>
      </c>
      <c r="M3332" t="str">
        <f>VLOOKUP(D3336,Restaurant_Master!A:B,2,FALSE)</f>
        <v>https://dynamic-media-cdn.tripadvisor.com/media/photo-o/1c/e7/04/0d/front-of-the-local-easily.jpg</v>
      </c>
    </row>
    <row r="3333" spans="1:13" x14ac:dyDescent="0.3">
      <c r="A3333" t="s">
        <v>3363</v>
      </c>
      <c r="B3333" s="1">
        <v>45466</v>
      </c>
      <c r="C3333" t="s">
        <v>36</v>
      </c>
      <c r="D3333" t="s">
        <v>14</v>
      </c>
      <c r="E3333">
        <v>53</v>
      </c>
      <c r="F3333" t="s">
        <v>15</v>
      </c>
      <c r="G3333">
        <v>1000.46</v>
      </c>
      <c r="H3333">
        <v>53</v>
      </c>
      <c r="I3333" t="s">
        <v>16</v>
      </c>
      <c r="J3333">
        <v>2.7</v>
      </c>
      <c r="K3333" t="s">
        <v>17</v>
      </c>
      <c r="L3333" t="s">
        <v>23</v>
      </c>
      <c r="M3333" t="str">
        <f>VLOOKUP(D3337,Restaurant_Master!A:B,2,FALSE)</f>
        <v>https://media-cdn.tripadvisor.com/media/photo-s/1c/c7/97/b6/photo6jpg.jpg</v>
      </c>
    </row>
    <row r="3334" spans="1:13" x14ac:dyDescent="0.3">
      <c r="A3334" t="s">
        <v>3364</v>
      </c>
      <c r="B3334" s="1">
        <v>45501</v>
      </c>
      <c r="C3334" t="s">
        <v>34</v>
      </c>
      <c r="D3334" t="s">
        <v>32</v>
      </c>
      <c r="E3334">
        <v>31</v>
      </c>
      <c r="F3334" t="s">
        <v>15</v>
      </c>
      <c r="G3334">
        <v>1118.55</v>
      </c>
      <c r="H3334">
        <v>27</v>
      </c>
      <c r="I3334" t="s">
        <v>22</v>
      </c>
      <c r="J3334">
        <v>5</v>
      </c>
      <c r="K3334" t="s">
        <v>29</v>
      </c>
      <c r="L3334" t="s">
        <v>18</v>
      </c>
      <c r="M3334" t="str">
        <f>VLOOKUP(D3338,Restaurant_Master!A:B,2,FALSE)</f>
        <v>https://dineout-media-assets.swiggy.com/swiggy/image/upload/fl_lossy,f_auto,q_auto/v1660793737/fdqxvxcxg1wtdwvyv45v.jpg</v>
      </c>
    </row>
    <row r="3335" spans="1:13" x14ac:dyDescent="0.3">
      <c r="A3335" t="s">
        <v>3365</v>
      </c>
      <c r="B3335" s="1">
        <v>45317</v>
      </c>
      <c r="C3335" t="s">
        <v>13</v>
      </c>
      <c r="D3335" t="s">
        <v>38</v>
      </c>
      <c r="E3335">
        <v>59</v>
      </c>
      <c r="F3335" t="s">
        <v>15</v>
      </c>
      <c r="G3335">
        <v>674.98</v>
      </c>
      <c r="H3335">
        <v>46</v>
      </c>
      <c r="I3335" t="s">
        <v>16</v>
      </c>
      <c r="J3335">
        <v>3.2</v>
      </c>
      <c r="K3335" t="s">
        <v>29</v>
      </c>
      <c r="L3335" t="s">
        <v>23</v>
      </c>
      <c r="M3335" t="str">
        <f>VLOOKUP(D3339,Restaurant_Master!A:B,2,FALSE)</f>
        <v>https://dineout-media-assets.swiggy.com/swiggy/image/upload/fl_lossy,f_auto,q_auto/v1660793737/fdqxvxcxg1wtdwvyv45v.jpg</v>
      </c>
    </row>
    <row r="3336" spans="1:13" x14ac:dyDescent="0.3">
      <c r="A3336" t="s">
        <v>3366</v>
      </c>
      <c r="B3336" s="1">
        <v>45475</v>
      </c>
      <c r="C3336" t="s">
        <v>43</v>
      </c>
      <c r="D3336" t="s">
        <v>21</v>
      </c>
      <c r="E3336">
        <v>54</v>
      </c>
      <c r="F3336" t="s">
        <v>15</v>
      </c>
      <c r="G3336">
        <v>1090.17</v>
      </c>
      <c r="H3336">
        <v>23</v>
      </c>
      <c r="I3336" t="s">
        <v>22</v>
      </c>
      <c r="J3336">
        <v>4.2</v>
      </c>
      <c r="K3336" t="s">
        <v>41</v>
      </c>
      <c r="L3336" t="s">
        <v>23</v>
      </c>
      <c r="M3336" t="str">
        <f>VLOOKUP(D3340,Restaurant_Master!A:B,2,FALSE)</f>
        <v>https://dineout-media-assets.swiggy.com/swiggy/image/upload/fl_lossy,f_auto,q_auto/v1660793737/fdqxvxcxg1wtdwvyv45v.jpg</v>
      </c>
    </row>
    <row r="3337" spans="1:13" x14ac:dyDescent="0.3">
      <c r="A3337" t="s">
        <v>3367</v>
      </c>
      <c r="B3337" s="1">
        <v>45488</v>
      </c>
      <c r="C3337" t="s">
        <v>34</v>
      </c>
      <c r="D3337" t="s">
        <v>25</v>
      </c>
      <c r="E3337">
        <v>54</v>
      </c>
      <c r="F3337" t="s">
        <v>15</v>
      </c>
      <c r="G3337">
        <v>725.6</v>
      </c>
      <c r="H3337">
        <v>58</v>
      </c>
      <c r="I3337" t="s">
        <v>16</v>
      </c>
      <c r="J3337">
        <v>2.5</v>
      </c>
      <c r="K3337" t="s">
        <v>41</v>
      </c>
      <c r="L3337" t="s">
        <v>18</v>
      </c>
      <c r="M3337" t="str">
        <f>VLOOKUP(D3341,Restaurant_Master!A:B,2,FALSE)</f>
        <v>https://content.jdmagicbox.com/comp/deoria/g6/9999p5568.5568.200119143033.m4g6/catalogue/biryani-house-deoria-ho-deoria-mktc2xph0o.jpg</v>
      </c>
    </row>
    <row r="3338" spans="1:13" x14ac:dyDescent="0.3">
      <c r="A3338" t="s">
        <v>3368</v>
      </c>
      <c r="B3338" s="1">
        <v>45635</v>
      </c>
      <c r="C3338" t="s">
        <v>34</v>
      </c>
      <c r="D3338" t="s">
        <v>14</v>
      </c>
      <c r="E3338">
        <v>18</v>
      </c>
      <c r="F3338" t="s">
        <v>28</v>
      </c>
      <c r="G3338">
        <v>665.47</v>
      </c>
      <c r="H3338">
        <v>23</v>
      </c>
      <c r="I3338" t="s">
        <v>22</v>
      </c>
      <c r="J3338">
        <v>3.6</v>
      </c>
      <c r="K3338" t="s">
        <v>26</v>
      </c>
      <c r="L3338" t="s">
        <v>23</v>
      </c>
      <c r="M3338" t="str">
        <f>VLOOKUP(D3342,Restaurant_Master!A:B,2,FALSE)</f>
        <v>https://content.jdmagicbox.com/comp/deoria/g6/9999p5568.5568.200119143033.m4g6/catalogue/biryani-house-deoria-ho-deoria-mktc2xph0o.jpg</v>
      </c>
    </row>
    <row r="3339" spans="1:13" x14ac:dyDescent="0.3">
      <c r="A3339" t="s">
        <v>3369</v>
      </c>
      <c r="B3339" s="1">
        <v>45604</v>
      </c>
      <c r="C3339" t="s">
        <v>13</v>
      </c>
      <c r="D3339" t="s">
        <v>14</v>
      </c>
      <c r="E3339">
        <v>34</v>
      </c>
      <c r="F3339" t="s">
        <v>28</v>
      </c>
      <c r="G3339">
        <v>608.9</v>
      </c>
      <c r="H3339">
        <v>56</v>
      </c>
      <c r="I3339" t="s">
        <v>16</v>
      </c>
      <c r="J3339">
        <v>3.4</v>
      </c>
      <c r="K3339" t="s">
        <v>41</v>
      </c>
      <c r="L3339" t="s">
        <v>23</v>
      </c>
      <c r="M3339" t="str">
        <f>VLOOKUP(D3343,Restaurant_Master!A:B,2,FALSE)</f>
        <v>https://www.chatswoodinterchange.com/storages/2018/08/Sushi-World_666x448.jpg</v>
      </c>
    </row>
    <row r="3340" spans="1:13" x14ac:dyDescent="0.3">
      <c r="A3340" t="s">
        <v>3370</v>
      </c>
      <c r="B3340" s="1">
        <v>45358</v>
      </c>
      <c r="C3340" t="s">
        <v>36</v>
      </c>
      <c r="D3340" t="s">
        <v>14</v>
      </c>
      <c r="E3340">
        <v>19</v>
      </c>
      <c r="F3340" t="s">
        <v>15</v>
      </c>
      <c r="G3340">
        <v>839.79</v>
      </c>
      <c r="H3340">
        <v>32</v>
      </c>
      <c r="I3340" t="s">
        <v>22</v>
      </c>
      <c r="J3340">
        <v>4.5</v>
      </c>
      <c r="K3340" t="s">
        <v>26</v>
      </c>
      <c r="L3340" t="s">
        <v>23</v>
      </c>
      <c r="M3340" t="str">
        <f>VLOOKUP(D3344,Restaurant_Master!A:B,2,FALSE)</f>
        <v>https://content.jdmagicbox.com/comp/deoria/g6/9999p5568.5568.200119143033.m4g6/catalogue/biryani-house-deoria-ho-deoria-mktc2xph0o.jpg</v>
      </c>
    </row>
    <row r="3341" spans="1:13" x14ac:dyDescent="0.3">
      <c r="A3341" t="s">
        <v>3371</v>
      </c>
      <c r="B3341" s="1">
        <v>45537</v>
      </c>
      <c r="C3341" t="s">
        <v>20</v>
      </c>
      <c r="D3341" t="s">
        <v>32</v>
      </c>
      <c r="E3341">
        <v>45</v>
      </c>
      <c r="F3341" t="s">
        <v>15</v>
      </c>
      <c r="G3341">
        <v>242.54</v>
      </c>
      <c r="H3341">
        <v>57</v>
      </c>
      <c r="I3341" t="s">
        <v>16</v>
      </c>
      <c r="J3341">
        <v>4</v>
      </c>
      <c r="K3341" t="s">
        <v>17</v>
      </c>
      <c r="L3341" t="s">
        <v>18</v>
      </c>
      <c r="M3341" t="str">
        <f>VLOOKUP(D3345,Restaurant_Master!A:B,2,FALSE)</f>
        <v>https://dineout-media-assets.swiggy.com/swiggy/image/upload/fl_lossy,f_auto,q_auto/v1660793737/fdqxvxcxg1wtdwvyv45v.jpg</v>
      </c>
    </row>
    <row r="3342" spans="1:13" x14ac:dyDescent="0.3">
      <c r="A3342" t="s">
        <v>3372</v>
      </c>
      <c r="B3342" s="1">
        <v>45436</v>
      </c>
      <c r="C3342" t="s">
        <v>43</v>
      </c>
      <c r="D3342" t="s">
        <v>32</v>
      </c>
      <c r="E3342">
        <v>41</v>
      </c>
      <c r="F3342" t="s">
        <v>28</v>
      </c>
      <c r="G3342">
        <v>1095.04</v>
      </c>
      <c r="H3342">
        <v>34</v>
      </c>
      <c r="I3342" t="s">
        <v>22</v>
      </c>
      <c r="J3342">
        <v>2.6</v>
      </c>
      <c r="K3342" t="s">
        <v>26</v>
      </c>
      <c r="L3342" t="s">
        <v>18</v>
      </c>
      <c r="M3342" t="str">
        <f>VLOOKUP(D3346,Restaurant_Master!A:B,2,FALSE)</f>
        <v>https://media-cdn.tripadvisor.com/media/photo-s/1c/c7/97/b6/photo6jpg.jpg</v>
      </c>
    </row>
    <row r="3343" spans="1:13" x14ac:dyDescent="0.3">
      <c r="A3343" t="s">
        <v>3373</v>
      </c>
      <c r="B3343" s="1">
        <v>45338</v>
      </c>
      <c r="C3343" t="s">
        <v>43</v>
      </c>
      <c r="D3343" t="s">
        <v>38</v>
      </c>
      <c r="E3343">
        <v>28</v>
      </c>
      <c r="F3343" t="s">
        <v>15</v>
      </c>
      <c r="G3343">
        <v>403.24</v>
      </c>
      <c r="H3343">
        <v>44</v>
      </c>
      <c r="I3343" t="s">
        <v>16</v>
      </c>
      <c r="J3343">
        <v>2.6</v>
      </c>
      <c r="K3343" t="s">
        <v>26</v>
      </c>
      <c r="L3343" t="s">
        <v>23</v>
      </c>
      <c r="M3343" t="str">
        <f>VLOOKUP(D3347,Restaurant_Master!A:B,2,FALSE)</f>
        <v>https://dynamic-media-cdn.tripadvisor.com/media/photo-o/1c/e7/04/0d/front-of-the-local-easily.jpg</v>
      </c>
    </row>
    <row r="3344" spans="1:13" x14ac:dyDescent="0.3">
      <c r="A3344" t="s">
        <v>3374</v>
      </c>
      <c r="B3344" s="1">
        <v>45365</v>
      </c>
      <c r="C3344" t="s">
        <v>20</v>
      </c>
      <c r="D3344" t="s">
        <v>32</v>
      </c>
      <c r="E3344">
        <v>59</v>
      </c>
      <c r="F3344" t="s">
        <v>15</v>
      </c>
      <c r="G3344">
        <v>1103.17</v>
      </c>
      <c r="H3344">
        <v>27</v>
      </c>
      <c r="I3344" t="s">
        <v>22</v>
      </c>
      <c r="J3344">
        <v>2.7</v>
      </c>
      <c r="K3344" t="s">
        <v>29</v>
      </c>
      <c r="L3344" t="s">
        <v>23</v>
      </c>
      <c r="M3344" t="str">
        <f>VLOOKUP(D3348,Restaurant_Master!A:B,2,FALSE)</f>
        <v>https://dineout-media-assets.swiggy.com/swiggy/image/upload/fl_lossy,f_auto,q_auto/v1660793737/fdqxvxcxg1wtdwvyv45v.jpg</v>
      </c>
    </row>
    <row r="3345" spans="1:13" x14ac:dyDescent="0.3">
      <c r="A3345" t="s">
        <v>3375</v>
      </c>
      <c r="B3345" s="1">
        <v>45549</v>
      </c>
      <c r="C3345" t="s">
        <v>20</v>
      </c>
      <c r="D3345" t="s">
        <v>14</v>
      </c>
      <c r="E3345">
        <v>45</v>
      </c>
      <c r="F3345" t="s">
        <v>15</v>
      </c>
      <c r="G3345">
        <v>436.05</v>
      </c>
      <c r="H3345">
        <v>37</v>
      </c>
      <c r="I3345" t="s">
        <v>22</v>
      </c>
      <c r="J3345">
        <v>4.7</v>
      </c>
      <c r="K3345" t="s">
        <v>41</v>
      </c>
      <c r="L3345" t="s">
        <v>18</v>
      </c>
      <c r="M3345" t="str">
        <f>VLOOKUP(D3349,Restaurant_Master!A:B,2,FALSE)</f>
        <v>https://www.chatswoodinterchange.com/storages/2018/08/Sushi-World_666x448.jpg</v>
      </c>
    </row>
    <row r="3346" spans="1:13" x14ac:dyDescent="0.3">
      <c r="A3346" t="s">
        <v>3376</v>
      </c>
      <c r="B3346" s="1">
        <v>45295</v>
      </c>
      <c r="C3346" t="s">
        <v>13</v>
      </c>
      <c r="D3346" t="s">
        <v>25</v>
      </c>
      <c r="E3346">
        <v>24</v>
      </c>
      <c r="F3346" t="s">
        <v>28</v>
      </c>
      <c r="G3346">
        <v>998.53</v>
      </c>
      <c r="H3346">
        <v>41</v>
      </c>
      <c r="I3346" t="s">
        <v>16</v>
      </c>
      <c r="J3346">
        <v>2.8</v>
      </c>
      <c r="K3346" t="s">
        <v>17</v>
      </c>
      <c r="L3346" t="s">
        <v>18</v>
      </c>
      <c r="M3346" t="str">
        <f>VLOOKUP(D3350,Restaurant_Master!A:B,2,FALSE)</f>
        <v>https://content.jdmagicbox.com/comp/deoria/g6/9999p5568.5568.200119143033.m4g6/catalogue/biryani-house-deoria-ho-deoria-mktc2xph0o.jpg</v>
      </c>
    </row>
    <row r="3347" spans="1:13" x14ac:dyDescent="0.3">
      <c r="A3347" t="s">
        <v>3377</v>
      </c>
      <c r="B3347" s="1">
        <v>45550</v>
      </c>
      <c r="C3347" t="s">
        <v>13</v>
      </c>
      <c r="D3347" t="s">
        <v>21</v>
      </c>
      <c r="E3347">
        <v>33</v>
      </c>
      <c r="F3347" t="s">
        <v>15</v>
      </c>
      <c r="G3347">
        <v>380.37</v>
      </c>
      <c r="H3347">
        <v>53</v>
      </c>
      <c r="I3347" t="s">
        <v>16</v>
      </c>
      <c r="J3347">
        <v>3.7</v>
      </c>
      <c r="K3347" t="s">
        <v>29</v>
      </c>
      <c r="L3347" t="s">
        <v>23</v>
      </c>
      <c r="M3347" t="str">
        <f>VLOOKUP(D3351,Restaurant_Master!A:B,2,FALSE)</f>
        <v>https://media-cdn.tripadvisor.com/media/photo-s/1c/c7/97/b6/photo6jpg.jpg</v>
      </c>
    </row>
    <row r="3348" spans="1:13" x14ac:dyDescent="0.3">
      <c r="A3348" t="s">
        <v>3378</v>
      </c>
      <c r="B3348" s="1">
        <v>45454</v>
      </c>
      <c r="C3348" t="s">
        <v>43</v>
      </c>
      <c r="D3348" t="s">
        <v>14</v>
      </c>
      <c r="E3348">
        <v>34</v>
      </c>
      <c r="F3348" t="s">
        <v>28</v>
      </c>
      <c r="G3348">
        <v>765.62</v>
      </c>
      <c r="H3348">
        <v>54</v>
      </c>
      <c r="I3348" t="s">
        <v>16</v>
      </c>
      <c r="J3348">
        <v>3.9</v>
      </c>
      <c r="K3348" t="s">
        <v>17</v>
      </c>
      <c r="L3348" t="s">
        <v>18</v>
      </c>
      <c r="M3348" t="str">
        <f>VLOOKUP(D3352,Restaurant_Master!A:B,2,FALSE)</f>
        <v>https://content.jdmagicbox.com/comp/deoria/g6/9999p5568.5568.200119143033.m4g6/catalogue/biryani-house-deoria-ho-deoria-mktc2xph0o.jpg</v>
      </c>
    </row>
    <row r="3349" spans="1:13" x14ac:dyDescent="0.3">
      <c r="A3349" t="s">
        <v>3379</v>
      </c>
      <c r="B3349" s="1">
        <v>45407</v>
      </c>
      <c r="C3349" t="s">
        <v>20</v>
      </c>
      <c r="D3349" t="s">
        <v>38</v>
      </c>
      <c r="E3349">
        <v>60</v>
      </c>
      <c r="F3349" t="s">
        <v>28</v>
      </c>
      <c r="G3349">
        <v>1113.94</v>
      </c>
      <c r="H3349">
        <v>35</v>
      </c>
      <c r="I3349" t="s">
        <v>22</v>
      </c>
      <c r="J3349">
        <v>3</v>
      </c>
      <c r="K3349" t="s">
        <v>26</v>
      </c>
      <c r="L3349" t="s">
        <v>23</v>
      </c>
      <c r="M3349" t="str">
        <f>VLOOKUP(D3353,Restaurant_Master!A:B,2,FALSE)</f>
        <v>https://media-cdn.tripadvisor.com/media/photo-s/1c/c7/97/b6/photo6jpg.jpg</v>
      </c>
    </row>
    <row r="3350" spans="1:13" x14ac:dyDescent="0.3">
      <c r="A3350" t="s">
        <v>3380</v>
      </c>
      <c r="B3350" s="1">
        <v>45511</v>
      </c>
      <c r="C3350" t="s">
        <v>36</v>
      </c>
      <c r="D3350" t="s">
        <v>32</v>
      </c>
      <c r="E3350">
        <v>47</v>
      </c>
      <c r="F3350" t="s">
        <v>28</v>
      </c>
      <c r="G3350">
        <v>1008.9</v>
      </c>
      <c r="H3350">
        <v>23</v>
      </c>
      <c r="I3350" t="s">
        <v>22</v>
      </c>
      <c r="J3350">
        <v>4.8</v>
      </c>
      <c r="K3350" t="s">
        <v>26</v>
      </c>
      <c r="L3350" t="s">
        <v>23</v>
      </c>
      <c r="M3350" t="str">
        <f>VLOOKUP(D3354,Restaurant_Master!A:B,2,FALSE)</f>
        <v>https://dynamic-media-cdn.tripadvisor.com/media/photo-o/1c/e7/04/0d/front-of-the-local-easily.jpg</v>
      </c>
    </row>
    <row r="3351" spans="1:13" x14ac:dyDescent="0.3">
      <c r="A3351" t="s">
        <v>3381</v>
      </c>
      <c r="B3351" s="1">
        <v>45638</v>
      </c>
      <c r="C3351" t="s">
        <v>13</v>
      </c>
      <c r="D3351" t="s">
        <v>25</v>
      </c>
      <c r="E3351">
        <v>52</v>
      </c>
      <c r="F3351" t="s">
        <v>15</v>
      </c>
      <c r="G3351">
        <v>1172.83</v>
      </c>
      <c r="H3351">
        <v>59</v>
      </c>
      <c r="I3351" t="s">
        <v>16</v>
      </c>
      <c r="J3351">
        <v>2.8</v>
      </c>
      <c r="K3351" t="s">
        <v>17</v>
      </c>
      <c r="L3351" t="s">
        <v>18</v>
      </c>
      <c r="M3351" t="str">
        <f>VLOOKUP(D3355,Restaurant_Master!A:B,2,FALSE)</f>
        <v>https://media-cdn.tripadvisor.com/media/photo-s/1c/c7/97/b6/photo6jpg.jpg</v>
      </c>
    </row>
    <row r="3352" spans="1:13" x14ac:dyDescent="0.3">
      <c r="A3352" t="s">
        <v>3382</v>
      </c>
      <c r="B3352" s="1">
        <v>45375</v>
      </c>
      <c r="C3352" t="s">
        <v>13</v>
      </c>
      <c r="D3352" t="s">
        <v>32</v>
      </c>
      <c r="E3352">
        <v>45</v>
      </c>
      <c r="F3352" t="s">
        <v>28</v>
      </c>
      <c r="G3352">
        <v>549.47</v>
      </c>
      <c r="H3352">
        <v>23</v>
      </c>
      <c r="I3352" t="s">
        <v>22</v>
      </c>
      <c r="J3352">
        <v>4.5999999999999996</v>
      </c>
      <c r="K3352" t="s">
        <v>29</v>
      </c>
      <c r="L3352" t="s">
        <v>23</v>
      </c>
      <c r="M3352" t="str">
        <f>VLOOKUP(D3356,Restaurant_Master!A:B,2,FALSE)</f>
        <v>https://www.chatswoodinterchange.com/storages/2018/08/Sushi-World_666x448.jpg</v>
      </c>
    </row>
    <row r="3353" spans="1:13" x14ac:dyDescent="0.3">
      <c r="A3353" t="s">
        <v>3383</v>
      </c>
      <c r="B3353" s="1">
        <v>45561</v>
      </c>
      <c r="C3353" t="s">
        <v>20</v>
      </c>
      <c r="D3353" t="s">
        <v>25</v>
      </c>
      <c r="E3353">
        <v>24</v>
      </c>
      <c r="F3353" t="s">
        <v>15</v>
      </c>
      <c r="G3353">
        <v>966.58</v>
      </c>
      <c r="H3353">
        <v>35</v>
      </c>
      <c r="I3353" t="s">
        <v>22</v>
      </c>
      <c r="J3353">
        <v>4.3</v>
      </c>
      <c r="K3353" t="s">
        <v>17</v>
      </c>
      <c r="L3353" t="s">
        <v>18</v>
      </c>
      <c r="M3353" t="str">
        <f>VLOOKUP(D3357,Restaurant_Master!A:B,2,FALSE)</f>
        <v>https://media-cdn.tripadvisor.com/media/photo-s/1c/c7/97/b6/photo6jpg.jpg</v>
      </c>
    </row>
    <row r="3354" spans="1:13" x14ac:dyDescent="0.3">
      <c r="A3354" t="s">
        <v>3384</v>
      </c>
      <c r="B3354" s="1">
        <v>45316</v>
      </c>
      <c r="C3354" t="s">
        <v>34</v>
      </c>
      <c r="D3354" t="s">
        <v>21</v>
      </c>
      <c r="E3354">
        <v>48</v>
      </c>
      <c r="F3354" t="s">
        <v>28</v>
      </c>
      <c r="G3354">
        <v>191.94</v>
      </c>
      <c r="H3354">
        <v>48</v>
      </c>
      <c r="I3354" t="s">
        <v>16</v>
      </c>
      <c r="J3354">
        <v>3.9</v>
      </c>
      <c r="K3354" t="s">
        <v>41</v>
      </c>
      <c r="L3354" t="s">
        <v>18</v>
      </c>
      <c r="M3354" t="str">
        <f>VLOOKUP(D3358,Restaurant_Master!A:B,2,FALSE)</f>
        <v>https://content.jdmagicbox.com/comp/deoria/g6/9999p5568.5568.200119143033.m4g6/catalogue/biryani-house-deoria-ho-deoria-mktc2xph0o.jpg</v>
      </c>
    </row>
    <row r="3355" spans="1:13" x14ac:dyDescent="0.3">
      <c r="A3355" t="s">
        <v>3385</v>
      </c>
      <c r="B3355" s="1">
        <v>45531</v>
      </c>
      <c r="C3355" t="s">
        <v>34</v>
      </c>
      <c r="D3355" t="s">
        <v>25</v>
      </c>
      <c r="E3355">
        <v>52</v>
      </c>
      <c r="F3355" t="s">
        <v>28</v>
      </c>
      <c r="G3355">
        <v>1110.6199999999999</v>
      </c>
      <c r="H3355">
        <v>39</v>
      </c>
      <c r="I3355" t="s">
        <v>22</v>
      </c>
      <c r="J3355">
        <v>4.9000000000000004</v>
      </c>
      <c r="K3355" t="s">
        <v>29</v>
      </c>
      <c r="L3355" t="s">
        <v>18</v>
      </c>
      <c r="M3355" t="str">
        <f>VLOOKUP(D3359,Restaurant_Master!A:B,2,FALSE)</f>
        <v>https://dineout-media-assets.swiggy.com/swiggy/image/upload/fl_lossy,f_auto,q_auto/v1660793737/fdqxvxcxg1wtdwvyv45v.jpg</v>
      </c>
    </row>
    <row r="3356" spans="1:13" x14ac:dyDescent="0.3">
      <c r="A3356" t="s">
        <v>3386</v>
      </c>
      <c r="B3356" s="1">
        <v>45626</v>
      </c>
      <c r="C3356" t="s">
        <v>13</v>
      </c>
      <c r="D3356" t="s">
        <v>38</v>
      </c>
      <c r="E3356">
        <v>51</v>
      </c>
      <c r="F3356" t="s">
        <v>28</v>
      </c>
      <c r="G3356">
        <v>937.74</v>
      </c>
      <c r="H3356">
        <v>58</v>
      </c>
      <c r="I3356" t="s">
        <v>16</v>
      </c>
      <c r="J3356">
        <v>4.7</v>
      </c>
      <c r="K3356" t="s">
        <v>17</v>
      </c>
      <c r="L3356" t="s">
        <v>18</v>
      </c>
      <c r="M3356" t="str">
        <f>VLOOKUP(D3360,Restaurant_Master!A:B,2,FALSE)</f>
        <v>https://dynamic-media-cdn.tripadvisor.com/media/photo-o/1c/e7/04/0d/front-of-the-local-easily.jpg</v>
      </c>
    </row>
    <row r="3357" spans="1:13" x14ac:dyDescent="0.3">
      <c r="A3357" t="s">
        <v>3387</v>
      </c>
      <c r="B3357" s="1">
        <v>45510</v>
      </c>
      <c r="C3357" t="s">
        <v>43</v>
      </c>
      <c r="D3357" t="s">
        <v>25</v>
      </c>
      <c r="E3357">
        <v>59</v>
      </c>
      <c r="F3357" t="s">
        <v>28</v>
      </c>
      <c r="G3357">
        <v>1029.8800000000001</v>
      </c>
      <c r="H3357">
        <v>41</v>
      </c>
      <c r="I3357" t="s">
        <v>16</v>
      </c>
      <c r="J3357">
        <v>4.2</v>
      </c>
      <c r="K3357" t="s">
        <v>29</v>
      </c>
      <c r="L3357" t="s">
        <v>23</v>
      </c>
      <c r="M3357" t="str">
        <f>VLOOKUP(D3361,Restaurant_Master!A:B,2,FALSE)</f>
        <v>https://dineout-media-assets.swiggy.com/swiggy/image/upload/fl_lossy,f_auto,q_auto/v1660793737/fdqxvxcxg1wtdwvyv45v.jpg</v>
      </c>
    </row>
    <row r="3358" spans="1:13" x14ac:dyDescent="0.3">
      <c r="A3358" t="s">
        <v>3388</v>
      </c>
      <c r="B3358" s="1">
        <v>45335</v>
      </c>
      <c r="C3358" t="s">
        <v>34</v>
      </c>
      <c r="D3358" t="s">
        <v>32</v>
      </c>
      <c r="E3358">
        <v>20</v>
      </c>
      <c r="F3358" t="s">
        <v>28</v>
      </c>
      <c r="G3358">
        <v>953.43</v>
      </c>
      <c r="H3358">
        <v>43</v>
      </c>
      <c r="I3358" t="s">
        <v>16</v>
      </c>
      <c r="J3358">
        <v>3.3</v>
      </c>
      <c r="K3358" t="s">
        <v>26</v>
      </c>
      <c r="L3358" t="s">
        <v>18</v>
      </c>
      <c r="M3358" t="str">
        <f>VLOOKUP(D3362,Restaurant_Master!A:B,2,FALSE)</f>
        <v>https://media-cdn.tripadvisor.com/media/photo-s/1c/c7/97/b6/photo6jpg.jpg</v>
      </c>
    </row>
    <row r="3359" spans="1:13" x14ac:dyDescent="0.3">
      <c r="A3359" t="s">
        <v>3389</v>
      </c>
      <c r="B3359" s="1">
        <v>45457</v>
      </c>
      <c r="C3359" t="s">
        <v>13</v>
      </c>
      <c r="D3359" t="s">
        <v>14</v>
      </c>
      <c r="E3359">
        <v>47</v>
      </c>
      <c r="F3359" t="s">
        <v>15</v>
      </c>
      <c r="G3359">
        <v>985.92</v>
      </c>
      <c r="H3359">
        <v>32</v>
      </c>
      <c r="I3359" t="s">
        <v>22</v>
      </c>
      <c r="J3359">
        <v>2.8</v>
      </c>
      <c r="K3359" t="s">
        <v>29</v>
      </c>
      <c r="L3359" t="s">
        <v>23</v>
      </c>
      <c r="M3359" t="str">
        <f>VLOOKUP(D3363,Restaurant_Master!A:B,2,FALSE)</f>
        <v>https://dynamic-media-cdn.tripadvisor.com/media/photo-o/1c/e7/04/0d/front-of-the-local-easily.jpg</v>
      </c>
    </row>
    <row r="3360" spans="1:13" x14ac:dyDescent="0.3">
      <c r="A3360" t="s">
        <v>3390</v>
      </c>
      <c r="B3360" s="1">
        <v>45587</v>
      </c>
      <c r="C3360" t="s">
        <v>43</v>
      </c>
      <c r="D3360" t="s">
        <v>21</v>
      </c>
      <c r="E3360">
        <v>59</v>
      </c>
      <c r="F3360" t="s">
        <v>28</v>
      </c>
      <c r="G3360">
        <v>269.13</v>
      </c>
      <c r="H3360">
        <v>50</v>
      </c>
      <c r="I3360" t="s">
        <v>16</v>
      </c>
      <c r="J3360">
        <v>3.1</v>
      </c>
      <c r="K3360" t="s">
        <v>29</v>
      </c>
      <c r="L3360" t="s">
        <v>23</v>
      </c>
      <c r="M3360" t="str">
        <f>VLOOKUP(D3364,Restaurant_Master!A:B,2,FALSE)</f>
        <v>https://www.chatswoodinterchange.com/storages/2018/08/Sushi-World_666x448.jpg</v>
      </c>
    </row>
    <row r="3361" spans="1:13" x14ac:dyDescent="0.3">
      <c r="A3361" t="s">
        <v>3391</v>
      </c>
      <c r="B3361" s="1">
        <v>45356</v>
      </c>
      <c r="C3361" t="s">
        <v>20</v>
      </c>
      <c r="D3361" t="s">
        <v>14</v>
      </c>
      <c r="E3361">
        <v>60</v>
      </c>
      <c r="F3361" t="s">
        <v>28</v>
      </c>
      <c r="G3361">
        <v>1167.8499999999999</v>
      </c>
      <c r="H3361">
        <v>35</v>
      </c>
      <c r="I3361" t="s">
        <v>22</v>
      </c>
      <c r="J3361">
        <v>2.5</v>
      </c>
      <c r="K3361" t="s">
        <v>41</v>
      </c>
      <c r="L3361" t="s">
        <v>18</v>
      </c>
      <c r="M3361" t="str">
        <f>VLOOKUP(D3365,Restaurant_Master!A:B,2,FALSE)</f>
        <v>https://dineout-media-assets.swiggy.com/swiggy/image/upload/fl_lossy,f_auto,q_auto/v1660793737/fdqxvxcxg1wtdwvyv45v.jpg</v>
      </c>
    </row>
    <row r="3362" spans="1:13" x14ac:dyDescent="0.3">
      <c r="A3362" t="s">
        <v>3392</v>
      </c>
      <c r="B3362" s="1">
        <v>45475</v>
      </c>
      <c r="C3362" t="s">
        <v>43</v>
      </c>
      <c r="D3362" t="s">
        <v>25</v>
      </c>
      <c r="E3362">
        <v>22</v>
      </c>
      <c r="F3362" t="s">
        <v>15</v>
      </c>
      <c r="G3362">
        <v>540.84</v>
      </c>
      <c r="H3362">
        <v>41</v>
      </c>
      <c r="I3362" t="s">
        <v>16</v>
      </c>
      <c r="J3362">
        <v>4.9000000000000004</v>
      </c>
      <c r="K3362" t="s">
        <v>26</v>
      </c>
      <c r="L3362" t="s">
        <v>18</v>
      </c>
      <c r="M3362" t="str">
        <f>VLOOKUP(D3366,Restaurant_Master!A:B,2,FALSE)</f>
        <v>https://content.jdmagicbox.com/comp/deoria/g6/9999p5568.5568.200119143033.m4g6/catalogue/biryani-house-deoria-ho-deoria-mktc2xph0o.jpg</v>
      </c>
    </row>
    <row r="3363" spans="1:13" x14ac:dyDescent="0.3">
      <c r="A3363" t="s">
        <v>3393</v>
      </c>
      <c r="B3363" s="1">
        <v>45476</v>
      </c>
      <c r="C3363" t="s">
        <v>43</v>
      </c>
      <c r="D3363" t="s">
        <v>21</v>
      </c>
      <c r="E3363">
        <v>44</v>
      </c>
      <c r="F3363" t="s">
        <v>15</v>
      </c>
      <c r="G3363">
        <v>1090.6099999999999</v>
      </c>
      <c r="H3363">
        <v>32</v>
      </c>
      <c r="I3363" t="s">
        <v>22</v>
      </c>
      <c r="J3363">
        <v>2.8</v>
      </c>
      <c r="K3363" t="s">
        <v>17</v>
      </c>
      <c r="L3363" t="s">
        <v>23</v>
      </c>
      <c r="M3363" t="str">
        <f>VLOOKUP(D3367,Restaurant_Master!A:B,2,FALSE)</f>
        <v>https://dineout-media-assets.swiggy.com/swiggy/image/upload/fl_lossy,f_auto,q_auto/v1660793737/fdqxvxcxg1wtdwvyv45v.jpg</v>
      </c>
    </row>
    <row r="3364" spans="1:13" x14ac:dyDescent="0.3">
      <c r="A3364" t="s">
        <v>3394</v>
      </c>
      <c r="B3364" s="1">
        <v>45460</v>
      </c>
      <c r="C3364" t="s">
        <v>36</v>
      </c>
      <c r="D3364" t="s">
        <v>38</v>
      </c>
      <c r="E3364">
        <v>18</v>
      </c>
      <c r="F3364" t="s">
        <v>15</v>
      </c>
      <c r="G3364">
        <v>303.75</v>
      </c>
      <c r="H3364">
        <v>32</v>
      </c>
      <c r="I3364" t="s">
        <v>22</v>
      </c>
      <c r="J3364">
        <v>4.3</v>
      </c>
      <c r="K3364" t="s">
        <v>26</v>
      </c>
      <c r="L3364" t="s">
        <v>18</v>
      </c>
      <c r="M3364" t="str">
        <f>VLOOKUP(D3368,Restaurant_Master!A:B,2,FALSE)</f>
        <v>https://content.jdmagicbox.com/comp/deoria/g6/9999p5568.5568.200119143033.m4g6/catalogue/biryani-house-deoria-ho-deoria-mktc2xph0o.jpg</v>
      </c>
    </row>
    <row r="3365" spans="1:13" x14ac:dyDescent="0.3">
      <c r="A3365" t="s">
        <v>3395</v>
      </c>
      <c r="B3365" s="1">
        <v>45646</v>
      </c>
      <c r="C3365" t="s">
        <v>20</v>
      </c>
      <c r="D3365" t="s">
        <v>14</v>
      </c>
      <c r="E3365">
        <v>40</v>
      </c>
      <c r="F3365" t="s">
        <v>15</v>
      </c>
      <c r="G3365">
        <v>454.47</v>
      </c>
      <c r="H3365">
        <v>52</v>
      </c>
      <c r="I3365" t="s">
        <v>16</v>
      </c>
      <c r="J3365">
        <v>4.9000000000000004</v>
      </c>
      <c r="K3365" t="s">
        <v>29</v>
      </c>
      <c r="L3365" t="s">
        <v>23</v>
      </c>
      <c r="M3365" t="str">
        <f>VLOOKUP(D3369,Restaurant_Master!A:B,2,FALSE)</f>
        <v>https://dineout-media-assets.swiggy.com/swiggy/image/upload/fl_lossy,f_auto,q_auto/v1660793737/fdqxvxcxg1wtdwvyv45v.jpg</v>
      </c>
    </row>
    <row r="3366" spans="1:13" x14ac:dyDescent="0.3">
      <c r="A3366" t="s">
        <v>3396</v>
      </c>
      <c r="B3366" s="1">
        <v>45651</v>
      </c>
      <c r="C3366" t="s">
        <v>36</v>
      </c>
      <c r="D3366" t="s">
        <v>32</v>
      </c>
      <c r="E3366">
        <v>34</v>
      </c>
      <c r="F3366" t="s">
        <v>15</v>
      </c>
      <c r="G3366">
        <v>830.51</v>
      </c>
      <c r="H3366">
        <v>23</v>
      </c>
      <c r="I3366" t="s">
        <v>22</v>
      </c>
      <c r="J3366">
        <v>2.7</v>
      </c>
      <c r="K3366" t="s">
        <v>17</v>
      </c>
      <c r="L3366" t="s">
        <v>23</v>
      </c>
      <c r="M3366" t="str">
        <f>VLOOKUP(D3370,Restaurant_Master!A:B,2,FALSE)</f>
        <v>https://www.chatswoodinterchange.com/storages/2018/08/Sushi-World_666x448.jpg</v>
      </c>
    </row>
    <row r="3367" spans="1:13" x14ac:dyDescent="0.3">
      <c r="A3367" t="s">
        <v>3397</v>
      </c>
      <c r="B3367" s="1">
        <v>45375</v>
      </c>
      <c r="C3367" t="s">
        <v>13</v>
      </c>
      <c r="D3367" t="s">
        <v>14</v>
      </c>
      <c r="E3367">
        <v>38</v>
      </c>
      <c r="F3367" t="s">
        <v>15</v>
      </c>
      <c r="G3367">
        <v>991.3</v>
      </c>
      <c r="H3367">
        <v>28</v>
      </c>
      <c r="I3367" t="s">
        <v>22</v>
      </c>
      <c r="J3367">
        <v>3.5</v>
      </c>
      <c r="K3367" t="s">
        <v>26</v>
      </c>
      <c r="L3367" t="s">
        <v>23</v>
      </c>
      <c r="M3367" t="str">
        <f>VLOOKUP(D3371,Restaurant_Master!A:B,2,FALSE)</f>
        <v>https://www.chatswoodinterchange.com/storages/2018/08/Sushi-World_666x448.jpg</v>
      </c>
    </row>
    <row r="3368" spans="1:13" x14ac:dyDescent="0.3">
      <c r="A3368" t="s">
        <v>3398</v>
      </c>
      <c r="B3368" s="1">
        <v>45309</v>
      </c>
      <c r="C3368" t="s">
        <v>43</v>
      </c>
      <c r="D3368" t="s">
        <v>32</v>
      </c>
      <c r="E3368">
        <v>38</v>
      </c>
      <c r="F3368" t="s">
        <v>28</v>
      </c>
      <c r="G3368">
        <v>873.89</v>
      </c>
      <c r="H3368">
        <v>50</v>
      </c>
      <c r="I3368" t="s">
        <v>16</v>
      </c>
      <c r="J3368">
        <v>3.4</v>
      </c>
      <c r="K3368" t="s">
        <v>26</v>
      </c>
      <c r="L3368" t="s">
        <v>23</v>
      </c>
      <c r="M3368" t="str">
        <f>VLOOKUP(D3372,Restaurant_Master!A:B,2,FALSE)</f>
        <v>https://media-cdn.tripadvisor.com/media/photo-s/1c/c7/97/b6/photo6jpg.jpg</v>
      </c>
    </row>
    <row r="3369" spans="1:13" x14ac:dyDescent="0.3">
      <c r="A3369" t="s">
        <v>3399</v>
      </c>
      <c r="B3369" s="1">
        <v>45568</v>
      </c>
      <c r="C3369" t="s">
        <v>20</v>
      </c>
      <c r="D3369" t="s">
        <v>14</v>
      </c>
      <c r="E3369">
        <v>22</v>
      </c>
      <c r="F3369" t="s">
        <v>15</v>
      </c>
      <c r="G3369">
        <v>304.99</v>
      </c>
      <c r="H3369">
        <v>57</v>
      </c>
      <c r="I3369" t="s">
        <v>16</v>
      </c>
      <c r="J3369">
        <v>4.5</v>
      </c>
      <c r="K3369" t="s">
        <v>26</v>
      </c>
      <c r="L3369" t="s">
        <v>18</v>
      </c>
      <c r="M3369" t="str">
        <f>VLOOKUP(D3373,Restaurant_Master!A:B,2,FALSE)</f>
        <v>https://content.jdmagicbox.com/comp/deoria/g6/9999p5568.5568.200119143033.m4g6/catalogue/biryani-house-deoria-ho-deoria-mktc2xph0o.jpg</v>
      </c>
    </row>
    <row r="3370" spans="1:13" x14ac:dyDescent="0.3">
      <c r="A3370" t="s">
        <v>3400</v>
      </c>
      <c r="B3370" s="1">
        <v>45422</v>
      </c>
      <c r="C3370" t="s">
        <v>43</v>
      </c>
      <c r="D3370" t="s">
        <v>38</v>
      </c>
      <c r="E3370">
        <v>37</v>
      </c>
      <c r="F3370" t="s">
        <v>28</v>
      </c>
      <c r="G3370">
        <v>464.92</v>
      </c>
      <c r="H3370">
        <v>55</v>
      </c>
      <c r="I3370" t="s">
        <v>16</v>
      </c>
      <c r="J3370">
        <v>3</v>
      </c>
      <c r="K3370" t="s">
        <v>17</v>
      </c>
      <c r="L3370" t="s">
        <v>23</v>
      </c>
      <c r="M3370" t="str">
        <f>VLOOKUP(D3374,Restaurant_Master!A:B,2,FALSE)</f>
        <v>https://dynamic-media-cdn.tripadvisor.com/media/photo-o/1c/e7/04/0d/front-of-the-local-easily.jpg</v>
      </c>
    </row>
    <row r="3371" spans="1:13" x14ac:dyDescent="0.3">
      <c r="A3371" t="s">
        <v>3401</v>
      </c>
      <c r="B3371" s="1">
        <v>45545</v>
      </c>
      <c r="C3371" t="s">
        <v>13</v>
      </c>
      <c r="D3371" t="s">
        <v>38</v>
      </c>
      <c r="E3371">
        <v>51</v>
      </c>
      <c r="F3371" t="s">
        <v>15</v>
      </c>
      <c r="G3371">
        <v>570.13</v>
      </c>
      <c r="H3371">
        <v>30</v>
      </c>
      <c r="I3371" t="s">
        <v>22</v>
      </c>
      <c r="J3371">
        <v>4.5999999999999996</v>
      </c>
      <c r="K3371" t="s">
        <v>17</v>
      </c>
      <c r="L3371" t="s">
        <v>18</v>
      </c>
      <c r="M3371" t="str">
        <f>VLOOKUP(D3375,Restaurant_Master!A:B,2,FALSE)</f>
        <v>https://dineout-media-assets.swiggy.com/swiggy/image/upload/fl_lossy,f_auto,q_auto/v1660793737/fdqxvxcxg1wtdwvyv45v.jpg</v>
      </c>
    </row>
    <row r="3372" spans="1:13" x14ac:dyDescent="0.3">
      <c r="A3372" t="s">
        <v>3402</v>
      </c>
      <c r="B3372" s="1">
        <v>45358</v>
      </c>
      <c r="C3372" t="s">
        <v>13</v>
      </c>
      <c r="D3372" t="s">
        <v>25</v>
      </c>
      <c r="E3372">
        <v>23</v>
      </c>
      <c r="F3372" t="s">
        <v>15</v>
      </c>
      <c r="G3372">
        <v>723.14</v>
      </c>
      <c r="H3372">
        <v>36</v>
      </c>
      <c r="I3372" t="s">
        <v>22</v>
      </c>
      <c r="J3372">
        <v>2.7</v>
      </c>
      <c r="K3372" t="s">
        <v>17</v>
      </c>
      <c r="L3372" t="s">
        <v>18</v>
      </c>
      <c r="M3372" t="str">
        <f>VLOOKUP(D3376,Restaurant_Master!A:B,2,FALSE)</f>
        <v>https://content.jdmagicbox.com/comp/deoria/g6/9999p5568.5568.200119143033.m4g6/catalogue/biryani-house-deoria-ho-deoria-mktc2xph0o.jpg</v>
      </c>
    </row>
    <row r="3373" spans="1:13" x14ac:dyDescent="0.3">
      <c r="A3373" t="s">
        <v>3403</v>
      </c>
      <c r="B3373" s="1">
        <v>45380</v>
      </c>
      <c r="C3373" t="s">
        <v>43</v>
      </c>
      <c r="D3373" t="s">
        <v>32</v>
      </c>
      <c r="E3373">
        <v>43</v>
      </c>
      <c r="F3373" t="s">
        <v>15</v>
      </c>
      <c r="G3373">
        <v>887.38</v>
      </c>
      <c r="H3373">
        <v>55</v>
      </c>
      <c r="I3373" t="s">
        <v>16</v>
      </c>
      <c r="J3373">
        <v>4.3</v>
      </c>
      <c r="K3373" t="s">
        <v>41</v>
      </c>
      <c r="L3373" t="s">
        <v>18</v>
      </c>
      <c r="M3373" t="str">
        <f>VLOOKUP(D3377,Restaurant_Master!A:B,2,FALSE)</f>
        <v>https://dynamic-media-cdn.tripadvisor.com/media/photo-o/1c/e7/04/0d/front-of-the-local-easily.jpg</v>
      </c>
    </row>
    <row r="3374" spans="1:13" x14ac:dyDescent="0.3">
      <c r="A3374" t="s">
        <v>3404</v>
      </c>
      <c r="B3374" s="1">
        <v>45506</v>
      </c>
      <c r="C3374" t="s">
        <v>36</v>
      </c>
      <c r="D3374" t="s">
        <v>21</v>
      </c>
      <c r="E3374">
        <v>28</v>
      </c>
      <c r="F3374" t="s">
        <v>28</v>
      </c>
      <c r="G3374">
        <v>1019.44</v>
      </c>
      <c r="H3374">
        <v>50</v>
      </c>
      <c r="I3374" t="s">
        <v>16</v>
      </c>
      <c r="J3374">
        <v>4.4000000000000004</v>
      </c>
      <c r="K3374" t="s">
        <v>17</v>
      </c>
      <c r="L3374" t="s">
        <v>18</v>
      </c>
      <c r="M3374" t="str">
        <f>VLOOKUP(D3378,Restaurant_Master!A:B,2,FALSE)</f>
        <v>https://www.chatswoodinterchange.com/storages/2018/08/Sushi-World_666x448.jpg</v>
      </c>
    </row>
    <row r="3375" spans="1:13" x14ac:dyDescent="0.3">
      <c r="A3375" t="s">
        <v>3405</v>
      </c>
      <c r="B3375" s="1">
        <v>45435</v>
      </c>
      <c r="C3375" t="s">
        <v>43</v>
      </c>
      <c r="D3375" t="s">
        <v>14</v>
      </c>
      <c r="E3375">
        <v>20</v>
      </c>
      <c r="F3375" t="s">
        <v>28</v>
      </c>
      <c r="G3375">
        <v>435.37</v>
      </c>
      <c r="H3375">
        <v>36</v>
      </c>
      <c r="I3375" t="s">
        <v>22</v>
      </c>
      <c r="J3375">
        <v>3.6</v>
      </c>
      <c r="K3375" t="s">
        <v>41</v>
      </c>
      <c r="L3375" t="s">
        <v>18</v>
      </c>
      <c r="M3375" t="str">
        <f>VLOOKUP(D3379,Restaurant_Master!A:B,2,FALSE)</f>
        <v>https://dineout-media-assets.swiggy.com/swiggy/image/upload/fl_lossy,f_auto,q_auto/v1660793737/fdqxvxcxg1wtdwvyv45v.jpg</v>
      </c>
    </row>
    <row r="3376" spans="1:13" x14ac:dyDescent="0.3">
      <c r="A3376" t="s">
        <v>3406</v>
      </c>
      <c r="B3376" s="1">
        <v>45346</v>
      </c>
      <c r="C3376" t="s">
        <v>36</v>
      </c>
      <c r="D3376" t="s">
        <v>32</v>
      </c>
      <c r="E3376">
        <v>58</v>
      </c>
      <c r="F3376" t="s">
        <v>15</v>
      </c>
      <c r="G3376">
        <v>1002.38</v>
      </c>
      <c r="H3376">
        <v>31</v>
      </c>
      <c r="I3376" t="s">
        <v>22</v>
      </c>
      <c r="J3376">
        <v>3.5</v>
      </c>
      <c r="K3376" t="s">
        <v>41</v>
      </c>
      <c r="L3376" t="s">
        <v>23</v>
      </c>
      <c r="M3376" t="str">
        <f>VLOOKUP(D3380,Restaurant_Master!A:B,2,FALSE)</f>
        <v>https://dineout-media-assets.swiggy.com/swiggy/image/upload/fl_lossy,f_auto,q_auto/v1660793737/fdqxvxcxg1wtdwvyv45v.jpg</v>
      </c>
    </row>
    <row r="3377" spans="1:13" x14ac:dyDescent="0.3">
      <c r="A3377" t="s">
        <v>3407</v>
      </c>
      <c r="B3377" s="1">
        <v>45649</v>
      </c>
      <c r="C3377" t="s">
        <v>43</v>
      </c>
      <c r="D3377" t="s">
        <v>21</v>
      </c>
      <c r="E3377">
        <v>54</v>
      </c>
      <c r="F3377" t="s">
        <v>15</v>
      </c>
      <c r="G3377">
        <v>632.82000000000005</v>
      </c>
      <c r="H3377">
        <v>58</v>
      </c>
      <c r="I3377" t="s">
        <v>16</v>
      </c>
      <c r="J3377">
        <v>4.7</v>
      </c>
      <c r="K3377" t="s">
        <v>41</v>
      </c>
      <c r="L3377" t="s">
        <v>23</v>
      </c>
      <c r="M3377" t="str">
        <f>VLOOKUP(D3381,Restaurant_Master!A:B,2,FALSE)</f>
        <v>https://dynamic-media-cdn.tripadvisor.com/media/photo-o/1c/e7/04/0d/front-of-the-local-easily.jpg</v>
      </c>
    </row>
    <row r="3378" spans="1:13" x14ac:dyDescent="0.3">
      <c r="A3378" t="s">
        <v>3408</v>
      </c>
      <c r="B3378" s="1">
        <v>45459</v>
      </c>
      <c r="C3378" t="s">
        <v>13</v>
      </c>
      <c r="D3378" t="s">
        <v>38</v>
      </c>
      <c r="E3378">
        <v>32</v>
      </c>
      <c r="F3378" t="s">
        <v>15</v>
      </c>
      <c r="G3378">
        <v>321.72000000000003</v>
      </c>
      <c r="H3378">
        <v>30</v>
      </c>
      <c r="I3378" t="s">
        <v>22</v>
      </c>
      <c r="J3378">
        <v>4.7</v>
      </c>
      <c r="K3378" t="s">
        <v>26</v>
      </c>
      <c r="L3378" t="s">
        <v>23</v>
      </c>
      <c r="M3378" t="str">
        <f>VLOOKUP(D3382,Restaurant_Master!A:B,2,FALSE)</f>
        <v>https://dynamic-media-cdn.tripadvisor.com/media/photo-o/1c/e7/04/0d/front-of-the-local-easily.jpg</v>
      </c>
    </row>
    <row r="3379" spans="1:13" x14ac:dyDescent="0.3">
      <c r="A3379" t="s">
        <v>3409</v>
      </c>
      <c r="B3379" s="1">
        <v>45537</v>
      </c>
      <c r="C3379" t="s">
        <v>20</v>
      </c>
      <c r="D3379" t="s">
        <v>14</v>
      </c>
      <c r="E3379">
        <v>28</v>
      </c>
      <c r="F3379" t="s">
        <v>15</v>
      </c>
      <c r="G3379">
        <v>895.58</v>
      </c>
      <c r="H3379">
        <v>57</v>
      </c>
      <c r="I3379" t="s">
        <v>16</v>
      </c>
      <c r="J3379">
        <v>3.8</v>
      </c>
      <c r="K3379" t="s">
        <v>41</v>
      </c>
      <c r="L3379" t="s">
        <v>23</v>
      </c>
      <c r="M3379" t="str">
        <f>VLOOKUP(D3383,Restaurant_Master!A:B,2,FALSE)</f>
        <v>https://dineout-media-assets.swiggy.com/swiggy/image/upload/fl_lossy,f_auto,q_auto/v1660793737/fdqxvxcxg1wtdwvyv45v.jpg</v>
      </c>
    </row>
    <row r="3380" spans="1:13" x14ac:dyDescent="0.3">
      <c r="A3380" t="s">
        <v>3410</v>
      </c>
      <c r="B3380" s="1">
        <v>45347</v>
      </c>
      <c r="C3380" t="s">
        <v>43</v>
      </c>
      <c r="D3380" t="s">
        <v>14</v>
      </c>
      <c r="E3380">
        <v>57</v>
      </c>
      <c r="F3380" t="s">
        <v>15</v>
      </c>
      <c r="G3380">
        <v>852.27</v>
      </c>
      <c r="H3380">
        <v>34</v>
      </c>
      <c r="I3380" t="s">
        <v>22</v>
      </c>
      <c r="J3380">
        <v>4.9000000000000004</v>
      </c>
      <c r="K3380" t="s">
        <v>29</v>
      </c>
      <c r="L3380" t="s">
        <v>23</v>
      </c>
      <c r="M3380" t="str">
        <f>VLOOKUP(D3384,Restaurant_Master!A:B,2,FALSE)</f>
        <v>https://dynamic-media-cdn.tripadvisor.com/media/photo-o/1c/e7/04/0d/front-of-the-local-easily.jpg</v>
      </c>
    </row>
    <row r="3381" spans="1:13" x14ac:dyDescent="0.3">
      <c r="A3381" t="s">
        <v>3411</v>
      </c>
      <c r="B3381" s="1">
        <v>45398</v>
      </c>
      <c r="C3381" t="s">
        <v>20</v>
      </c>
      <c r="D3381" t="s">
        <v>21</v>
      </c>
      <c r="E3381">
        <v>19</v>
      </c>
      <c r="F3381" t="s">
        <v>28</v>
      </c>
      <c r="G3381">
        <v>483.06</v>
      </c>
      <c r="H3381">
        <v>47</v>
      </c>
      <c r="I3381" t="s">
        <v>16</v>
      </c>
      <c r="J3381">
        <v>4.5</v>
      </c>
      <c r="K3381" t="s">
        <v>17</v>
      </c>
      <c r="L3381" t="s">
        <v>23</v>
      </c>
      <c r="M3381" t="str">
        <f>VLOOKUP(D3385,Restaurant_Master!A:B,2,FALSE)</f>
        <v>https://content.jdmagicbox.com/comp/deoria/g6/9999p5568.5568.200119143033.m4g6/catalogue/biryani-house-deoria-ho-deoria-mktc2xph0o.jpg</v>
      </c>
    </row>
    <row r="3382" spans="1:13" x14ac:dyDescent="0.3">
      <c r="A3382" t="s">
        <v>3412</v>
      </c>
      <c r="B3382" s="1">
        <v>45567</v>
      </c>
      <c r="C3382" t="s">
        <v>43</v>
      </c>
      <c r="D3382" t="s">
        <v>21</v>
      </c>
      <c r="E3382">
        <v>40</v>
      </c>
      <c r="F3382" t="s">
        <v>15</v>
      </c>
      <c r="G3382">
        <v>829.19</v>
      </c>
      <c r="H3382">
        <v>59</v>
      </c>
      <c r="I3382" t="s">
        <v>16</v>
      </c>
      <c r="J3382">
        <v>4.5</v>
      </c>
      <c r="K3382" t="s">
        <v>29</v>
      </c>
      <c r="L3382" t="s">
        <v>23</v>
      </c>
      <c r="M3382" t="str">
        <f>VLOOKUP(D3386,Restaurant_Master!A:B,2,FALSE)</f>
        <v>https://media-cdn.tripadvisor.com/media/photo-s/1c/c7/97/b6/photo6jpg.jpg</v>
      </c>
    </row>
    <row r="3383" spans="1:13" x14ac:dyDescent="0.3">
      <c r="A3383" t="s">
        <v>3413</v>
      </c>
      <c r="B3383" s="1">
        <v>45295</v>
      </c>
      <c r="C3383" t="s">
        <v>34</v>
      </c>
      <c r="D3383" t="s">
        <v>14</v>
      </c>
      <c r="E3383">
        <v>23</v>
      </c>
      <c r="F3383" t="s">
        <v>15</v>
      </c>
      <c r="G3383">
        <v>824.38</v>
      </c>
      <c r="H3383">
        <v>23</v>
      </c>
      <c r="I3383" t="s">
        <v>22</v>
      </c>
      <c r="J3383">
        <v>3</v>
      </c>
      <c r="K3383" t="s">
        <v>17</v>
      </c>
      <c r="L3383" t="s">
        <v>23</v>
      </c>
      <c r="M3383" t="str">
        <f>VLOOKUP(D3387,Restaurant_Master!A:B,2,FALSE)</f>
        <v>https://dynamic-media-cdn.tripadvisor.com/media/photo-o/1c/e7/04/0d/front-of-the-local-easily.jpg</v>
      </c>
    </row>
    <row r="3384" spans="1:13" x14ac:dyDescent="0.3">
      <c r="A3384" t="s">
        <v>3414</v>
      </c>
      <c r="B3384" s="1">
        <v>45527</v>
      </c>
      <c r="C3384" t="s">
        <v>13</v>
      </c>
      <c r="D3384" t="s">
        <v>21</v>
      </c>
      <c r="E3384">
        <v>42</v>
      </c>
      <c r="F3384" t="s">
        <v>15</v>
      </c>
      <c r="G3384">
        <v>366.73</v>
      </c>
      <c r="H3384">
        <v>23</v>
      </c>
      <c r="I3384" t="s">
        <v>22</v>
      </c>
      <c r="J3384">
        <v>4.4000000000000004</v>
      </c>
      <c r="K3384" t="s">
        <v>26</v>
      </c>
      <c r="L3384" t="s">
        <v>18</v>
      </c>
      <c r="M3384" t="str">
        <f>VLOOKUP(D3388,Restaurant_Master!A:B,2,FALSE)</f>
        <v>https://media-cdn.tripadvisor.com/media/photo-s/1c/c7/97/b6/photo6jpg.jpg</v>
      </c>
    </row>
    <row r="3385" spans="1:13" x14ac:dyDescent="0.3">
      <c r="A3385" t="s">
        <v>3415</v>
      </c>
      <c r="B3385" s="1">
        <v>45443</v>
      </c>
      <c r="C3385" t="s">
        <v>43</v>
      </c>
      <c r="D3385" t="s">
        <v>32</v>
      </c>
      <c r="E3385">
        <v>52</v>
      </c>
      <c r="F3385" t="s">
        <v>15</v>
      </c>
      <c r="G3385">
        <v>953.26</v>
      </c>
      <c r="H3385">
        <v>59</v>
      </c>
      <c r="I3385" t="s">
        <v>16</v>
      </c>
      <c r="J3385">
        <v>4.4000000000000004</v>
      </c>
      <c r="K3385" t="s">
        <v>41</v>
      </c>
      <c r="L3385" t="s">
        <v>23</v>
      </c>
      <c r="M3385" t="str">
        <f>VLOOKUP(D3389,Restaurant_Master!A:B,2,FALSE)</f>
        <v>https://content.jdmagicbox.com/comp/deoria/g6/9999p5568.5568.200119143033.m4g6/catalogue/biryani-house-deoria-ho-deoria-mktc2xph0o.jpg</v>
      </c>
    </row>
    <row r="3386" spans="1:13" x14ac:dyDescent="0.3">
      <c r="A3386" t="s">
        <v>3416</v>
      </c>
      <c r="B3386" s="1">
        <v>45336</v>
      </c>
      <c r="C3386" t="s">
        <v>43</v>
      </c>
      <c r="D3386" t="s">
        <v>25</v>
      </c>
      <c r="E3386">
        <v>56</v>
      </c>
      <c r="F3386" t="s">
        <v>28</v>
      </c>
      <c r="G3386">
        <v>290.74</v>
      </c>
      <c r="H3386">
        <v>52</v>
      </c>
      <c r="I3386" t="s">
        <v>16</v>
      </c>
      <c r="J3386">
        <v>4.9000000000000004</v>
      </c>
      <c r="K3386" t="s">
        <v>41</v>
      </c>
      <c r="L3386" t="s">
        <v>23</v>
      </c>
      <c r="M3386" t="str">
        <f>VLOOKUP(D3390,Restaurant_Master!A:B,2,FALSE)</f>
        <v>https://content.jdmagicbox.com/comp/deoria/g6/9999p5568.5568.200119143033.m4g6/catalogue/biryani-house-deoria-ho-deoria-mktc2xph0o.jpg</v>
      </c>
    </row>
    <row r="3387" spans="1:13" x14ac:dyDescent="0.3">
      <c r="A3387" t="s">
        <v>3417</v>
      </c>
      <c r="B3387" s="1">
        <v>45432</v>
      </c>
      <c r="C3387" t="s">
        <v>43</v>
      </c>
      <c r="D3387" t="s">
        <v>21</v>
      </c>
      <c r="E3387">
        <v>52</v>
      </c>
      <c r="F3387" t="s">
        <v>28</v>
      </c>
      <c r="G3387">
        <v>967.05</v>
      </c>
      <c r="H3387">
        <v>53</v>
      </c>
      <c r="I3387" t="s">
        <v>16</v>
      </c>
      <c r="J3387">
        <v>3</v>
      </c>
      <c r="K3387" t="s">
        <v>26</v>
      </c>
      <c r="L3387" t="s">
        <v>18</v>
      </c>
      <c r="M3387" t="str">
        <f>VLOOKUP(D3391,Restaurant_Master!A:B,2,FALSE)</f>
        <v>https://dineout-media-assets.swiggy.com/swiggy/image/upload/fl_lossy,f_auto,q_auto/v1660793737/fdqxvxcxg1wtdwvyv45v.jpg</v>
      </c>
    </row>
    <row r="3388" spans="1:13" x14ac:dyDescent="0.3">
      <c r="A3388" t="s">
        <v>3418</v>
      </c>
      <c r="B3388" s="1">
        <v>45348</v>
      </c>
      <c r="C3388" t="s">
        <v>34</v>
      </c>
      <c r="D3388" t="s">
        <v>25</v>
      </c>
      <c r="E3388">
        <v>57</v>
      </c>
      <c r="F3388" t="s">
        <v>28</v>
      </c>
      <c r="G3388">
        <v>196.18</v>
      </c>
      <c r="H3388">
        <v>52</v>
      </c>
      <c r="I3388" t="s">
        <v>16</v>
      </c>
      <c r="J3388">
        <v>4.7</v>
      </c>
      <c r="K3388" t="s">
        <v>41</v>
      </c>
      <c r="L3388" t="s">
        <v>23</v>
      </c>
      <c r="M3388" t="str">
        <f>VLOOKUP(D3392,Restaurant_Master!A:B,2,FALSE)</f>
        <v>https://dineout-media-assets.swiggy.com/swiggy/image/upload/fl_lossy,f_auto,q_auto/v1660793737/fdqxvxcxg1wtdwvyv45v.jpg</v>
      </c>
    </row>
    <row r="3389" spans="1:13" x14ac:dyDescent="0.3">
      <c r="A3389" t="s">
        <v>3419</v>
      </c>
      <c r="B3389" s="1">
        <v>45596</v>
      </c>
      <c r="C3389" t="s">
        <v>13</v>
      </c>
      <c r="D3389" t="s">
        <v>32</v>
      </c>
      <c r="E3389">
        <v>58</v>
      </c>
      <c r="F3389" t="s">
        <v>28</v>
      </c>
      <c r="G3389">
        <v>1041.1199999999999</v>
      </c>
      <c r="H3389">
        <v>27</v>
      </c>
      <c r="I3389" t="s">
        <v>22</v>
      </c>
      <c r="J3389">
        <v>3.8</v>
      </c>
      <c r="K3389" t="s">
        <v>41</v>
      </c>
      <c r="L3389" t="s">
        <v>18</v>
      </c>
      <c r="M3389" t="str">
        <f>VLOOKUP(D3393,Restaurant_Master!A:B,2,FALSE)</f>
        <v>https://dineout-media-assets.swiggy.com/swiggy/image/upload/fl_lossy,f_auto,q_auto/v1660793737/fdqxvxcxg1wtdwvyv45v.jpg</v>
      </c>
    </row>
    <row r="3390" spans="1:13" x14ac:dyDescent="0.3">
      <c r="A3390" t="s">
        <v>3420</v>
      </c>
      <c r="B3390" s="1">
        <v>45580</v>
      </c>
      <c r="C3390" t="s">
        <v>13</v>
      </c>
      <c r="D3390" t="s">
        <v>32</v>
      </c>
      <c r="E3390">
        <v>24</v>
      </c>
      <c r="F3390" t="s">
        <v>15</v>
      </c>
      <c r="G3390">
        <v>613.16999999999996</v>
      </c>
      <c r="H3390">
        <v>48</v>
      </c>
      <c r="I3390" t="s">
        <v>16</v>
      </c>
      <c r="J3390">
        <v>4.8</v>
      </c>
      <c r="K3390" t="s">
        <v>41</v>
      </c>
      <c r="L3390" t="s">
        <v>23</v>
      </c>
      <c r="M3390" t="str">
        <f>VLOOKUP(D3394,Restaurant_Master!A:B,2,FALSE)</f>
        <v>https://www.chatswoodinterchange.com/storages/2018/08/Sushi-World_666x448.jpg</v>
      </c>
    </row>
    <row r="3391" spans="1:13" x14ac:dyDescent="0.3">
      <c r="A3391" t="s">
        <v>3421</v>
      </c>
      <c r="B3391" s="1">
        <v>45346</v>
      </c>
      <c r="C3391" t="s">
        <v>13</v>
      </c>
      <c r="D3391" t="s">
        <v>14</v>
      </c>
      <c r="E3391">
        <v>33</v>
      </c>
      <c r="F3391" t="s">
        <v>15</v>
      </c>
      <c r="G3391">
        <v>612.17999999999995</v>
      </c>
      <c r="H3391">
        <v>43</v>
      </c>
      <c r="I3391" t="s">
        <v>16</v>
      </c>
      <c r="J3391">
        <v>4.5</v>
      </c>
      <c r="K3391" t="s">
        <v>29</v>
      </c>
      <c r="L3391" t="s">
        <v>18</v>
      </c>
      <c r="M3391" t="str">
        <f>VLOOKUP(D3395,Restaurant_Master!A:B,2,FALSE)</f>
        <v>https://media-cdn.tripadvisor.com/media/photo-s/1c/c7/97/b6/photo6jpg.jpg</v>
      </c>
    </row>
    <row r="3392" spans="1:13" x14ac:dyDescent="0.3">
      <c r="A3392" t="s">
        <v>3422</v>
      </c>
      <c r="B3392" s="1">
        <v>45406</v>
      </c>
      <c r="C3392" t="s">
        <v>20</v>
      </c>
      <c r="D3392" t="s">
        <v>14</v>
      </c>
      <c r="E3392">
        <v>41</v>
      </c>
      <c r="F3392" t="s">
        <v>28</v>
      </c>
      <c r="G3392">
        <v>242.73</v>
      </c>
      <c r="H3392">
        <v>40</v>
      </c>
      <c r="I3392" t="s">
        <v>22</v>
      </c>
      <c r="J3392">
        <v>4</v>
      </c>
      <c r="K3392" t="s">
        <v>17</v>
      </c>
      <c r="L3392" t="s">
        <v>23</v>
      </c>
      <c r="M3392" t="str">
        <f>VLOOKUP(D3396,Restaurant_Master!A:B,2,FALSE)</f>
        <v>https://dynamic-media-cdn.tripadvisor.com/media/photo-o/1c/e7/04/0d/front-of-the-local-easily.jpg</v>
      </c>
    </row>
    <row r="3393" spans="1:13" x14ac:dyDescent="0.3">
      <c r="A3393" t="s">
        <v>3423</v>
      </c>
      <c r="B3393" s="1">
        <v>45644</v>
      </c>
      <c r="C3393" t="s">
        <v>43</v>
      </c>
      <c r="D3393" t="s">
        <v>14</v>
      </c>
      <c r="E3393">
        <v>29</v>
      </c>
      <c r="F3393" t="s">
        <v>15</v>
      </c>
      <c r="G3393">
        <v>1010.21</v>
      </c>
      <c r="H3393">
        <v>55</v>
      </c>
      <c r="I3393" t="s">
        <v>16</v>
      </c>
      <c r="J3393">
        <v>2.7</v>
      </c>
      <c r="K3393" t="s">
        <v>26</v>
      </c>
      <c r="L3393" t="s">
        <v>18</v>
      </c>
      <c r="M3393" t="str">
        <f>VLOOKUP(D3397,Restaurant_Master!A:B,2,FALSE)</f>
        <v>https://dineout-media-assets.swiggy.com/swiggy/image/upload/fl_lossy,f_auto,q_auto/v1660793737/fdqxvxcxg1wtdwvyv45v.jpg</v>
      </c>
    </row>
    <row r="3394" spans="1:13" x14ac:dyDescent="0.3">
      <c r="A3394" t="s">
        <v>3424</v>
      </c>
      <c r="B3394" s="1">
        <v>45394</v>
      </c>
      <c r="C3394" t="s">
        <v>36</v>
      </c>
      <c r="D3394" t="s">
        <v>38</v>
      </c>
      <c r="E3394">
        <v>25</v>
      </c>
      <c r="F3394" t="s">
        <v>15</v>
      </c>
      <c r="G3394">
        <v>551.65</v>
      </c>
      <c r="H3394">
        <v>42</v>
      </c>
      <c r="I3394" t="s">
        <v>16</v>
      </c>
      <c r="J3394">
        <v>2.8</v>
      </c>
      <c r="K3394" t="s">
        <v>29</v>
      </c>
      <c r="L3394" t="s">
        <v>18</v>
      </c>
      <c r="M3394" t="str">
        <f>VLOOKUP(D3398,Restaurant_Master!A:B,2,FALSE)</f>
        <v>https://content.jdmagicbox.com/comp/deoria/g6/9999p5568.5568.200119143033.m4g6/catalogue/biryani-house-deoria-ho-deoria-mktc2xph0o.jpg</v>
      </c>
    </row>
    <row r="3395" spans="1:13" x14ac:dyDescent="0.3">
      <c r="A3395" t="s">
        <v>3425</v>
      </c>
      <c r="B3395" s="1">
        <v>45535</v>
      </c>
      <c r="C3395" t="s">
        <v>13</v>
      </c>
      <c r="D3395" t="s">
        <v>25</v>
      </c>
      <c r="E3395">
        <v>28</v>
      </c>
      <c r="F3395" t="s">
        <v>28</v>
      </c>
      <c r="G3395">
        <v>689.43</v>
      </c>
      <c r="H3395">
        <v>48</v>
      </c>
      <c r="I3395" t="s">
        <v>16</v>
      </c>
      <c r="J3395">
        <v>3</v>
      </c>
      <c r="K3395" t="s">
        <v>26</v>
      </c>
      <c r="L3395" t="s">
        <v>18</v>
      </c>
      <c r="M3395" t="str">
        <f>VLOOKUP(D3399,Restaurant_Master!A:B,2,FALSE)</f>
        <v>https://content.jdmagicbox.com/comp/deoria/g6/9999p5568.5568.200119143033.m4g6/catalogue/biryani-house-deoria-ho-deoria-mktc2xph0o.jpg</v>
      </c>
    </row>
    <row r="3396" spans="1:13" x14ac:dyDescent="0.3">
      <c r="A3396" t="s">
        <v>3426</v>
      </c>
      <c r="B3396" s="1">
        <v>45533</v>
      </c>
      <c r="C3396" t="s">
        <v>13</v>
      </c>
      <c r="D3396" t="s">
        <v>21</v>
      </c>
      <c r="E3396">
        <v>28</v>
      </c>
      <c r="F3396" t="s">
        <v>28</v>
      </c>
      <c r="G3396">
        <v>612.57000000000005</v>
      </c>
      <c r="H3396">
        <v>45</v>
      </c>
      <c r="I3396" t="s">
        <v>16</v>
      </c>
      <c r="J3396">
        <v>3.8</v>
      </c>
      <c r="K3396" t="s">
        <v>41</v>
      </c>
      <c r="L3396" t="s">
        <v>18</v>
      </c>
      <c r="M3396" t="str">
        <f>VLOOKUP(D3400,Restaurant_Master!A:B,2,FALSE)</f>
        <v>https://content.jdmagicbox.com/comp/deoria/g6/9999p5568.5568.200119143033.m4g6/catalogue/biryani-house-deoria-ho-deoria-mktc2xph0o.jpg</v>
      </c>
    </row>
    <row r="3397" spans="1:13" x14ac:dyDescent="0.3">
      <c r="A3397" t="s">
        <v>3427</v>
      </c>
      <c r="B3397" s="1">
        <v>45640</v>
      </c>
      <c r="C3397" t="s">
        <v>36</v>
      </c>
      <c r="D3397" t="s">
        <v>14</v>
      </c>
      <c r="E3397">
        <v>35</v>
      </c>
      <c r="F3397" t="s">
        <v>15</v>
      </c>
      <c r="G3397">
        <v>1015.32</v>
      </c>
      <c r="H3397">
        <v>59</v>
      </c>
      <c r="I3397" t="s">
        <v>16</v>
      </c>
      <c r="J3397">
        <v>3.9</v>
      </c>
      <c r="K3397" t="s">
        <v>17</v>
      </c>
      <c r="L3397" t="s">
        <v>18</v>
      </c>
      <c r="M3397" t="str">
        <f>VLOOKUP(D3401,Restaurant_Master!A:B,2,FALSE)</f>
        <v>https://content.jdmagicbox.com/comp/deoria/g6/9999p5568.5568.200119143033.m4g6/catalogue/biryani-house-deoria-ho-deoria-mktc2xph0o.jpg</v>
      </c>
    </row>
    <row r="3398" spans="1:13" x14ac:dyDescent="0.3">
      <c r="A3398" t="s">
        <v>3428</v>
      </c>
      <c r="B3398" s="1">
        <v>45598</v>
      </c>
      <c r="C3398" t="s">
        <v>36</v>
      </c>
      <c r="D3398" t="s">
        <v>32</v>
      </c>
      <c r="E3398">
        <v>35</v>
      </c>
      <c r="F3398" t="s">
        <v>28</v>
      </c>
      <c r="G3398">
        <v>682.61</v>
      </c>
      <c r="H3398">
        <v>57</v>
      </c>
      <c r="I3398" t="s">
        <v>16</v>
      </c>
      <c r="J3398">
        <v>2.9</v>
      </c>
      <c r="K3398" t="s">
        <v>41</v>
      </c>
      <c r="L3398" t="s">
        <v>18</v>
      </c>
      <c r="M3398" t="str">
        <f>VLOOKUP(D3402,Restaurant_Master!A:B,2,FALSE)</f>
        <v>https://content.jdmagicbox.com/comp/deoria/g6/9999p5568.5568.200119143033.m4g6/catalogue/biryani-house-deoria-ho-deoria-mktc2xph0o.jpg</v>
      </c>
    </row>
    <row r="3399" spans="1:13" x14ac:dyDescent="0.3">
      <c r="A3399" t="s">
        <v>3429</v>
      </c>
      <c r="B3399" s="1">
        <v>45608</v>
      </c>
      <c r="C3399" t="s">
        <v>43</v>
      </c>
      <c r="D3399" t="s">
        <v>32</v>
      </c>
      <c r="E3399">
        <v>49</v>
      </c>
      <c r="F3399" t="s">
        <v>15</v>
      </c>
      <c r="G3399">
        <v>416.22</v>
      </c>
      <c r="H3399">
        <v>45</v>
      </c>
      <c r="I3399" t="s">
        <v>16</v>
      </c>
      <c r="J3399">
        <v>3.9</v>
      </c>
      <c r="K3399" t="s">
        <v>26</v>
      </c>
      <c r="L3399" t="s">
        <v>18</v>
      </c>
      <c r="M3399" t="str">
        <f>VLOOKUP(D3403,Restaurant_Master!A:B,2,FALSE)</f>
        <v>https://content.jdmagicbox.com/comp/deoria/g6/9999p5568.5568.200119143033.m4g6/catalogue/biryani-house-deoria-ho-deoria-mktc2xph0o.jpg</v>
      </c>
    </row>
    <row r="3400" spans="1:13" x14ac:dyDescent="0.3">
      <c r="A3400" t="s">
        <v>3430</v>
      </c>
      <c r="B3400" s="1">
        <v>45352</v>
      </c>
      <c r="C3400" t="s">
        <v>13</v>
      </c>
      <c r="D3400" t="s">
        <v>32</v>
      </c>
      <c r="E3400">
        <v>50</v>
      </c>
      <c r="F3400" t="s">
        <v>28</v>
      </c>
      <c r="G3400">
        <v>718.77</v>
      </c>
      <c r="H3400">
        <v>28</v>
      </c>
      <c r="I3400" t="s">
        <v>22</v>
      </c>
      <c r="J3400">
        <v>2.5</v>
      </c>
      <c r="K3400" t="s">
        <v>29</v>
      </c>
      <c r="L3400" t="s">
        <v>18</v>
      </c>
      <c r="M3400" t="str">
        <f>VLOOKUP(D3404,Restaurant_Master!A:B,2,FALSE)</f>
        <v>https://dynamic-media-cdn.tripadvisor.com/media/photo-o/1c/e7/04/0d/front-of-the-local-easily.jpg</v>
      </c>
    </row>
    <row r="3401" spans="1:13" x14ac:dyDescent="0.3">
      <c r="A3401" t="s">
        <v>3431</v>
      </c>
      <c r="B3401" s="1">
        <v>45359</v>
      </c>
      <c r="C3401" t="s">
        <v>34</v>
      </c>
      <c r="D3401" t="s">
        <v>32</v>
      </c>
      <c r="E3401">
        <v>29</v>
      </c>
      <c r="F3401" t="s">
        <v>15</v>
      </c>
      <c r="G3401">
        <v>398.61</v>
      </c>
      <c r="H3401">
        <v>49</v>
      </c>
      <c r="I3401" t="s">
        <v>16</v>
      </c>
      <c r="J3401">
        <v>3.5</v>
      </c>
      <c r="K3401" t="s">
        <v>29</v>
      </c>
      <c r="L3401" t="s">
        <v>23</v>
      </c>
      <c r="M3401" t="str">
        <f>VLOOKUP(D3405,Restaurant_Master!A:B,2,FALSE)</f>
        <v>https://dineout-media-assets.swiggy.com/swiggy/image/upload/fl_lossy,f_auto,q_auto/v1660793737/fdqxvxcxg1wtdwvyv45v.jpg</v>
      </c>
    </row>
    <row r="3402" spans="1:13" x14ac:dyDescent="0.3">
      <c r="A3402" t="s">
        <v>3432</v>
      </c>
      <c r="B3402" s="1">
        <v>45567</v>
      </c>
      <c r="C3402" t="s">
        <v>20</v>
      </c>
      <c r="D3402" t="s">
        <v>32</v>
      </c>
      <c r="E3402">
        <v>48</v>
      </c>
      <c r="F3402" t="s">
        <v>28</v>
      </c>
      <c r="G3402">
        <v>633.29999999999995</v>
      </c>
      <c r="H3402">
        <v>41</v>
      </c>
      <c r="I3402" t="s">
        <v>16</v>
      </c>
      <c r="J3402">
        <v>4.4000000000000004</v>
      </c>
      <c r="K3402" t="s">
        <v>29</v>
      </c>
      <c r="L3402" t="s">
        <v>23</v>
      </c>
      <c r="M3402" t="str">
        <f>VLOOKUP(D3406,Restaurant_Master!A:B,2,FALSE)</f>
        <v>https://dineout-media-assets.swiggy.com/swiggy/image/upload/fl_lossy,f_auto,q_auto/v1660793737/fdqxvxcxg1wtdwvyv45v.jpg</v>
      </c>
    </row>
    <row r="3403" spans="1:13" x14ac:dyDescent="0.3">
      <c r="A3403" t="s">
        <v>3433</v>
      </c>
      <c r="B3403" s="1">
        <v>45565</v>
      </c>
      <c r="C3403" t="s">
        <v>20</v>
      </c>
      <c r="D3403" t="s">
        <v>32</v>
      </c>
      <c r="E3403">
        <v>20</v>
      </c>
      <c r="F3403" t="s">
        <v>15</v>
      </c>
      <c r="G3403">
        <v>617.21</v>
      </c>
      <c r="H3403">
        <v>44</v>
      </c>
      <c r="I3403" t="s">
        <v>16</v>
      </c>
      <c r="J3403">
        <v>3.9</v>
      </c>
      <c r="K3403" t="s">
        <v>17</v>
      </c>
      <c r="L3403" t="s">
        <v>18</v>
      </c>
      <c r="M3403" t="str">
        <f>VLOOKUP(D3407,Restaurant_Master!A:B,2,FALSE)</f>
        <v>https://www.chatswoodinterchange.com/storages/2018/08/Sushi-World_666x448.jpg</v>
      </c>
    </row>
    <row r="3404" spans="1:13" x14ac:dyDescent="0.3">
      <c r="A3404" t="s">
        <v>3434</v>
      </c>
      <c r="B3404" s="1">
        <v>45506</v>
      </c>
      <c r="C3404" t="s">
        <v>13</v>
      </c>
      <c r="D3404" t="s">
        <v>21</v>
      </c>
      <c r="E3404">
        <v>33</v>
      </c>
      <c r="F3404" t="s">
        <v>28</v>
      </c>
      <c r="G3404">
        <v>395.13</v>
      </c>
      <c r="H3404">
        <v>33</v>
      </c>
      <c r="I3404" t="s">
        <v>22</v>
      </c>
      <c r="J3404">
        <v>3.9</v>
      </c>
      <c r="K3404" t="s">
        <v>41</v>
      </c>
      <c r="L3404" t="s">
        <v>18</v>
      </c>
      <c r="M3404" t="str">
        <f>VLOOKUP(D3408,Restaurant_Master!A:B,2,FALSE)</f>
        <v>https://dineout-media-assets.swiggy.com/swiggy/image/upload/fl_lossy,f_auto,q_auto/v1660793737/fdqxvxcxg1wtdwvyv45v.jpg</v>
      </c>
    </row>
    <row r="3405" spans="1:13" x14ac:dyDescent="0.3">
      <c r="A3405" t="s">
        <v>3435</v>
      </c>
      <c r="B3405" s="1">
        <v>45353</v>
      </c>
      <c r="C3405" t="s">
        <v>36</v>
      </c>
      <c r="D3405" t="s">
        <v>14</v>
      </c>
      <c r="E3405">
        <v>29</v>
      </c>
      <c r="F3405" t="s">
        <v>28</v>
      </c>
      <c r="G3405">
        <v>438.3</v>
      </c>
      <c r="H3405">
        <v>42</v>
      </c>
      <c r="I3405" t="s">
        <v>16</v>
      </c>
      <c r="J3405">
        <v>3.2</v>
      </c>
      <c r="K3405" t="s">
        <v>41</v>
      </c>
      <c r="L3405" t="s">
        <v>18</v>
      </c>
      <c r="M3405" t="str">
        <f>VLOOKUP(D3409,Restaurant_Master!A:B,2,FALSE)</f>
        <v>https://media-cdn.tripadvisor.com/media/photo-s/1c/c7/97/b6/photo6jpg.jpg</v>
      </c>
    </row>
    <row r="3406" spans="1:13" x14ac:dyDescent="0.3">
      <c r="A3406" t="s">
        <v>3436</v>
      </c>
      <c r="B3406" s="1">
        <v>45636</v>
      </c>
      <c r="C3406" t="s">
        <v>36</v>
      </c>
      <c r="D3406" t="s">
        <v>14</v>
      </c>
      <c r="E3406">
        <v>48</v>
      </c>
      <c r="F3406" t="s">
        <v>28</v>
      </c>
      <c r="G3406">
        <v>302.77999999999997</v>
      </c>
      <c r="H3406">
        <v>49</v>
      </c>
      <c r="I3406" t="s">
        <v>16</v>
      </c>
      <c r="J3406">
        <v>4.9000000000000004</v>
      </c>
      <c r="K3406" t="s">
        <v>17</v>
      </c>
      <c r="L3406" t="s">
        <v>18</v>
      </c>
      <c r="M3406" t="str">
        <f>VLOOKUP(D3410,Restaurant_Master!A:B,2,FALSE)</f>
        <v>https://www.chatswoodinterchange.com/storages/2018/08/Sushi-World_666x448.jpg</v>
      </c>
    </row>
    <row r="3407" spans="1:13" x14ac:dyDescent="0.3">
      <c r="A3407" t="s">
        <v>3437</v>
      </c>
      <c r="B3407" s="1">
        <v>45574</v>
      </c>
      <c r="C3407" t="s">
        <v>13</v>
      </c>
      <c r="D3407" t="s">
        <v>38</v>
      </c>
      <c r="E3407">
        <v>54</v>
      </c>
      <c r="F3407" t="s">
        <v>28</v>
      </c>
      <c r="G3407">
        <v>529.20000000000005</v>
      </c>
      <c r="H3407">
        <v>25</v>
      </c>
      <c r="I3407" t="s">
        <v>22</v>
      </c>
      <c r="J3407">
        <v>2.7</v>
      </c>
      <c r="K3407" t="s">
        <v>29</v>
      </c>
      <c r="L3407" t="s">
        <v>18</v>
      </c>
      <c r="M3407" t="str">
        <f>VLOOKUP(D3411,Restaurant_Master!A:B,2,FALSE)</f>
        <v>https://www.chatswoodinterchange.com/storages/2018/08/Sushi-World_666x448.jpg</v>
      </c>
    </row>
    <row r="3408" spans="1:13" x14ac:dyDescent="0.3">
      <c r="A3408" t="s">
        <v>3438</v>
      </c>
      <c r="B3408" s="1">
        <v>45529</v>
      </c>
      <c r="C3408" t="s">
        <v>20</v>
      </c>
      <c r="D3408" t="s">
        <v>14</v>
      </c>
      <c r="E3408">
        <v>39</v>
      </c>
      <c r="F3408" t="s">
        <v>28</v>
      </c>
      <c r="G3408">
        <v>275.27</v>
      </c>
      <c r="H3408">
        <v>25</v>
      </c>
      <c r="I3408" t="s">
        <v>22</v>
      </c>
      <c r="J3408">
        <v>3.3</v>
      </c>
      <c r="K3408" t="s">
        <v>41</v>
      </c>
      <c r="L3408" t="s">
        <v>18</v>
      </c>
      <c r="M3408" t="str">
        <f>VLOOKUP(D3412,Restaurant_Master!A:B,2,FALSE)</f>
        <v>https://dynamic-media-cdn.tripadvisor.com/media/photo-o/1c/e7/04/0d/front-of-the-local-easily.jpg</v>
      </c>
    </row>
    <row r="3409" spans="1:13" x14ac:dyDescent="0.3">
      <c r="A3409" t="s">
        <v>3439</v>
      </c>
      <c r="B3409" s="1">
        <v>45550</v>
      </c>
      <c r="C3409" t="s">
        <v>36</v>
      </c>
      <c r="D3409" t="s">
        <v>25</v>
      </c>
      <c r="E3409">
        <v>18</v>
      </c>
      <c r="F3409" t="s">
        <v>15</v>
      </c>
      <c r="G3409">
        <v>308.22000000000003</v>
      </c>
      <c r="H3409">
        <v>24</v>
      </c>
      <c r="I3409" t="s">
        <v>22</v>
      </c>
      <c r="J3409">
        <v>3.1</v>
      </c>
      <c r="K3409" t="s">
        <v>29</v>
      </c>
      <c r="L3409" t="s">
        <v>18</v>
      </c>
      <c r="M3409" t="str">
        <f>VLOOKUP(D3413,Restaurant_Master!A:B,2,FALSE)</f>
        <v>https://media-cdn.tripadvisor.com/media/photo-s/1c/c7/97/b6/photo6jpg.jpg</v>
      </c>
    </row>
    <row r="3410" spans="1:13" x14ac:dyDescent="0.3">
      <c r="A3410" t="s">
        <v>3440</v>
      </c>
      <c r="B3410" s="1">
        <v>45621</v>
      </c>
      <c r="C3410" t="s">
        <v>34</v>
      </c>
      <c r="D3410" t="s">
        <v>38</v>
      </c>
      <c r="E3410">
        <v>32</v>
      </c>
      <c r="F3410" t="s">
        <v>28</v>
      </c>
      <c r="G3410">
        <v>886.9</v>
      </c>
      <c r="H3410">
        <v>20</v>
      </c>
      <c r="I3410" t="s">
        <v>22</v>
      </c>
      <c r="J3410">
        <v>3.1</v>
      </c>
      <c r="K3410" t="s">
        <v>41</v>
      </c>
      <c r="L3410" t="s">
        <v>23</v>
      </c>
      <c r="M3410" t="str">
        <f>VLOOKUP(D3414,Restaurant_Master!A:B,2,FALSE)</f>
        <v>https://www.chatswoodinterchange.com/storages/2018/08/Sushi-World_666x448.jpg</v>
      </c>
    </row>
    <row r="3411" spans="1:13" x14ac:dyDescent="0.3">
      <c r="A3411" t="s">
        <v>3441</v>
      </c>
      <c r="B3411" s="1">
        <v>45387</v>
      </c>
      <c r="C3411" t="s">
        <v>34</v>
      </c>
      <c r="D3411" t="s">
        <v>38</v>
      </c>
      <c r="E3411">
        <v>44</v>
      </c>
      <c r="F3411" t="s">
        <v>15</v>
      </c>
      <c r="G3411">
        <v>801.62</v>
      </c>
      <c r="H3411">
        <v>30</v>
      </c>
      <c r="I3411" t="s">
        <v>22</v>
      </c>
      <c r="J3411">
        <v>3.5</v>
      </c>
      <c r="K3411" t="s">
        <v>41</v>
      </c>
      <c r="L3411" t="s">
        <v>23</v>
      </c>
      <c r="M3411" t="str">
        <f>VLOOKUP(D3415,Restaurant_Master!A:B,2,FALSE)</f>
        <v>https://dineout-media-assets.swiggy.com/swiggy/image/upload/fl_lossy,f_auto,q_auto/v1660793737/fdqxvxcxg1wtdwvyv45v.jpg</v>
      </c>
    </row>
    <row r="3412" spans="1:13" x14ac:dyDescent="0.3">
      <c r="A3412" t="s">
        <v>3442</v>
      </c>
      <c r="B3412" s="1">
        <v>45337</v>
      </c>
      <c r="C3412" t="s">
        <v>43</v>
      </c>
      <c r="D3412" t="s">
        <v>21</v>
      </c>
      <c r="E3412">
        <v>18</v>
      </c>
      <c r="F3412" t="s">
        <v>15</v>
      </c>
      <c r="G3412">
        <v>618.89</v>
      </c>
      <c r="H3412">
        <v>60</v>
      </c>
      <c r="I3412" t="s">
        <v>16</v>
      </c>
      <c r="J3412">
        <v>3.8</v>
      </c>
      <c r="K3412" t="s">
        <v>17</v>
      </c>
      <c r="L3412" t="s">
        <v>18</v>
      </c>
      <c r="M3412" t="str">
        <f>VLOOKUP(D3416,Restaurant_Master!A:B,2,FALSE)</f>
        <v>https://media-cdn.tripadvisor.com/media/photo-s/1c/c7/97/b6/photo6jpg.jpg</v>
      </c>
    </row>
    <row r="3413" spans="1:13" x14ac:dyDescent="0.3">
      <c r="A3413" t="s">
        <v>3443</v>
      </c>
      <c r="B3413" s="1">
        <v>45319</v>
      </c>
      <c r="C3413" t="s">
        <v>34</v>
      </c>
      <c r="D3413" t="s">
        <v>25</v>
      </c>
      <c r="E3413">
        <v>35</v>
      </c>
      <c r="F3413" t="s">
        <v>15</v>
      </c>
      <c r="G3413">
        <v>658.2</v>
      </c>
      <c r="H3413">
        <v>38</v>
      </c>
      <c r="I3413" t="s">
        <v>22</v>
      </c>
      <c r="J3413">
        <v>3.6</v>
      </c>
      <c r="K3413" t="s">
        <v>26</v>
      </c>
      <c r="L3413" t="s">
        <v>23</v>
      </c>
      <c r="M3413" t="str">
        <f>VLOOKUP(D3417,Restaurant_Master!A:B,2,FALSE)</f>
        <v>https://dineout-media-assets.swiggy.com/swiggy/image/upload/fl_lossy,f_auto,q_auto/v1660793737/fdqxvxcxg1wtdwvyv45v.jpg</v>
      </c>
    </row>
    <row r="3414" spans="1:13" x14ac:dyDescent="0.3">
      <c r="A3414" t="s">
        <v>3444</v>
      </c>
      <c r="B3414" s="1">
        <v>45376</v>
      </c>
      <c r="C3414" t="s">
        <v>36</v>
      </c>
      <c r="D3414" t="s">
        <v>38</v>
      </c>
      <c r="E3414">
        <v>21</v>
      </c>
      <c r="F3414" t="s">
        <v>28</v>
      </c>
      <c r="G3414">
        <v>655.15</v>
      </c>
      <c r="H3414">
        <v>36</v>
      </c>
      <c r="I3414" t="s">
        <v>22</v>
      </c>
      <c r="J3414">
        <v>2.9</v>
      </c>
      <c r="K3414" t="s">
        <v>29</v>
      </c>
      <c r="L3414" t="s">
        <v>18</v>
      </c>
      <c r="M3414" t="str">
        <f>VLOOKUP(D3418,Restaurant_Master!A:B,2,FALSE)</f>
        <v>https://dineout-media-assets.swiggy.com/swiggy/image/upload/fl_lossy,f_auto,q_auto/v1660793737/fdqxvxcxg1wtdwvyv45v.jpg</v>
      </c>
    </row>
    <row r="3415" spans="1:13" x14ac:dyDescent="0.3">
      <c r="A3415" t="s">
        <v>3445</v>
      </c>
      <c r="B3415" s="1">
        <v>45526</v>
      </c>
      <c r="C3415" t="s">
        <v>36</v>
      </c>
      <c r="D3415" t="s">
        <v>14</v>
      </c>
      <c r="E3415">
        <v>32</v>
      </c>
      <c r="F3415" t="s">
        <v>15</v>
      </c>
      <c r="G3415">
        <v>812.36</v>
      </c>
      <c r="H3415">
        <v>50</v>
      </c>
      <c r="I3415" t="s">
        <v>16</v>
      </c>
      <c r="J3415">
        <v>4.5</v>
      </c>
      <c r="K3415" t="s">
        <v>17</v>
      </c>
      <c r="L3415" t="s">
        <v>18</v>
      </c>
      <c r="M3415" t="str">
        <f>VLOOKUP(D3419,Restaurant_Master!A:B,2,FALSE)</f>
        <v>https://dineout-media-assets.swiggy.com/swiggy/image/upload/fl_lossy,f_auto,q_auto/v1660793737/fdqxvxcxg1wtdwvyv45v.jpg</v>
      </c>
    </row>
    <row r="3416" spans="1:13" x14ac:dyDescent="0.3">
      <c r="A3416" t="s">
        <v>3446</v>
      </c>
      <c r="B3416" s="1">
        <v>45325</v>
      </c>
      <c r="C3416" t="s">
        <v>13</v>
      </c>
      <c r="D3416" t="s">
        <v>25</v>
      </c>
      <c r="E3416">
        <v>59</v>
      </c>
      <c r="F3416" t="s">
        <v>28</v>
      </c>
      <c r="G3416">
        <v>266.98</v>
      </c>
      <c r="H3416">
        <v>45</v>
      </c>
      <c r="I3416" t="s">
        <v>16</v>
      </c>
      <c r="J3416">
        <v>4.5</v>
      </c>
      <c r="K3416" t="s">
        <v>26</v>
      </c>
      <c r="L3416" t="s">
        <v>23</v>
      </c>
      <c r="M3416" t="str">
        <f>VLOOKUP(D3420,Restaurant_Master!A:B,2,FALSE)</f>
        <v>https://content.jdmagicbox.com/comp/deoria/g6/9999p5568.5568.200119143033.m4g6/catalogue/biryani-house-deoria-ho-deoria-mktc2xph0o.jpg</v>
      </c>
    </row>
    <row r="3417" spans="1:13" x14ac:dyDescent="0.3">
      <c r="A3417" t="s">
        <v>3447</v>
      </c>
      <c r="B3417" s="1">
        <v>45575</v>
      </c>
      <c r="C3417" t="s">
        <v>20</v>
      </c>
      <c r="D3417" t="s">
        <v>14</v>
      </c>
      <c r="E3417">
        <v>58</v>
      </c>
      <c r="F3417" t="s">
        <v>28</v>
      </c>
      <c r="G3417">
        <v>900.41</v>
      </c>
      <c r="H3417">
        <v>59</v>
      </c>
      <c r="I3417" t="s">
        <v>16</v>
      </c>
      <c r="J3417">
        <v>4.7</v>
      </c>
      <c r="K3417" t="s">
        <v>26</v>
      </c>
      <c r="L3417" t="s">
        <v>23</v>
      </c>
      <c r="M3417" t="str">
        <f>VLOOKUP(D3421,Restaurant_Master!A:B,2,FALSE)</f>
        <v>https://dynamic-media-cdn.tripadvisor.com/media/photo-o/1c/e7/04/0d/front-of-the-local-easily.jpg</v>
      </c>
    </row>
    <row r="3418" spans="1:13" x14ac:dyDescent="0.3">
      <c r="A3418" t="s">
        <v>3448</v>
      </c>
      <c r="B3418" s="1">
        <v>45332</v>
      </c>
      <c r="C3418" t="s">
        <v>20</v>
      </c>
      <c r="D3418" t="s">
        <v>14</v>
      </c>
      <c r="E3418">
        <v>56</v>
      </c>
      <c r="F3418" t="s">
        <v>15</v>
      </c>
      <c r="G3418">
        <v>888.19</v>
      </c>
      <c r="H3418">
        <v>28</v>
      </c>
      <c r="I3418" t="s">
        <v>22</v>
      </c>
      <c r="J3418">
        <v>2.5</v>
      </c>
      <c r="K3418" t="s">
        <v>26</v>
      </c>
      <c r="L3418" t="s">
        <v>23</v>
      </c>
      <c r="M3418" t="str">
        <f>VLOOKUP(D3422,Restaurant_Master!A:B,2,FALSE)</f>
        <v>https://media-cdn.tripadvisor.com/media/photo-s/1c/c7/97/b6/photo6jpg.jpg</v>
      </c>
    </row>
    <row r="3419" spans="1:13" x14ac:dyDescent="0.3">
      <c r="A3419" t="s">
        <v>3449</v>
      </c>
      <c r="B3419" s="1">
        <v>45408</v>
      </c>
      <c r="C3419" t="s">
        <v>34</v>
      </c>
      <c r="D3419" t="s">
        <v>14</v>
      </c>
      <c r="E3419">
        <v>57</v>
      </c>
      <c r="F3419" t="s">
        <v>15</v>
      </c>
      <c r="G3419">
        <v>983.47</v>
      </c>
      <c r="H3419">
        <v>26</v>
      </c>
      <c r="I3419" t="s">
        <v>22</v>
      </c>
      <c r="J3419">
        <v>4.8</v>
      </c>
      <c r="K3419" t="s">
        <v>17</v>
      </c>
      <c r="L3419" t="s">
        <v>23</v>
      </c>
      <c r="M3419" t="str">
        <f>VLOOKUP(D3423,Restaurant_Master!A:B,2,FALSE)</f>
        <v>https://media-cdn.tripadvisor.com/media/photo-s/1c/c7/97/b6/photo6jpg.jpg</v>
      </c>
    </row>
    <row r="3420" spans="1:13" x14ac:dyDescent="0.3">
      <c r="A3420" t="s">
        <v>3450</v>
      </c>
      <c r="B3420" s="1">
        <v>45339</v>
      </c>
      <c r="C3420" t="s">
        <v>13</v>
      </c>
      <c r="D3420" t="s">
        <v>32</v>
      </c>
      <c r="E3420">
        <v>54</v>
      </c>
      <c r="F3420" t="s">
        <v>15</v>
      </c>
      <c r="G3420">
        <v>590.71</v>
      </c>
      <c r="H3420">
        <v>27</v>
      </c>
      <c r="I3420" t="s">
        <v>22</v>
      </c>
      <c r="J3420">
        <v>2.6</v>
      </c>
      <c r="K3420" t="s">
        <v>17</v>
      </c>
      <c r="L3420" t="s">
        <v>18</v>
      </c>
      <c r="M3420" t="str">
        <f>VLOOKUP(D3424,Restaurant_Master!A:B,2,FALSE)</f>
        <v>https://content.jdmagicbox.com/comp/deoria/g6/9999p5568.5568.200119143033.m4g6/catalogue/biryani-house-deoria-ho-deoria-mktc2xph0o.jpg</v>
      </c>
    </row>
    <row r="3421" spans="1:13" x14ac:dyDescent="0.3">
      <c r="A3421" t="s">
        <v>3451</v>
      </c>
      <c r="B3421" s="1">
        <v>45477</v>
      </c>
      <c r="C3421" t="s">
        <v>36</v>
      </c>
      <c r="D3421" t="s">
        <v>21</v>
      </c>
      <c r="E3421">
        <v>25</v>
      </c>
      <c r="F3421" t="s">
        <v>28</v>
      </c>
      <c r="G3421">
        <v>181.15</v>
      </c>
      <c r="H3421">
        <v>42</v>
      </c>
      <c r="I3421" t="s">
        <v>16</v>
      </c>
      <c r="J3421">
        <v>3.7</v>
      </c>
      <c r="K3421" t="s">
        <v>29</v>
      </c>
      <c r="L3421" t="s">
        <v>23</v>
      </c>
      <c r="M3421" t="str">
        <f>VLOOKUP(D3425,Restaurant_Master!A:B,2,FALSE)</f>
        <v>https://media-cdn.tripadvisor.com/media/photo-s/1c/c7/97/b6/photo6jpg.jpg</v>
      </c>
    </row>
    <row r="3422" spans="1:13" x14ac:dyDescent="0.3">
      <c r="A3422" t="s">
        <v>3452</v>
      </c>
      <c r="B3422" s="1">
        <v>45611</v>
      </c>
      <c r="C3422" t="s">
        <v>36</v>
      </c>
      <c r="D3422" t="s">
        <v>25</v>
      </c>
      <c r="E3422">
        <v>50</v>
      </c>
      <c r="F3422" t="s">
        <v>28</v>
      </c>
      <c r="G3422">
        <v>848.96</v>
      </c>
      <c r="H3422">
        <v>40</v>
      </c>
      <c r="I3422" t="s">
        <v>22</v>
      </c>
      <c r="J3422">
        <v>3</v>
      </c>
      <c r="K3422" t="s">
        <v>29</v>
      </c>
      <c r="L3422" t="s">
        <v>18</v>
      </c>
      <c r="M3422" t="str">
        <f>VLOOKUP(D3426,Restaurant_Master!A:B,2,FALSE)</f>
        <v>https://dineout-media-assets.swiggy.com/swiggy/image/upload/fl_lossy,f_auto,q_auto/v1660793737/fdqxvxcxg1wtdwvyv45v.jpg</v>
      </c>
    </row>
    <row r="3423" spans="1:13" x14ac:dyDescent="0.3">
      <c r="A3423" t="s">
        <v>3453</v>
      </c>
      <c r="B3423" s="1">
        <v>45650</v>
      </c>
      <c r="C3423" t="s">
        <v>13</v>
      </c>
      <c r="D3423" t="s">
        <v>25</v>
      </c>
      <c r="E3423">
        <v>58</v>
      </c>
      <c r="F3423" t="s">
        <v>28</v>
      </c>
      <c r="G3423">
        <v>1025.31</v>
      </c>
      <c r="H3423">
        <v>39</v>
      </c>
      <c r="I3423" t="s">
        <v>22</v>
      </c>
      <c r="J3423">
        <v>2.6</v>
      </c>
      <c r="K3423" t="s">
        <v>26</v>
      </c>
      <c r="L3423" t="s">
        <v>23</v>
      </c>
      <c r="M3423" t="str">
        <f>VLOOKUP(D3427,Restaurant_Master!A:B,2,FALSE)</f>
        <v>https://media-cdn.tripadvisor.com/media/photo-s/1c/c7/97/b6/photo6jpg.jpg</v>
      </c>
    </row>
    <row r="3424" spans="1:13" x14ac:dyDescent="0.3">
      <c r="A3424" t="s">
        <v>3454</v>
      </c>
      <c r="B3424" s="1">
        <v>45305</v>
      </c>
      <c r="C3424" t="s">
        <v>43</v>
      </c>
      <c r="D3424" t="s">
        <v>32</v>
      </c>
      <c r="E3424">
        <v>54</v>
      </c>
      <c r="F3424" t="s">
        <v>28</v>
      </c>
      <c r="G3424">
        <v>883.68</v>
      </c>
      <c r="H3424">
        <v>22</v>
      </c>
      <c r="I3424" t="s">
        <v>22</v>
      </c>
      <c r="J3424">
        <v>4.7</v>
      </c>
      <c r="K3424" t="s">
        <v>26</v>
      </c>
      <c r="L3424" t="s">
        <v>23</v>
      </c>
      <c r="M3424" t="str">
        <f>VLOOKUP(D3428,Restaurant_Master!A:B,2,FALSE)</f>
        <v>https://dineout-media-assets.swiggy.com/swiggy/image/upload/fl_lossy,f_auto,q_auto/v1660793737/fdqxvxcxg1wtdwvyv45v.jpg</v>
      </c>
    </row>
    <row r="3425" spans="1:13" x14ac:dyDescent="0.3">
      <c r="A3425" t="s">
        <v>3455</v>
      </c>
      <c r="B3425" s="1">
        <v>45638</v>
      </c>
      <c r="C3425" t="s">
        <v>43</v>
      </c>
      <c r="D3425" t="s">
        <v>25</v>
      </c>
      <c r="E3425">
        <v>19</v>
      </c>
      <c r="F3425" t="s">
        <v>15</v>
      </c>
      <c r="G3425">
        <v>754.59</v>
      </c>
      <c r="H3425">
        <v>42</v>
      </c>
      <c r="I3425" t="s">
        <v>16</v>
      </c>
      <c r="J3425">
        <v>3.4</v>
      </c>
      <c r="K3425" t="s">
        <v>29</v>
      </c>
      <c r="L3425" t="s">
        <v>18</v>
      </c>
      <c r="M3425" t="str">
        <f>VLOOKUP(D3429,Restaurant_Master!A:B,2,FALSE)</f>
        <v>https://dynamic-media-cdn.tripadvisor.com/media/photo-o/1c/e7/04/0d/front-of-the-local-easily.jpg</v>
      </c>
    </row>
    <row r="3426" spans="1:13" x14ac:dyDescent="0.3">
      <c r="A3426" t="s">
        <v>3456</v>
      </c>
      <c r="B3426" s="1">
        <v>45388</v>
      </c>
      <c r="C3426" t="s">
        <v>20</v>
      </c>
      <c r="D3426" t="s">
        <v>14</v>
      </c>
      <c r="E3426">
        <v>35</v>
      </c>
      <c r="F3426" t="s">
        <v>15</v>
      </c>
      <c r="G3426">
        <v>218.76</v>
      </c>
      <c r="H3426">
        <v>59</v>
      </c>
      <c r="I3426" t="s">
        <v>16</v>
      </c>
      <c r="J3426">
        <v>3.3</v>
      </c>
      <c r="K3426" t="s">
        <v>41</v>
      </c>
      <c r="L3426" t="s">
        <v>18</v>
      </c>
      <c r="M3426" t="str">
        <f>VLOOKUP(D3430,Restaurant_Master!A:B,2,FALSE)</f>
        <v>https://dineout-media-assets.swiggy.com/swiggy/image/upload/fl_lossy,f_auto,q_auto/v1660793737/fdqxvxcxg1wtdwvyv45v.jpg</v>
      </c>
    </row>
    <row r="3427" spans="1:13" x14ac:dyDescent="0.3">
      <c r="A3427" t="s">
        <v>3457</v>
      </c>
      <c r="B3427" s="1">
        <v>45631</v>
      </c>
      <c r="C3427" t="s">
        <v>43</v>
      </c>
      <c r="D3427" t="s">
        <v>25</v>
      </c>
      <c r="E3427">
        <v>24</v>
      </c>
      <c r="F3427" t="s">
        <v>28</v>
      </c>
      <c r="G3427">
        <v>294.39</v>
      </c>
      <c r="H3427">
        <v>25</v>
      </c>
      <c r="I3427" t="s">
        <v>22</v>
      </c>
      <c r="J3427">
        <v>2.9</v>
      </c>
      <c r="K3427" t="s">
        <v>17</v>
      </c>
      <c r="L3427" t="s">
        <v>18</v>
      </c>
      <c r="M3427" t="str">
        <f>VLOOKUP(D3431,Restaurant_Master!A:B,2,FALSE)</f>
        <v>https://dynamic-media-cdn.tripadvisor.com/media/photo-o/1c/e7/04/0d/front-of-the-local-easily.jpg</v>
      </c>
    </row>
    <row r="3428" spans="1:13" x14ac:dyDescent="0.3">
      <c r="A3428" t="s">
        <v>3458</v>
      </c>
      <c r="B3428" s="1">
        <v>45314</v>
      </c>
      <c r="C3428" t="s">
        <v>36</v>
      </c>
      <c r="D3428" t="s">
        <v>14</v>
      </c>
      <c r="E3428">
        <v>21</v>
      </c>
      <c r="F3428" t="s">
        <v>15</v>
      </c>
      <c r="G3428">
        <v>1185.56</v>
      </c>
      <c r="H3428">
        <v>32</v>
      </c>
      <c r="I3428" t="s">
        <v>22</v>
      </c>
      <c r="J3428">
        <v>3.9</v>
      </c>
      <c r="K3428" t="s">
        <v>17</v>
      </c>
      <c r="L3428" t="s">
        <v>18</v>
      </c>
      <c r="M3428" t="str">
        <f>VLOOKUP(D3432,Restaurant_Master!A:B,2,FALSE)</f>
        <v>https://www.chatswoodinterchange.com/storages/2018/08/Sushi-World_666x448.jpg</v>
      </c>
    </row>
    <row r="3429" spans="1:13" x14ac:dyDescent="0.3">
      <c r="A3429" t="s">
        <v>3459</v>
      </c>
      <c r="B3429" s="1">
        <v>45612</v>
      </c>
      <c r="C3429" t="s">
        <v>36</v>
      </c>
      <c r="D3429" t="s">
        <v>21</v>
      </c>
      <c r="E3429">
        <v>52</v>
      </c>
      <c r="F3429" t="s">
        <v>28</v>
      </c>
      <c r="G3429">
        <v>341.68</v>
      </c>
      <c r="H3429">
        <v>39</v>
      </c>
      <c r="I3429" t="s">
        <v>22</v>
      </c>
      <c r="J3429">
        <v>4.9000000000000004</v>
      </c>
      <c r="K3429" t="s">
        <v>26</v>
      </c>
      <c r="L3429" t="s">
        <v>23</v>
      </c>
      <c r="M3429" t="str">
        <f>VLOOKUP(D3433,Restaurant_Master!A:B,2,FALSE)</f>
        <v>https://dynamic-media-cdn.tripadvisor.com/media/photo-o/1c/e7/04/0d/front-of-the-local-easily.jpg</v>
      </c>
    </row>
    <row r="3430" spans="1:13" x14ac:dyDescent="0.3">
      <c r="A3430" t="s">
        <v>3460</v>
      </c>
      <c r="B3430" s="1">
        <v>45333</v>
      </c>
      <c r="C3430" t="s">
        <v>20</v>
      </c>
      <c r="D3430" t="s">
        <v>14</v>
      </c>
      <c r="E3430">
        <v>31</v>
      </c>
      <c r="F3430" t="s">
        <v>28</v>
      </c>
      <c r="G3430">
        <v>862.46</v>
      </c>
      <c r="H3430">
        <v>34</v>
      </c>
      <c r="I3430" t="s">
        <v>22</v>
      </c>
      <c r="J3430">
        <v>2.5</v>
      </c>
      <c r="K3430" t="s">
        <v>26</v>
      </c>
      <c r="L3430" t="s">
        <v>18</v>
      </c>
      <c r="M3430" t="str">
        <f>VLOOKUP(D3434,Restaurant_Master!A:B,2,FALSE)</f>
        <v>https://content.jdmagicbox.com/comp/deoria/g6/9999p5568.5568.200119143033.m4g6/catalogue/biryani-house-deoria-ho-deoria-mktc2xph0o.jpg</v>
      </c>
    </row>
    <row r="3431" spans="1:13" x14ac:dyDescent="0.3">
      <c r="A3431" t="s">
        <v>3461</v>
      </c>
      <c r="B3431" s="1">
        <v>45575</v>
      </c>
      <c r="C3431" t="s">
        <v>13</v>
      </c>
      <c r="D3431" t="s">
        <v>21</v>
      </c>
      <c r="E3431">
        <v>56</v>
      </c>
      <c r="F3431" t="s">
        <v>28</v>
      </c>
      <c r="G3431">
        <v>1127.79</v>
      </c>
      <c r="H3431">
        <v>23</v>
      </c>
      <c r="I3431" t="s">
        <v>22</v>
      </c>
      <c r="J3431">
        <v>4.4000000000000004</v>
      </c>
      <c r="K3431" t="s">
        <v>17</v>
      </c>
      <c r="L3431" t="s">
        <v>23</v>
      </c>
      <c r="M3431" t="str">
        <f>VLOOKUP(D3435,Restaurant_Master!A:B,2,FALSE)</f>
        <v>https://dineout-media-assets.swiggy.com/swiggy/image/upload/fl_lossy,f_auto,q_auto/v1660793737/fdqxvxcxg1wtdwvyv45v.jpg</v>
      </c>
    </row>
    <row r="3432" spans="1:13" x14ac:dyDescent="0.3">
      <c r="A3432" t="s">
        <v>3462</v>
      </c>
      <c r="B3432" s="1">
        <v>45505</v>
      </c>
      <c r="C3432" t="s">
        <v>13</v>
      </c>
      <c r="D3432" t="s">
        <v>38</v>
      </c>
      <c r="E3432">
        <v>50</v>
      </c>
      <c r="F3432" t="s">
        <v>15</v>
      </c>
      <c r="G3432">
        <v>935.28</v>
      </c>
      <c r="H3432">
        <v>43</v>
      </c>
      <c r="I3432" t="s">
        <v>16</v>
      </c>
      <c r="J3432">
        <v>4.4000000000000004</v>
      </c>
      <c r="K3432" t="s">
        <v>29</v>
      </c>
      <c r="L3432" t="s">
        <v>23</v>
      </c>
      <c r="M3432" t="str">
        <f>VLOOKUP(D3436,Restaurant_Master!A:B,2,FALSE)</f>
        <v>https://dynamic-media-cdn.tripadvisor.com/media/photo-o/1c/e7/04/0d/front-of-the-local-easily.jpg</v>
      </c>
    </row>
    <row r="3433" spans="1:13" x14ac:dyDescent="0.3">
      <c r="A3433" t="s">
        <v>3463</v>
      </c>
      <c r="B3433" s="1">
        <v>45402</v>
      </c>
      <c r="C3433" t="s">
        <v>36</v>
      </c>
      <c r="D3433" t="s">
        <v>21</v>
      </c>
      <c r="E3433">
        <v>26</v>
      </c>
      <c r="F3433" t="s">
        <v>28</v>
      </c>
      <c r="G3433">
        <v>442.3</v>
      </c>
      <c r="H3433">
        <v>45</v>
      </c>
      <c r="I3433" t="s">
        <v>16</v>
      </c>
      <c r="J3433">
        <v>3.8</v>
      </c>
      <c r="K3433" t="s">
        <v>17</v>
      </c>
      <c r="L3433" t="s">
        <v>23</v>
      </c>
      <c r="M3433" t="str">
        <f>VLOOKUP(D3437,Restaurant_Master!A:B,2,FALSE)</f>
        <v>https://dineout-media-assets.swiggy.com/swiggy/image/upload/fl_lossy,f_auto,q_auto/v1660793737/fdqxvxcxg1wtdwvyv45v.jpg</v>
      </c>
    </row>
    <row r="3434" spans="1:13" x14ac:dyDescent="0.3">
      <c r="A3434" t="s">
        <v>3464</v>
      </c>
      <c r="B3434" s="1">
        <v>45595</v>
      </c>
      <c r="C3434" t="s">
        <v>20</v>
      </c>
      <c r="D3434" t="s">
        <v>32</v>
      </c>
      <c r="E3434">
        <v>28</v>
      </c>
      <c r="F3434" t="s">
        <v>28</v>
      </c>
      <c r="G3434">
        <v>674.45</v>
      </c>
      <c r="H3434">
        <v>25</v>
      </c>
      <c r="I3434" t="s">
        <v>22</v>
      </c>
      <c r="J3434">
        <v>3.4</v>
      </c>
      <c r="K3434" t="s">
        <v>26</v>
      </c>
      <c r="L3434" t="s">
        <v>23</v>
      </c>
      <c r="M3434" t="str">
        <f>VLOOKUP(D3438,Restaurant_Master!A:B,2,FALSE)</f>
        <v>https://dynamic-media-cdn.tripadvisor.com/media/photo-o/1c/e7/04/0d/front-of-the-local-easily.jpg</v>
      </c>
    </row>
    <row r="3435" spans="1:13" x14ac:dyDescent="0.3">
      <c r="A3435" t="s">
        <v>3465</v>
      </c>
      <c r="B3435" s="1">
        <v>45467</v>
      </c>
      <c r="C3435" t="s">
        <v>43</v>
      </c>
      <c r="D3435" t="s">
        <v>14</v>
      </c>
      <c r="E3435">
        <v>35</v>
      </c>
      <c r="F3435" t="s">
        <v>15</v>
      </c>
      <c r="G3435">
        <v>207.3</v>
      </c>
      <c r="H3435">
        <v>27</v>
      </c>
      <c r="I3435" t="s">
        <v>22</v>
      </c>
      <c r="J3435">
        <v>2.9</v>
      </c>
      <c r="K3435" t="s">
        <v>29</v>
      </c>
      <c r="L3435" t="s">
        <v>23</v>
      </c>
      <c r="M3435" t="str">
        <f>VLOOKUP(D3439,Restaurant_Master!A:B,2,FALSE)</f>
        <v>https://dynamic-media-cdn.tripadvisor.com/media/photo-o/1c/e7/04/0d/front-of-the-local-easily.jpg</v>
      </c>
    </row>
    <row r="3436" spans="1:13" x14ac:dyDescent="0.3">
      <c r="A3436" t="s">
        <v>3466</v>
      </c>
      <c r="B3436" s="1">
        <v>45330</v>
      </c>
      <c r="C3436" t="s">
        <v>34</v>
      </c>
      <c r="D3436" t="s">
        <v>21</v>
      </c>
      <c r="E3436">
        <v>28</v>
      </c>
      <c r="F3436" t="s">
        <v>15</v>
      </c>
      <c r="G3436">
        <v>709.36</v>
      </c>
      <c r="H3436">
        <v>49</v>
      </c>
      <c r="I3436" t="s">
        <v>16</v>
      </c>
      <c r="J3436">
        <v>4.9000000000000004</v>
      </c>
      <c r="K3436" t="s">
        <v>26</v>
      </c>
      <c r="L3436" t="s">
        <v>23</v>
      </c>
      <c r="M3436" t="str">
        <f>VLOOKUP(D3440,Restaurant_Master!A:B,2,FALSE)</f>
        <v>https://media-cdn.tripadvisor.com/media/photo-s/1c/c7/97/b6/photo6jpg.jpg</v>
      </c>
    </row>
    <row r="3437" spans="1:13" x14ac:dyDescent="0.3">
      <c r="A3437" t="s">
        <v>3467</v>
      </c>
      <c r="B3437" s="1">
        <v>45314</v>
      </c>
      <c r="C3437" t="s">
        <v>13</v>
      </c>
      <c r="D3437" t="s">
        <v>14</v>
      </c>
      <c r="E3437">
        <v>44</v>
      </c>
      <c r="F3437" t="s">
        <v>15</v>
      </c>
      <c r="G3437">
        <v>1062.32</v>
      </c>
      <c r="H3437">
        <v>41</v>
      </c>
      <c r="I3437" t="s">
        <v>16</v>
      </c>
      <c r="J3437">
        <v>4.9000000000000004</v>
      </c>
      <c r="K3437" t="s">
        <v>26</v>
      </c>
      <c r="L3437" t="s">
        <v>18</v>
      </c>
      <c r="M3437" t="str">
        <f>VLOOKUP(D3441,Restaurant_Master!A:B,2,FALSE)</f>
        <v>https://dynamic-media-cdn.tripadvisor.com/media/photo-o/1c/e7/04/0d/front-of-the-local-easily.jpg</v>
      </c>
    </row>
    <row r="3438" spans="1:13" x14ac:dyDescent="0.3">
      <c r="A3438" t="s">
        <v>3468</v>
      </c>
      <c r="B3438" s="1">
        <v>45505</v>
      </c>
      <c r="C3438" t="s">
        <v>34</v>
      </c>
      <c r="D3438" t="s">
        <v>21</v>
      </c>
      <c r="E3438">
        <v>24</v>
      </c>
      <c r="F3438" t="s">
        <v>15</v>
      </c>
      <c r="G3438">
        <v>571.67999999999995</v>
      </c>
      <c r="H3438">
        <v>35</v>
      </c>
      <c r="I3438" t="s">
        <v>22</v>
      </c>
      <c r="J3438">
        <v>3.2</v>
      </c>
      <c r="K3438" t="s">
        <v>26</v>
      </c>
      <c r="L3438" t="s">
        <v>23</v>
      </c>
      <c r="M3438" t="str">
        <f>VLOOKUP(D3442,Restaurant_Master!A:B,2,FALSE)</f>
        <v>https://dineout-media-assets.swiggy.com/swiggy/image/upload/fl_lossy,f_auto,q_auto/v1660793737/fdqxvxcxg1wtdwvyv45v.jpg</v>
      </c>
    </row>
    <row r="3439" spans="1:13" x14ac:dyDescent="0.3">
      <c r="A3439" t="s">
        <v>3469</v>
      </c>
      <c r="B3439" s="1">
        <v>45373</v>
      </c>
      <c r="C3439" t="s">
        <v>36</v>
      </c>
      <c r="D3439" t="s">
        <v>21</v>
      </c>
      <c r="E3439">
        <v>27</v>
      </c>
      <c r="F3439" t="s">
        <v>28</v>
      </c>
      <c r="G3439">
        <v>463.76</v>
      </c>
      <c r="H3439">
        <v>42</v>
      </c>
      <c r="I3439" t="s">
        <v>16</v>
      </c>
      <c r="J3439">
        <v>4.7</v>
      </c>
      <c r="K3439" t="s">
        <v>26</v>
      </c>
      <c r="L3439" t="s">
        <v>23</v>
      </c>
      <c r="M3439" t="str">
        <f>VLOOKUP(D3443,Restaurant_Master!A:B,2,FALSE)</f>
        <v>https://dineout-media-assets.swiggy.com/swiggy/image/upload/fl_lossy,f_auto,q_auto/v1660793737/fdqxvxcxg1wtdwvyv45v.jpg</v>
      </c>
    </row>
    <row r="3440" spans="1:13" x14ac:dyDescent="0.3">
      <c r="A3440" t="s">
        <v>3470</v>
      </c>
      <c r="B3440" s="1">
        <v>45518</v>
      </c>
      <c r="C3440" t="s">
        <v>36</v>
      </c>
      <c r="D3440" t="s">
        <v>25</v>
      </c>
      <c r="E3440">
        <v>46</v>
      </c>
      <c r="F3440" t="s">
        <v>28</v>
      </c>
      <c r="G3440">
        <v>562.30999999999995</v>
      </c>
      <c r="H3440">
        <v>33</v>
      </c>
      <c r="I3440" t="s">
        <v>22</v>
      </c>
      <c r="J3440">
        <v>4.0999999999999996</v>
      </c>
      <c r="K3440" t="s">
        <v>26</v>
      </c>
      <c r="L3440" t="s">
        <v>23</v>
      </c>
      <c r="M3440" t="str">
        <f>VLOOKUP(D3444,Restaurant_Master!A:B,2,FALSE)</f>
        <v>https://content.jdmagicbox.com/comp/deoria/g6/9999p5568.5568.200119143033.m4g6/catalogue/biryani-house-deoria-ho-deoria-mktc2xph0o.jpg</v>
      </c>
    </row>
    <row r="3441" spans="1:13" x14ac:dyDescent="0.3">
      <c r="A3441" t="s">
        <v>3471</v>
      </c>
      <c r="B3441" s="1">
        <v>45338</v>
      </c>
      <c r="C3441" t="s">
        <v>20</v>
      </c>
      <c r="D3441" t="s">
        <v>21</v>
      </c>
      <c r="E3441">
        <v>18</v>
      </c>
      <c r="F3441" t="s">
        <v>15</v>
      </c>
      <c r="G3441">
        <v>422.47</v>
      </c>
      <c r="H3441">
        <v>50</v>
      </c>
      <c r="I3441" t="s">
        <v>16</v>
      </c>
      <c r="J3441">
        <v>2.8</v>
      </c>
      <c r="K3441" t="s">
        <v>41</v>
      </c>
      <c r="L3441" t="s">
        <v>23</v>
      </c>
      <c r="M3441" t="str">
        <f>VLOOKUP(D3445,Restaurant_Master!A:B,2,FALSE)</f>
        <v>https://content.jdmagicbox.com/comp/deoria/g6/9999p5568.5568.200119143033.m4g6/catalogue/biryani-house-deoria-ho-deoria-mktc2xph0o.jpg</v>
      </c>
    </row>
    <row r="3442" spans="1:13" x14ac:dyDescent="0.3">
      <c r="A3442" t="s">
        <v>3472</v>
      </c>
      <c r="B3442" s="1">
        <v>45578</v>
      </c>
      <c r="C3442" t="s">
        <v>13</v>
      </c>
      <c r="D3442" t="s">
        <v>14</v>
      </c>
      <c r="E3442">
        <v>35</v>
      </c>
      <c r="F3442" t="s">
        <v>15</v>
      </c>
      <c r="G3442">
        <v>1002.74</v>
      </c>
      <c r="H3442">
        <v>21</v>
      </c>
      <c r="I3442" t="s">
        <v>22</v>
      </c>
      <c r="J3442">
        <v>3.1</v>
      </c>
      <c r="K3442" t="s">
        <v>26</v>
      </c>
      <c r="L3442" t="s">
        <v>23</v>
      </c>
      <c r="M3442" t="str">
        <f>VLOOKUP(D3446,Restaurant_Master!A:B,2,FALSE)</f>
        <v>https://content.jdmagicbox.com/comp/deoria/g6/9999p5568.5568.200119143033.m4g6/catalogue/biryani-house-deoria-ho-deoria-mktc2xph0o.jpg</v>
      </c>
    </row>
    <row r="3443" spans="1:13" x14ac:dyDescent="0.3">
      <c r="A3443" t="s">
        <v>3473</v>
      </c>
      <c r="B3443" s="1">
        <v>45316</v>
      </c>
      <c r="C3443" t="s">
        <v>36</v>
      </c>
      <c r="D3443" t="s">
        <v>14</v>
      </c>
      <c r="E3443">
        <v>55</v>
      </c>
      <c r="F3443" t="s">
        <v>15</v>
      </c>
      <c r="G3443">
        <v>777.6</v>
      </c>
      <c r="H3443">
        <v>24</v>
      </c>
      <c r="I3443" t="s">
        <v>22</v>
      </c>
      <c r="J3443">
        <v>2.5</v>
      </c>
      <c r="K3443" t="s">
        <v>29</v>
      </c>
      <c r="L3443" t="s">
        <v>23</v>
      </c>
      <c r="M3443" t="str">
        <f>VLOOKUP(D3447,Restaurant_Master!A:B,2,FALSE)</f>
        <v>https://dineout-media-assets.swiggy.com/swiggy/image/upload/fl_lossy,f_auto,q_auto/v1660793737/fdqxvxcxg1wtdwvyv45v.jpg</v>
      </c>
    </row>
    <row r="3444" spans="1:13" x14ac:dyDescent="0.3">
      <c r="A3444" t="s">
        <v>3474</v>
      </c>
      <c r="B3444" s="1">
        <v>45471</v>
      </c>
      <c r="C3444" t="s">
        <v>20</v>
      </c>
      <c r="D3444" t="s">
        <v>32</v>
      </c>
      <c r="E3444">
        <v>34</v>
      </c>
      <c r="F3444" t="s">
        <v>15</v>
      </c>
      <c r="G3444">
        <v>445.94</v>
      </c>
      <c r="H3444">
        <v>43</v>
      </c>
      <c r="I3444" t="s">
        <v>16</v>
      </c>
      <c r="J3444">
        <v>3.4</v>
      </c>
      <c r="K3444" t="s">
        <v>41</v>
      </c>
      <c r="L3444" t="s">
        <v>18</v>
      </c>
      <c r="M3444" t="str">
        <f>VLOOKUP(D3448,Restaurant_Master!A:B,2,FALSE)</f>
        <v>https://media-cdn.tripadvisor.com/media/photo-s/1c/c7/97/b6/photo6jpg.jpg</v>
      </c>
    </row>
    <row r="3445" spans="1:13" x14ac:dyDescent="0.3">
      <c r="A3445" t="s">
        <v>3475</v>
      </c>
      <c r="B3445" s="1">
        <v>45387</v>
      </c>
      <c r="C3445" t="s">
        <v>13</v>
      </c>
      <c r="D3445" t="s">
        <v>32</v>
      </c>
      <c r="E3445">
        <v>55</v>
      </c>
      <c r="F3445" t="s">
        <v>28</v>
      </c>
      <c r="G3445">
        <v>189.02</v>
      </c>
      <c r="H3445">
        <v>50</v>
      </c>
      <c r="I3445" t="s">
        <v>16</v>
      </c>
      <c r="J3445">
        <v>5</v>
      </c>
      <c r="K3445" t="s">
        <v>26</v>
      </c>
      <c r="L3445" t="s">
        <v>18</v>
      </c>
      <c r="M3445" t="str">
        <f>VLOOKUP(D3449,Restaurant_Master!A:B,2,FALSE)</f>
        <v>https://dynamic-media-cdn.tripadvisor.com/media/photo-o/1c/e7/04/0d/front-of-the-local-easily.jpg</v>
      </c>
    </row>
    <row r="3446" spans="1:13" x14ac:dyDescent="0.3">
      <c r="A3446" t="s">
        <v>3476</v>
      </c>
      <c r="B3446" s="1">
        <v>45527</v>
      </c>
      <c r="C3446" t="s">
        <v>34</v>
      </c>
      <c r="D3446" t="s">
        <v>32</v>
      </c>
      <c r="E3446">
        <v>57</v>
      </c>
      <c r="F3446" t="s">
        <v>15</v>
      </c>
      <c r="G3446">
        <v>601.88</v>
      </c>
      <c r="H3446">
        <v>40</v>
      </c>
      <c r="I3446" t="s">
        <v>22</v>
      </c>
      <c r="J3446">
        <v>4.5999999999999996</v>
      </c>
      <c r="K3446" t="s">
        <v>17</v>
      </c>
      <c r="L3446" t="s">
        <v>18</v>
      </c>
      <c r="M3446" t="str">
        <f>VLOOKUP(D3450,Restaurant_Master!A:B,2,FALSE)</f>
        <v>https://content.jdmagicbox.com/comp/deoria/g6/9999p5568.5568.200119143033.m4g6/catalogue/biryani-house-deoria-ho-deoria-mktc2xph0o.jpg</v>
      </c>
    </row>
    <row r="3447" spans="1:13" x14ac:dyDescent="0.3">
      <c r="A3447" t="s">
        <v>3477</v>
      </c>
      <c r="B3447" s="1">
        <v>45631</v>
      </c>
      <c r="C3447" t="s">
        <v>43</v>
      </c>
      <c r="D3447" t="s">
        <v>14</v>
      </c>
      <c r="E3447">
        <v>56</v>
      </c>
      <c r="F3447" t="s">
        <v>28</v>
      </c>
      <c r="G3447">
        <v>710.51</v>
      </c>
      <c r="H3447">
        <v>58</v>
      </c>
      <c r="I3447" t="s">
        <v>16</v>
      </c>
      <c r="J3447">
        <v>4.8</v>
      </c>
      <c r="K3447" t="s">
        <v>17</v>
      </c>
      <c r="L3447" t="s">
        <v>18</v>
      </c>
      <c r="M3447" t="str">
        <f>VLOOKUP(D3451,Restaurant_Master!A:B,2,FALSE)</f>
        <v>https://content.jdmagicbox.com/comp/deoria/g6/9999p5568.5568.200119143033.m4g6/catalogue/biryani-house-deoria-ho-deoria-mktc2xph0o.jpg</v>
      </c>
    </row>
    <row r="3448" spans="1:13" x14ac:dyDescent="0.3">
      <c r="A3448" t="s">
        <v>3478</v>
      </c>
      <c r="B3448" s="1">
        <v>45451</v>
      </c>
      <c r="C3448" t="s">
        <v>13</v>
      </c>
      <c r="D3448" t="s">
        <v>25</v>
      </c>
      <c r="E3448">
        <v>43</v>
      </c>
      <c r="F3448" t="s">
        <v>15</v>
      </c>
      <c r="G3448">
        <v>190.87</v>
      </c>
      <c r="H3448">
        <v>54</v>
      </c>
      <c r="I3448" t="s">
        <v>16</v>
      </c>
      <c r="J3448">
        <v>3.7</v>
      </c>
      <c r="K3448" t="s">
        <v>26</v>
      </c>
      <c r="L3448" t="s">
        <v>18</v>
      </c>
      <c r="M3448" t="str">
        <f>VLOOKUP(D3452,Restaurant_Master!A:B,2,FALSE)</f>
        <v>https://dineout-media-assets.swiggy.com/swiggy/image/upload/fl_lossy,f_auto,q_auto/v1660793737/fdqxvxcxg1wtdwvyv45v.jpg</v>
      </c>
    </row>
    <row r="3449" spans="1:13" x14ac:dyDescent="0.3">
      <c r="A3449" t="s">
        <v>3479</v>
      </c>
      <c r="B3449" s="1">
        <v>45446</v>
      </c>
      <c r="C3449" t="s">
        <v>36</v>
      </c>
      <c r="D3449" t="s">
        <v>21</v>
      </c>
      <c r="E3449">
        <v>39</v>
      </c>
      <c r="F3449" t="s">
        <v>28</v>
      </c>
      <c r="G3449">
        <v>556.66</v>
      </c>
      <c r="H3449">
        <v>33</v>
      </c>
      <c r="I3449" t="s">
        <v>22</v>
      </c>
      <c r="J3449">
        <v>3.7</v>
      </c>
      <c r="K3449" t="s">
        <v>26</v>
      </c>
      <c r="L3449" t="s">
        <v>23</v>
      </c>
      <c r="M3449" t="str">
        <f>VLOOKUP(D3453,Restaurant_Master!A:B,2,FALSE)</f>
        <v>https://media-cdn.tripadvisor.com/media/photo-s/1c/c7/97/b6/photo6jpg.jpg</v>
      </c>
    </row>
    <row r="3450" spans="1:13" x14ac:dyDescent="0.3">
      <c r="A3450" t="s">
        <v>3480</v>
      </c>
      <c r="B3450" s="1">
        <v>45457</v>
      </c>
      <c r="C3450" t="s">
        <v>13</v>
      </c>
      <c r="D3450" t="s">
        <v>32</v>
      </c>
      <c r="E3450">
        <v>32</v>
      </c>
      <c r="F3450" t="s">
        <v>15</v>
      </c>
      <c r="G3450">
        <v>859.5</v>
      </c>
      <c r="H3450">
        <v>53</v>
      </c>
      <c r="I3450" t="s">
        <v>16</v>
      </c>
      <c r="J3450">
        <v>4.2</v>
      </c>
      <c r="K3450" t="s">
        <v>41</v>
      </c>
      <c r="L3450" t="s">
        <v>18</v>
      </c>
      <c r="M3450" t="str">
        <f>VLOOKUP(D3454,Restaurant_Master!A:B,2,FALSE)</f>
        <v>https://www.chatswoodinterchange.com/storages/2018/08/Sushi-World_666x448.jpg</v>
      </c>
    </row>
    <row r="3451" spans="1:13" x14ac:dyDescent="0.3">
      <c r="A3451" t="s">
        <v>3481</v>
      </c>
      <c r="B3451" s="1">
        <v>45434</v>
      </c>
      <c r="C3451" t="s">
        <v>43</v>
      </c>
      <c r="D3451" t="s">
        <v>32</v>
      </c>
      <c r="E3451">
        <v>33</v>
      </c>
      <c r="F3451" t="s">
        <v>15</v>
      </c>
      <c r="G3451">
        <v>542.17999999999995</v>
      </c>
      <c r="H3451">
        <v>58</v>
      </c>
      <c r="I3451" t="s">
        <v>16</v>
      </c>
      <c r="J3451">
        <v>4.0999999999999996</v>
      </c>
      <c r="K3451" t="s">
        <v>26</v>
      </c>
      <c r="L3451" t="s">
        <v>18</v>
      </c>
      <c r="M3451" t="str">
        <f>VLOOKUP(D3455,Restaurant_Master!A:B,2,FALSE)</f>
        <v>https://www.chatswoodinterchange.com/storages/2018/08/Sushi-World_666x448.jpg</v>
      </c>
    </row>
    <row r="3452" spans="1:13" x14ac:dyDescent="0.3">
      <c r="A3452" t="s">
        <v>3482</v>
      </c>
      <c r="B3452" s="1">
        <v>45361</v>
      </c>
      <c r="C3452" t="s">
        <v>13</v>
      </c>
      <c r="D3452" t="s">
        <v>14</v>
      </c>
      <c r="E3452">
        <v>58</v>
      </c>
      <c r="F3452" t="s">
        <v>15</v>
      </c>
      <c r="G3452">
        <v>840.93</v>
      </c>
      <c r="H3452">
        <v>47</v>
      </c>
      <c r="I3452" t="s">
        <v>16</v>
      </c>
      <c r="J3452">
        <v>3.9</v>
      </c>
      <c r="K3452" t="s">
        <v>41</v>
      </c>
      <c r="L3452" t="s">
        <v>18</v>
      </c>
      <c r="M3452" t="str">
        <f>VLOOKUP(D3456,Restaurant_Master!A:B,2,FALSE)</f>
        <v>https://media-cdn.tripadvisor.com/media/photo-s/1c/c7/97/b6/photo6jpg.jpg</v>
      </c>
    </row>
    <row r="3453" spans="1:13" x14ac:dyDescent="0.3">
      <c r="A3453" t="s">
        <v>3483</v>
      </c>
      <c r="B3453" s="1">
        <v>45433</v>
      </c>
      <c r="C3453" t="s">
        <v>20</v>
      </c>
      <c r="D3453" t="s">
        <v>25</v>
      </c>
      <c r="E3453">
        <v>43</v>
      </c>
      <c r="F3453" t="s">
        <v>15</v>
      </c>
      <c r="G3453">
        <v>675.81</v>
      </c>
      <c r="H3453">
        <v>45</v>
      </c>
      <c r="I3453" t="s">
        <v>16</v>
      </c>
      <c r="J3453">
        <v>3.9</v>
      </c>
      <c r="K3453" t="s">
        <v>41</v>
      </c>
      <c r="L3453" t="s">
        <v>23</v>
      </c>
      <c r="M3453" t="str">
        <f>VLOOKUP(D3457,Restaurant_Master!A:B,2,FALSE)</f>
        <v>https://dineout-media-assets.swiggy.com/swiggy/image/upload/fl_lossy,f_auto,q_auto/v1660793737/fdqxvxcxg1wtdwvyv45v.jpg</v>
      </c>
    </row>
    <row r="3454" spans="1:13" x14ac:dyDescent="0.3">
      <c r="A3454" t="s">
        <v>3484</v>
      </c>
      <c r="B3454" s="1">
        <v>45309</v>
      </c>
      <c r="C3454" t="s">
        <v>20</v>
      </c>
      <c r="D3454" t="s">
        <v>38</v>
      </c>
      <c r="E3454">
        <v>33</v>
      </c>
      <c r="F3454" t="s">
        <v>28</v>
      </c>
      <c r="G3454">
        <v>777.73</v>
      </c>
      <c r="H3454">
        <v>60</v>
      </c>
      <c r="I3454" t="s">
        <v>16</v>
      </c>
      <c r="J3454">
        <v>4.0999999999999996</v>
      </c>
      <c r="K3454" t="s">
        <v>29</v>
      </c>
      <c r="L3454" t="s">
        <v>18</v>
      </c>
      <c r="M3454" t="str">
        <f>VLOOKUP(D3458,Restaurant_Master!A:B,2,FALSE)</f>
        <v>https://dineout-media-assets.swiggy.com/swiggy/image/upload/fl_lossy,f_auto,q_auto/v1660793737/fdqxvxcxg1wtdwvyv45v.jpg</v>
      </c>
    </row>
    <row r="3455" spans="1:13" x14ac:dyDescent="0.3">
      <c r="A3455" t="s">
        <v>3485</v>
      </c>
      <c r="B3455" s="1">
        <v>45621</v>
      </c>
      <c r="C3455" t="s">
        <v>36</v>
      </c>
      <c r="D3455" t="s">
        <v>38</v>
      </c>
      <c r="E3455">
        <v>37</v>
      </c>
      <c r="F3455" t="s">
        <v>15</v>
      </c>
      <c r="G3455">
        <v>349.45</v>
      </c>
      <c r="H3455">
        <v>35</v>
      </c>
      <c r="I3455" t="s">
        <v>22</v>
      </c>
      <c r="J3455">
        <v>3</v>
      </c>
      <c r="K3455" t="s">
        <v>17</v>
      </c>
      <c r="L3455" t="s">
        <v>18</v>
      </c>
      <c r="M3455" t="str">
        <f>VLOOKUP(D3459,Restaurant_Master!A:B,2,FALSE)</f>
        <v>https://dynamic-media-cdn.tripadvisor.com/media/photo-o/1c/e7/04/0d/front-of-the-local-easily.jpg</v>
      </c>
    </row>
    <row r="3456" spans="1:13" x14ac:dyDescent="0.3">
      <c r="A3456" t="s">
        <v>3486</v>
      </c>
      <c r="B3456" s="1">
        <v>45389</v>
      </c>
      <c r="C3456" t="s">
        <v>43</v>
      </c>
      <c r="D3456" t="s">
        <v>25</v>
      </c>
      <c r="E3456">
        <v>50</v>
      </c>
      <c r="F3456" t="s">
        <v>28</v>
      </c>
      <c r="G3456">
        <v>1081.95</v>
      </c>
      <c r="H3456">
        <v>31</v>
      </c>
      <c r="I3456" t="s">
        <v>22</v>
      </c>
      <c r="J3456">
        <v>4.5999999999999996</v>
      </c>
      <c r="K3456" t="s">
        <v>41</v>
      </c>
      <c r="L3456" t="s">
        <v>23</v>
      </c>
      <c r="M3456" t="str">
        <f>VLOOKUP(D3460,Restaurant_Master!A:B,2,FALSE)</f>
        <v>https://content.jdmagicbox.com/comp/deoria/g6/9999p5568.5568.200119143033.m4g6/catalogue/biryani-house-deoria-ho-deoria-mktc2xph0o.jpg</v>
      </c>
    </row>
    <row r="3457" spans="1:13" x14ac:dyDescent="0.3">
      <c r="A3457" t="s">
        <v>3487</v>
      </c>
      <c r="B3457" s="1">
        <v>45365</v>
      </c>
      <c r="C3457" t="s">
        <v>34</v>
      </c>
      <c r="D3457" t="s">
        <v>14</v>
      </c>
      <c r="E3457">
        <v>43</v>
      </c>
      <c r="F3457" t="s">
        <v>28</v>
      </c>
      <c r="G3457">
        <v>973.39</v>
      </c>
      <c r="H3457">
        <v>33</v>
      </c>
      <c r="I3457" t="s">
        <v>22</v>
      </c>
      <c r="J3457">
        <v>2.5</v>
      </c>
      <c r="K3457" t="s">
        <v>29</v>
      </c>
      <c r="L3457" t="s">
        <v>23</v>
      </c>
      <c r="M3457" t="str">
        <f>VLOOKUP(D3461,Restaurant_Master!A:B,2,FALSE)</f>
        <v>https://content.jdmagicbox.com/comp/deoria/g6/9999p5568.5568.200119143033.m4g6/catalogue/biryani-house-deoria-ho-deoria-mktc2xph0o.jpg</v>
      </c>
    </row>
    <row r="3458" spans="1:13" x14ac:dyDescent="0.3">
      <c r="A3458" t="s">
        <v>3488</v>
      </c>
      <c r="B3458" s="1">
        <v>45375</v>
      </c>
      <c r="C3458" t="s">
        <v>36</v>
      </c>
      <c r="D3458" t="s">
        <v>14</v>
      </c>
      <c r="E3458">
        <v>54</v>
      </c>
      <c r="F3458" t="s">
        <v>28</v>
      </c>
      <c r="G3458">
        <v>866.57</v>
      </c>
      <c r="H3458">
        <v>57</v>
      </c>
      <c r="I3458" t="s">
        <v>16</v>
      </c>
      <c r="J3458">
        <v>4.5</v>
      </c>
      <c r="K3458" t="s">
        <v>26</v>
      </c>
      <c r="L3458" t="s">
        <v>23</v>
      </c>
      <c r="M3458" t="str">
        <f>VLOOKUP(D3462,Restaurant_Master!A:B,2,FALSE)</f>
        <v>https://content.jdmagicbox.com/comp/deoria/g6/9999p5568.5568.200119143033.m4g6/catalogue/biryani-house-deoria-ho-deoria-mktc2xph0o.jpg</v>
      </c>
    </row>
    <row r="3459" spans="1:13" x14ac:dyDescent="0.3">
      <c r="A3459" t="s">
        <v>3489</v>
      </c>
      <c r="B3459" s="1">
        <v>45494</v>
      </c>
      <c r="C3459" t="s">
        <v>43</v>
      </c>
      <c r="D3459" t="s">
        <v>21</v>
      </c>
      <c r="E3459">
        <v>54</v>
      </c>
      <c r="F3459" t="s">
        <v>28</v>
      </c>
      <c r="G3459">
        <v>577.73</v>
      </c>
      <c r="H3459">
        <v>46</v>
      </c>
      <c r="I3459" t="s">
        <v>16</v>
      </c>
      <c r="J3459">
        <v>4.0999999999999996</v>
      </c>
      <c r="K3459" t="s">
        <v>26</v>
      </c>
      <c r="L3459" t="s">
        <v>23</v>
      </c>
      <c r="M3459" t="str">
        <f>VLOOKUP(D3463,Restaurant_Master!A:B,2,FALSE)</f>
        <v>https://dynamic-media-cdn.tripadvisor.com/media/photo-o/1c/e7/04/0d/front-of-the-local-easily.jpg</v>
      </c>
    </row>
    <row r="3460" spans="1:13" x14ac:dyDescent="0.3">
      <c r="A3460" t="s">
        <v>3490</v>
      </c>
      <c r="B3460" s="1">
        <v>45536</v>
      </c>
      <c r="C3460" t="s">
        <v>13</v>
      </c>
      <c r="D3460" t="s">
        <v>32</v>
      </c>
      <c r="E3460">
        <v>24</v>
      </c>
      <c r="F3460" t="s">
        <v>15</v>
      </c>
      <c r="G3460">
        <v>464.08</v>
      </c>
      <c r="H3460">
        <v>37</v>
      </c>
      <c r="I3460" t="s">
        <v>22</v>
      </c>
      <c r="J3460">
        <v>2.8</v>
      </c>
      <c r="K3460" t="s">
        <v>17</v>
      </c>
      <c r="L3460" t="s">
        <v>18</v>
      </c>
      <c r="M3460" t="str">
        <f>VLOOKUP(D3464,Restaurant_Master!A:B,2,FALSE)</f>
        <v>https://dineout-media-assets.swiggy.com/swiggy/image/upload/fl_lossy,f_auto,q_auto/v1660793737/fdqxvxcxg1wtdwvyv45v.jpg</v>
      </c>
    </row>
    <row r="3461" spans="1:13" x14ac:dyDescent="0.3">
      <c r="A3461" t="s">
        <v>3491</v>
      </c>
      <c r="B3461" s="1">
        <v>45487</v>
      </c>
      <c r="C3461" t="s">
        <v>36</v>
      </c>
      <c r="D3461" t="s">
        <v>32</v>
      </c>
      <c r="E3461">
        <v>51</v>
      </c>
      <c r="F3461" t="s">
        <v>15</v>
      </c>
      <c r="G3461">
        <v>236.33</v>
      </c>
      <c r="H3461">
        <v>28</v>
      </c>
      <c r="I3461" t="s">
        <v>22</v>
      </c>
      <c r="J3461">
        <v>3.9</v>
      </c>
      <c r="K3461" t="s">
        <v>26</v>
      </c>
      <c r="L3461" t="s">
        <v>18</v>
      </c>
      <c r="M3461" t="str">
        <f>VLOOKUP(D3465,Restaurant_Master!A:B,2,FALSE)</f>
        <v>https://dineout-media-assets.swiggy.com/swiggy/image/upload/fl_lossy,f_auto,q_auto/v1660793737/fdqxvxcxg1wtdwvyv45v.jpg</v>
      </c>
    </row>
    <row r="3462" spans="1:13" x14ac:dyDescent="0.3">
      <c r="A3462" t="s">
        <v>3492</v>
      </c>
      <c r="B3462" s="1">
        <v>45620</v>
      </c>
      <c r="C3462" t="s">
        <v>34</v>
      </c>
      <c r="D3462" t="s">
        <v>32</v>
      </c>
      <c r="E3462">
        <v>33</v>
      </c>
      <c r="F3462" t="s">
        <v>28</v>
      </c>
      <c r="G3462">
        <v>987.86</v>
      </c>
      <c r="H3462">
        <v>41</v>
      </c>
      <c r="I3462" t="s">
        <v>16</v>
      </c>
      <c r="J3462">
        <v>5</v>
      </c>
      <c r="K3462" t="s">
        <v>26</v>
      </c>
      <c r="L3462" t="s">
        <v>18</v>
      </c>
      <c r="M3462" t="str">
        <f>VLOOKUP(D3466,Restaurant_Master!A:B,2,FALSE)</f>
        <v>https://media-cdn.tripadvisor.com/media/photo-s/1c/c7/97/b6/photo6jpg.jpg</v>
      </c>
    </row>
    <row r="3463" spans="1:13" x14ac:dyDescent="0.3">
      <c r="A3463" t="s">
        <v>3493</v>
      </c>
      <c r="B3463" s="1">
        <v>45605</v>
      </c>
      <c r="C3463" t="s">
        <v>34</v>
      </c>
      <c r="D3463" t="s">
        <v>21</v>
      </c>
      <c r="E3463">
        <v>29</v>
      </c>
      <c r="F3463" t="s">
        <v>28</v>
      </c>
      <c r="G3463">
        <v>333.61</v>
      </c>
      <c r="H3463">
        <v>46</v>
      </c>
      <c r="I3463" t="s">
        <v>16</v>
      </c>
      <c r="J3463">
        <v>3.8</v>
      </c>
      <c r="K3463" t="s">
        <v>26</v>
      </c>
      <c r="L3463" t="s">
        <v>23</v>
      </c>
      <c r="M3463" t="str">
        <f>VLOOKUP(D3467,Restaurant_Master!A:B,2,FALSE)</f>
        <v>https://media-cdn.tripadvisor.com/media/photo-s/1c/c7/97/b6/photo6jpg.jpg</v>
      </c>
    </row>
    <row r="3464" spans="1:13" x14ac:dyDescent="0.3">
      <c r="A3464" t="s">
        <v>3494</v>
      </c>
      <c r="B3464" s="1">
        <v>45470</v>
      </c>
      <c r="C3464" t="s">
        <v>13</v>
      </c>
      <c r="D3464" t="s">
        <v>14</v>
      </c>
      <c r="E3464">
        <v>43</v>
      </c>
      <c r="F3464" t="s">
        <v>28</v>
      </c>
      <c r="G3464">
        <v>905.02</v>
      </c>
      <c r="H3464">
        <v>20</v>
      </c>
      <c r="I3464" t="s">
        <v>22</v>
      </c>
      <c r="J3464">
        <v>3.7</v>
      </c>
      <c r="K3464" t="s">
        <v>29</v>
      </c>
      <c r="L3464" t="s">
        <v>18</v>
      </c>
      <c r="M3464" t="str">
        <f>VLOOKUP(D3468,Restaurant_Master!A:B,2,FALSE)</f>
        <v>https://dineout-media-assets.swiggy.com/swiggy/image/upload/fl_lossy,f_auto,q_auto/v1660793737/fdqxvxcxg1wtdwvyv45v.jpg</v>
      </c>
    </row>
    <row r="3465" spans="1:13" x14ac:dyDescent="0.3">
      <c r="A3465" t="s">
        <v>3495</v>
      </c>
      <c r="B3465" s="1">
        <v>45308</v>
      </c>
      <c r="C3465" t="s">
        <v>13</v>
      </c>
      <c r="D3465" t="s">
        <v>14</v>
      </c>
      <c r="E3465">
        <v>53</v>
      </c>
      <c r="F3465" t="s">
        <v>15</v>
      </c>
      <c r="G3465">
        <v>1005.01</v>
      </c>
      <c r="H3465">
        <v>34</v>
      </c>
      <c r="I3465" t="s">
        <v>22</v>
      </c>
      <c r="J3465">
        <v>3</v>
      </c>
      <c r="K3465" t="s">
        <v>26</v>
      </c>
      <c r="L3465" t="s">
        <v>23</v>
      </c>
      <c r="M3465" t="str">
        <f>VLOOKUP(D3469,Restaurant_Master!A:B,2,FALSE)</f>
        <v>https://content.jdmagicbox.com/comp/deoria/g6/9999p5568.5568.200119143033.m4g6/catalogue/biryani-house-deoria-ho-deoria-mktc2xph0o.jpg</v>
      </c>
    </row>
    <row r="3466" spans="1:13" x14ac:dyDescent="0.3">
      <c r="A3466" t="s">
        <v>3496</v>
      </c>
      <c r="B3466" s="1">
        <v>45343</v>
      </c>
      <c r="C3466" t="s">
        <v>43</v>
      </c>
      <c r="D3466" t="s">
        <v>25</v>
      </c>
      <c r="E3466">
        <v>43</v>
      </c>
      <c r="F3466" t="s">
        <v>15</v>
      </c>
      <c r="G3466">
        <v>397.71</v>
      </c>
      <c r="H3466">
        <v>44</v>
      </c>
      <c r="I3466" t="s">
        <v>16</v>
      </c>
      <c r="J3466">
        <v>3.2</v>
      </c>
      <c r="K3466" t="s">
        <v>29</v>
      </c>
      <c r="L3466" t="s">
        <v>18</v>
      </c>
      <c r="M3466" t="str">
        <f>VLOOKUP(D3470,Restaurant_Master!A:B,2,FALSE)</f>
        <v>https://dynamic-media-cdn.tripadvisor.com/media/photo-o/1c/e7/04/0d/front-of-the-local-easily.jpg</v>
      </c>
    </row>
    <row r="3467" spans="1:13" x14ac:dyDescent="0.3">
      <c r="A3467" t="s">
        <v>3497</v>
      </c>
      <c r="B3467" s="1">
        <v>45430</v>
      </c>
      <c r="C3467" t="s">
        <v>13</v>
      </c>
      <c r="D3467" t="s">
        <v>25</v>
      </c>
      <c r="E3467">
        <v>53</v>
      </c>
      <c r="F3467" t="s">
        <v>28</v>
      </c>
      <c r="G3467">
        <v>474.18</v>
      </c>
      <c r="H3467">
        <v>23</v>
      </c>
      <c r="I3467" t="s">
        <v>22</v>
      </c>
      <c r="J3467">
        <v>4.4000000000000004</v>
      </c>
      <c r="K3467" t="s">
        <v>29</v>
      </c>
      <c r="L3467" t="s">
        <v>23</v>
      </c>
      <c r="M3467" t="str">
        <f>VLOOKUP(D3471,Restaurant_Master!A:B,2,FALSE)</f>
        <v>https://media-cdn.tripadvisor.com/media/photo-s/1c/c7/97/b6/photo6jpg.jpg</v>
      </c>
    </row>
    <row r="3468" spans="1:13" x14ac:dyDescent="0.3">
      <c r="A3468" t="s">
        <v>3498</v>
      </c>
      <c r="B3468" s="1">
        <v>45397</v>
      </c>
      <c r="C3468" t="s">
        <v>20</v>
      </c>
      <c r="D3468" t="s">
        <v>14</v>
      </c>
      <c r="E3468">
        <v>31</v>
      </c>
      <c r="F3468" t="s">
        <v>15</v>
      </c>
      <c r="G3468">
        <v>975.98</v>
      </c>
      <c r="H3468">
        <v>21</v>
      </c>
      <c r="I3468" t="s">
        <v>22</v>
      </c>
      <c r="J3468">
        <v>3.4</v>
      </c>
      <c r="K3468" t="s">
        <v>41</v>
      </c>
      <c r="L3468" t="s">
        <v>23</v>
      </c>
      <c r="M3468" t="str">
        <f>VLOOKUP(D3472,Restaurant_Master!A:B,2,FALSE)</f>
        <v>https://dineout-media-assets.swiggy.com/swiggy/image/upload/fl_lossy,f_auto,q_auto/v1660793737/fdqxvxcxg1wtdwvyv45v.jpg</v>
      </c>
    </row>
    <row r="3469" spans="1:13" x14ac:dyDescent="0.3">
      <c r="A3469" t="s">
        <v>3499</v>
      </c>
      <c r="B3469" s="1">
        <v>45319</v>
      </c>
      <c r="C3469" t="s">
        <v>20</v>
      </c>
      <c r="D3469" t="s">
        <v>32</v>
      </c>
      <c r="E3469">
        <v>59</v>
      </c>
      <c r="F3469" t="s">
        <v>28</v>
      </c>
      <c r="G3469">
        <v>1062.96</v>
      </c>
      <c r="H3469">
        <v>39</v>
      </c>
      <c r="I3469" t="s">
        <v>22</v>
      </c>
      <c r="J3469">
        <v>4.7</v>
      </c>
      <c r="K3469" t="s">
        <v>26</v>
      </c>
      <c r="L3469" t="s">
        <v>18</v>
      </c>
      <c r="M3469" t="str">
        <f>VLOOKUP(D3473,Restaurant_Master!A:B,2,FALSE)</f>
        <v>https://dineout-media-assets.swiggy.com/swiggy/image/upload/fl_lossy,f_auto,q_auto/v1660793737/fdqxvxcxg1wtdwvyv45v.jpg</v>
      </c>
    </row>
    <row r="3470" spans="1:13" x14ac:dyDescent="0.3">
      <c r="A3470" t="s">
        <v>3500</v>
      </c>
      <c r="B3470" s="1">
        <v>45306</v>
      </c>
      <c r="C3470" t="s">
        <v>20</v>
      </c>
      <c r="D3470" t="s">
        <v>21</v>
      </c>
      <c r="E3470">
        <v>40</v>
      </c>
      <c r="F3470" t="s">
        <v>15</v>
      </c>
      <c r="G3470">
        <v>163.31</v>
      </c>
      <c r="H3470">
        <v>29</v>
      </c>
      <c r="I3470" t="s">
        <v>22</v>
      </c>
      <c r="J3470">
        <v>3.2</v>
      </c>
      <c r="K3470" t="s">
        <v>29</v>
      </c>
      <c r="L3470" t="s">
        <v>18</v>
      </c>
      <c r="M3470" t="str">
        <f>VLOOKUP(D3474,Restaurant_Master!A:B,2,FALSE)</f>
        <v>https://media-cdn.tripadvisor.com/media/photo-s/1c/c7/97/b6/photo6jpg.jpg</v>
      </c>
    </row>
    <row r="3471" spans="1:13" x14ac:dyDescent="0.3">
      <c r="A3471" t="s">
        <v>3501</v>
      </c>
      <c r="B3471" s="1">
        <v>45555</v>
      </c>
      <c r="C3471" t="s">
        <v>34</v>
      </c>
      <c r="D3471" t="s">
        <v>25</v>
      </c>
      <c r="E3471">
        <v>57</v>
      </c>
      <c r="F3471" t="s">
        <v>15</v>
      </c>
      <c r="G3471">
        <v>861.47</v>
      </c>
      <c r="H3471">
        <v>22</v>
      </c>
      <c r="I3471" t="s">
        <v>22</v>
      </c>
      <c r="J3471">
        <v>4.3</v>
      </c>
      <c r="K3471" t="s">
        <v>29</v>
      </c>
      <c r="L3471" t="s">
        <v>23</v>
      </c>
      <c r="M3471" t="str">
        <f>VLOOKUP(D3475,Restaurant_Master!A:B,2,FALSE)</f>
        <v>https://dineout-media-assets.swiggy.com/swiggy/image/upload/fl_lossy,f_auto,q_auto/v1660793737/fdqxvxcxg1wtdwvyv45v.jpg</v>
      </c>
    </row>
    <row r="3472" spans="1:13" x14ac:dyDescent="0.3">
      <c r="A3472" t="s">
        <v>3502</v>
      </c>
      <c r="B3472" s="1">
        <v>45509</v>
      </c>
      <c r="C3472" t="s">
        <v>36</v>
      </c>
      <c r="D3472" t="s">
        <v>14</v>
      </c>
      <c r="E3472">
        <v>53</v>
      </c>
      <c r="F3472" t="s">
        <v>28</v>
      </c>
      <c r="G3472">
        <v>934.47</v>
      </c>
      <c r="H3472">
        <v>39</v>
      </c>
      <c r="I3472" t="s">
        <v>22</v>
      </c>
      <c r="J3472">
        <v>4</v>
      </c>
      <c r="K3472" t="s">
        <v>17</v>
      </c>
      <c r="L3472" t="s">
        <v>23</v>
      </c>
      <c r="M3472" t="str">
        <f>VLOOKUP(D3476,Restaurant_Master!A:B,2,FALSE)</f>
        <v>https://media-cdn.tripadvisor.com/media/photo-s/1c/c7/97/b6/photo6jpg.jpg</v>
      </c>
    </row>
    <row r="3473" spans="1:13" x14ac:dyDescent="0.3">
      <c r="A3473" t="s">
        <v>3503</v>
      </c>
      <c r="B3473" s="1">
        <v>45479</v>
      </c>
      <c r="C3473" t="s">
        <v>13</v>
      </c>
      <c r="D3473" t="s">
        <v>14</v>
      </c>
      <c r="E3473">
        <v>49</v>
      </c>
      <c r="F3473" t="s">
        <v>15</v>
      </c>
      <c r="G3473">
        <v>489.51</v>
      </c>
      <c r="H3473">
        <v>59</v>
      </c>
      <c r="I3473" t="s">
        <v>16</v>
      </c>
      <c r="J3473">
        <v>4.7</v>
      </c>
      <c r="K3473" t="s">
        <v>41</v>
      </c>
      <c r="L3473" t="s">
        <v>23</v>
      </c>
      <c r="M3473" t="str">
        <f>VLOOKUP(D3477,Restaurant_Master!A:B,2,FALSE)</f>
        <v>https://www.chatswoodinterchange.com/storages/2018/08/Sushi-World_666x448.jpg</v>
      </c>
    </row>
    <row r="3474" spans="1:13" x14ac:dyDescent="0.3">
      <c r="A3474" t="s">
        <v>3504</v>
      </c>
      <c r="B3474" s="1">
        <v>45414</v>
      </c>
      <c r="C3474" t="s">
        <v>43</v>
      </c>
      <c r="D3474" t="s">
        <v>25</v>
      </c>
      <c r="E3474">
        <v>56</v>
      </c>
      <c r="F3474" t="s">
        <v>28</v>
      </c>
      <c r="G3474">
        <v>655.55</v>
      </c>
      <c r="H3474">
        <v>45</v>
      </c>
      <c r="I3474" t="s">
        <v>16</v>
      </c>
      <c r="J3474">
        <v>2.6</v>
      </c>
      <c r="K3474" t="s">
        <v>26</v>
      </c>
      <c r="L3474" t="s">
        <v>23</v>
      </c>
      <c r="M3474" t="str">
        <f>VLOOKUP(D3478,Restaurant_Master!A:B,2,FALSE)</f>
        <v>https://content.jdmagicbox.com/comp/deoria/g6/9999p5568.5568.200119143033.m4g6/catalogue/biryani-house-deoria-ho-deoria-mktc2xph0o.jpg</v>
      </c>
    </row>
    <row r="3475" spans="1:13" x14ac:dyDescent="0.3">
      <c r="A3475" t="s">
        <v>3505</v>
      </c>
      <c r="B3475" s="1">
        <v>45609</v>
      </c>
      <c r="C3475" t="s">
        <v>20</v>
      </c>
      <c r="D3475" t="s">
        <v>14</v>
      </c>
      <c r="E3475">
        <v>48</v>
      </c>
      <c r="F3475" t="s">
        <v>28</v>
      </c>
      <c r="G3475">
        <v>284.3</v>
      </c>
      <c r="H3475">
        <v>38</v>
      </c>
      <c r="I3475" t="s">
        <v>22</v>
      </c>
      <c r="J3475">
        <v>3.8</v>
      </c>
      <c r="K3475" t="s">
        <v>29</v>
      </c>
      <c r="L3475" t="s">
        <v>23</v>
      </c>
      <c r="M3475" t="str">
        <f>VLOOKUP(D3479,Restaurant_Master!A:B,2,FALSE)</f>
        <v>https://dynamic-media-cdn.tripadvisor.com/media/photo-o/1c/e7/04/0d/front-of-the-local-easily.jpg</v>
      </c>
    </row>
    <row r="3476" spans="1:13" x14ac:dyDescent="0.3">
      <c r="A3476" t="s">
        <v>3506</v>
      </c>
      <c r="B3476" s="1">
        <v>45528</v>
      </c>
      <c r="C3476" t="s">
        <v>13</v>
      </c>
      <c r="D3476" t="s">
        <v>25</v>
      </c>
      <c r="E3476">
        <v>25</v>
      </c>
      <c r="F3476" t="s">
        <v>28</v>
      </c>
      <c r="G3476">
        <v>825.86</v>
      </c>
      <c r="H3476">
        <v>33</v>
      </c>
      <c r="I3476" t="s">
        <v>22</v>
      </c>
      <c r="J3476">
        <v>4.4000000000000004</v>
      </c>
      <c r="K3476" t="s">
        <v>17</v>
      </c>
      <c r="L3476" t="s">
        <v>23</v>
      </c>
      <c r="M3476" t="str">
        <f>VLOOKUP(D3480,Restaurant_Master!A:B,2,FALSE)</f>
        <v>https://media-cdn.tripadvisor.com/media/photo-s/1c/c7/97/b6/photo6jpg.jpg</v>
      </c>
    </row>
    <row r="3477" spans="1:13" x14ac:dyDescent="0.3">
      <c r="A3477" t="s">
        <v>3507</v>
      </c>
      <c r="B3477" s="1">
        <v>45633</v>
      </c>
      <c r="C3477" t="s">
        <v>43</v>
      </c>
      <c r="D3477" t="s">
        <v>38</v>
      </c>
      <c r="E3477">
        <v>52</v>
      </c>
      <c r="F3477" t="s">
        <v>28</v>
      </c>
      <c r="G3477">
        <v>284.45</v>
      </c>
      <c r="H3477">
        <v>25</v>
      </c>
      <c r="I3477" t="s">
        <v>22</v>
      </c>
      <c r="J3477">
        <v>4.4000000000000004</v>
      </c>
      <c r="K3477" t="s">
        <v>29</v>
      </c>
      <c r="L3477" t="s">
        <v>23</v>
      </c>
      <c r="M3477" t="str">
        <f>VLOOKUP(D3481,Restaurant_Master!A:B,2,FALSE)</f>
        <v>https://dineout-media-assets.swiggy.com/swiggy/image/upload/fl_lossy,f_auto,q_auto/v1660793737/fdqxvxcxg1wtdwvyv45v.jpg</v>
      </c>
    </row>
    <row r="3478" spans="1:13" x14ac:dyDescent="0.3">
      <c r="A3478" t="s">
        <v>3508</v>
      </c>
      <c r="B3478" s="1">
        <v>45635</v>
      </c>
      <c r="C3478" t="s">
        <v>20</v>
      </c>
      <c r="D3478" t="s">
        <v>32</v>
      </c>
      <c r="E3478">
        <v>32</v>
      </c>
      <c r="F3478" t="s">
        <v>28</v>
      </c>
      <c r="G3478">
        <v>540.91999999999996</v>
      </c>
      <c r="H3478">
        <v>58</v>
      </c>
      <c r="I3478" t="s">
        <v>16</v>
      </c>
      <c r="J3478">
        <v>3.4</v>
      </c>
      <c r="K3478" t="s">
        <v>17</v>
      </c>
      <c r="L3478" t="s">
        <v>23</v>
      </c>
      <c r="M3478" t="str">
        <f>VLOOKUP(D3482,Restaurant_Master!A:B,2,FALSE)</f>
        <v>https://www.chatswoodinterchange.com/storages/2018/08/Sushi-World_666x448.jpg</v>
      </c>
    </row>
    <row r="3479" spans="1:13" x14ac:dyDescent="0.3">
      <c r="A3479" t="s">
        <v>3509</v>
      </c>
      <c r="B3479" s="1">
        <v>45651</v>
      </c>
      <c r="C3479" t="s">
        <v>20</v>
      </c>
      <c r="D3479" t="s">
        <v>21</v>
      </c>
      <c r="E3479">
        <v>44</v>
      </c>
      <c r="F3479" t="s">
        <v>15</v>
      </c>
      <c r="G3479">
        <v>369.99</v>
      </c>
      <c r="H3479">
        <v>46</v>
      </c>
      <c r="I3479" t="s">
        <v>16</v>
      </c>
      <c r="J3479">
        <v>3.7</v>
      </c>
      <c r="K3479" t="s">
        <v>26</v>
      </c>
      <c r="L3479" t="s">
        <v>23</v>
      </c>
      <c r="M3479" t="str">
        <f>VLOOKUP(D3483,Restaurant_Master!A:B,2,FALSE)</f>
        <v>https://media-cdn.tripadvisor.com/media/photo-s/1c/c7/97/b6/photo6jpg.jpg</v>
      </c>
    </row>
    <row r="3480" spans="1:13" x14ac:dyDescent="0.3">
      <c r="A3480" t="s">
        <v>3510</v>
      </c>
      <c r="B3480" s="1">
        <v>45587</v>
      </c>
      <c r="C3480" t="s">
        <v>20</v>
      </c>
      <c r="D3480" t="s">
        <v>25</v>
      </c>
      <c r="E3480">
        <v>41</v>
      </c>
      <c r="F3480" t="s">
        <v>15</v>
      </c>
      <c r="G3480">
        <v>688.49</v>
      </c>
      <c r="H3480">
        <v>20</v>
      </c>
      <c r="I3480" t="s">
        <v>22</v>
      </c>
      <c r="J3480">
        <v>3.8</v>
      </c>
      <c r="K3480" t="s">
        <v>29</v>
      </c>
      <c r="L3480" t="s">
        <v>23</v>
      </c>
      <c r="M3480" t="str">
        <f>VLOOKUP(D3484,Restaurant_Master!A:B,2,FALSE)</f>
        <v>https://dynamic-media-cdn.tripadvisor.com/media/photo-o/1c/e7/04/0d/front-of-the-local-easily.jpg</v>
      </c>
    </row>
    <row r="3481" spans="1:13" x14ac:dyDescent="0.3">
      <c r="A3481" t="s">
        <v>3511</v>
      </c>
      <c r="B3481" s="1">
        <v>45318</v>
      </c>
      <c r="C3481" t="s">
        <v>34</v>
      </c>
      <c r="D3481" t="s">
        <v>14</v>
      </c>
      <c r="E3481">
        <v>49</v>
      </c>
      <c r="F3481" t="s">
        <v>28</v>
      </c>
      <c r="G3481">
        <v>712.1</v>
      </c>
      <c r="H3481">
        <v>45</v>
      </c>
      <c r="I3481" t="s">
        <v>16</v>
      </c>
      <c r="J3481">
        <v>3.5</v>
      </c>
      <c r="K3481" t="s">
        <v>29</v>
      </c>
      <c r="L3481" t="s">
        <v>23</v>
      </c>
      <c r="M3481" t="str">
        <f>VLOOKUP(D3485,Restaurant_Master!A:B,2,FALSE)</f>
        <v>https://media-cdn.tripadvisor.com/media/photo-s/1c/c7/97/b6/photo6jpg.jpg</v>
      </c>
    </row>
    <row r="3482" spans="1:13" x14ac:dyDescent="0.3">
      <c r="A3482" t="s">
        <v>3512</v>
      </c>
      <c r="B3482" s="1">
        <v>45490</v>
      </c>
      <c r="C3482" t="s">
        <v>43</v>
      </c>
      <c r="D3482" t="s">
        <v>38</v>
      </c>
      <c r="E3482">
        <v>41</v>
      </c>
      <c r="F3482" t="s">
        <v>28</v>
      </c>
      <c r="G3482">
        <v>563.89</v>
      </c>
      <c r="H3482">
        <v>45</v>
      </c>
      <c r="I3482" t="s">
        <v>16</v>
      </c>
      <c r="J3482">
        <v>4.9000000000000004</v>
      </c>
      <c r="K3482" t="s">
        <v>26</v>
      </c>
      <c r="L3482" t="s">
        <v>23</v>
      </c>
      <c r="M3482" t="str">
        <f>VLOOKUP(D3486,Restaurant_Master!A:B,2,FALSE)</f>
        <v>https://www.chatswoodinterchange.com/storages/2018/08/Sushi-World_666x448.jpg</v>
      </c>
    </row>
    <row r="3483" spans="1:13" x14ac:dyDescent="0.3">
      <c r="A3483" t="s">
        <v>3513</v>
      </c>
      <c r="B3483" s="1">
        <v>45335</v>
      </c>
      <c r="C3483" t="s">
        <v>43</v>
      </c>
      <c r="D3483" t="s">
        <v>25</v>
      </c>
      <c r="E3483">
        <v>40</v>
      </c>
      <c r="F3483" t="s">
        <v>28</v>
      </c>
      <c r="G3483">
        <v>885.86</v>
      </c>
      <c r="H3483">
        <v>38</v>
      </c>
      <c r="I3483" t="s">
        <v>22</v>
      </c>
      <c r="J3483">
        <v>3.4</v>
      </c>
      <c r="K3483" t="s">
        <v>29</v>
      </c>
      <c r="L3483" t="s">
        <v>23</v>
      </c>
      <c r="M3483" t="str">
        <f>VLOOKUP(D3487,Restaurant_Master!A:B,2,FALSE)</f>
        <v>https://content.jdmagicbox.com/comp/deoria/g6/9999p5568.5568.200119143033.m4g6/catalogue/biryani-house-deoria-ho-deoria-mktc2xph0o.jpg</v>
      </c>
    </row>
    <row r="3484" spans="1:13" x14ac:dyDescent="0.3">
      <c r="A3484" t="s">
        <v>3514</v>
      </c>
      <c r="B3484" s="1">
        <v>45523</v>
      </c>
      <c r="C3484" t="s">
        <v>13</v>
      </c>
      <c r="D3484" t="s">
        <v>21</v>
      </c>
      <c r="E3484">
        <v>19</v>
      </c>
      <c r="F3484" t="s">
        <v>15</v>
      </c>
      <c r="G3484">
        <v>1185.3499999999999</v>
      </c>
      <c r="H3484">
        <v>52</v>
      </c>
      <c r="I3484" t="s">
        <v>16</v>
      </c>
      <c r="J3484">
        <v>3.5</v>
      </c>
      <c r="K3484" t="s">
        <v>17</v>
      </c>
      <c r="L3484" t="s">
        <v>18</v>
      </c>
      <c r="M3484" t="str">
        <f>VLOOKUP(D3488,Restaurant_Master!A:B,2,FALSE)</f>
        <v>https://dineout-media-assets.swiggy.com/swiggy/image/upload/fl_lossy,f_auto,q_auto/v1660793737/fdqxvxcxg1wtdwvyv45v.jpg</v>
      </c>
    </row>
    <row r="3485" spans="1:13" x14ac:dyDescent="0.3">
      <c r="A3485" t="s">
        <v>3515</v>
      </c>
      <c r="B3485" s="1">
        <v>45550</v>
      </c>
      <c r="C3485" t="s">
        <v>36</v>
      </c>
      <c r="D3485" t="s">
        <v>25</v>
      </c>
      <c r="E3485">
        <v>24</v>
      </c>
      <c r="F3485" t="s">
        <v>15</v>
      </c>
      <c r="G3485">
        <v>404.73</v>
      </c>
      <c r="H3485">
        <v>26</v>
      </c>
      <c r="I3485" t="s">
        <v>22</v>
      </c>
      <c r="J3485">
        <v>4</v>
      </c>
      <c r="K3485" t="s">
        <v>17</v>
      </c>
      <c r="L3485" t="s">
        <v>23</v>
      </c>
      <c r="M3485" t="str">
        <f>VLOOKUP(D3489,Restaurant_Master!A:B,2,FALSE)</f>
        <v>https://content.jdmagicbox.com/comp/deoria/g6/9999p5568.5568.200119143033.m4g6/catalogue/biryani-house-deoria-ho-deoria-mktc2xph0o.jpg</v>
      </c>
    </row>
    <row r="3486" spans="1:13" x14ac:dyDescent="0.3">
      <c r="A3486" t="s">
        <v>3516</v>
      </c>
      <c r="B3486" s="1">
        <v>45499</v>
      </c>
      <c r="C3486" t="s">
        <v>43</v>
      </c>
      <c r="D3486" t="s">
        <v>38</v>
      </c>
      <c r="E3486">
        <v>28</v>
      </c>
      <c r="F3486" t="s">
        <v>15</v>
      </c>
      <c r="G3486">
        <v>894.26</v>
      </c>
      <c r="H3486">
        <v>46</v>
      </c>
      <c r="I3486" t="s">
        <v>16</v>
      </c>
      <c r="J3486">
        <v>4.8</v>
      </c>
      <c r="K3486" t="s">
        <v>41</v>
      </c>
      <c r="L3486" t="s">
        <v>18</v>
      </c>
      <c r="M3486" t="str">
        <f>VLOOKUP(D3490,Restaurant_Master!A:B,2,FALSE)</f>
        <v>https://www.chatswoodinterchange.com/storages/2018/08/Sushi-World_666x448.jpg</v>
      </c>
    </row>
    <row r="3487" spans="1:13" x14ac:dyDescent="0.3">
      <c r="A3487" t="s">
        <v>3517</v>
      </c>
      <c r="B3487" s="1">
        <v>45389</v>
      </c>
      <c r="C3487" t="s">
        <v>13</v>
      </c>
      <c r="D3487" t="s">
        <v>32</v>
      </c>
      <c r="E3487">
        <v>38</v>
      </c>
      <c r="F3487" t="s">
        <v>15</v>
      </c>
      <c r="G3487">
        <v>389.77</v>
      </c>
      <c r="H3487">
        <v>44</v>
      </c>
      <c r="I3487" t="s">
        <v>16</v>
      </c>
      <c r="J3487">
        <v>3.7</v>
      </c>
      <c r="K3487" t="s">
        <v>26</v>
      </c>
      <c r="L3487" t="s">
        <v>18</v>
      </c>
      <c r="M3487" t="str">
        <f>VLOOKUP(D3491,Restaurant_Master!A:B,2,FALSE)</f>
        <v>https://dynamic-media-cdn.tripadvisor.com/media/photo-o/1c/e7/04/0d/front-of-the-local-easily.jpg</v>
      </c>
    </row>
    <row r="3488" spans="1:13" x14ac:dyDescent="0.3">
      <c r="A3488" t="s">
        <v>3518</v>
      </c>
      <c r="B3488" s="1">
        <v>45339</v>
      </c>
      <c r="C3488" t="s">
        <v>13</v>
      </c>
      <c r="D3488" t="s">
        <v>14</v>
      </c>
      <c r="E3488">
        <v>29</v>
      </c>
      <c r="F3488" t="s">
        <v>28</v>
      </c>
      <c r="G3488">
        <v>282.76</v>
      </c>
      <c r="H3488">
        <v>58</v>
      </c>
      <c r="I3488" t="s">
        <v>16</v>
      </c>
      <c r="J3488">
        <v>3</v>
      </c>
      <c r="K3488" t="s">
        <v>26</v>
      </c>
      <c r="L3488" t="s">
        <v>23</v>
      </c>
      <c r="M3488" t="str">
        <f>VLOOKUP(D3492,Restaurant_Master!A:B,2,FALSE)</f>
        <v>https://content.jdmagicbox.com/comp/deoria/g6/9999p5568.5568.200119143033.m4g6/catalogue/biryani-house-deoria-ho-deoria-mktc2xph0o.jpg</v>
      </c>
    </row>
    <row r="3489" spans="1:13" x14ac:dyDescent="0.3">
      <c r="A3489" t="s">
        <v>3519</v>
      </c>
      <c r="B3489" s="1">
        <v>45637</v>
      </c>
      <c r="C3489" t="s">
        <v>36</v>
      </c>
      <c r="D3489" t="s">
        <v>32</v>
      </c>
      <c r="E3489">
        <v>21</v>
      </c>
      <c r="F3489" t="s">
        <v>28</v>
      </c>
      <c r="G3489">
        <v>940.5</v>
      </c>
      <c r="H3489">
        <v>48</v>
      </c>
      <c r="I3489" t="s">
        <v>16</v>
      </c>
      <c r="J3489">
        <v>4.3</v>
      </c>
      <c r="K3489" t="s">
        <v>29</v>
      </c>
      <c r="L3489" t="s">
        <v>18</v>
      </c>
      <c r="M3489" t="str">
        <f>VLOOKUP(D3493,Restaurant_Master!A:B,2,FALSE)</f>
        <v>https://dineout-media-assets.swiggy.com/swiggy/image/upload/fl_lossy,f_auto,q_auto/v1660793737/fdqxvxcxg1wtdwvyv45v.jpg</v>
      </c>
    </row>
    <row r="3490" spans="1:13" x14ac:dyDescent="0.3">
      <c r="A3490" t="s">
        <v>3520</v>
      </c>
      <c r="B3490" s="1">
        <v>45454</v>
      </c>
      <c r="C3490" t="s">
        <v>34</v>
      </c>
      <c r="D3490" t="s">
        <v>38</v>
      </c>
      <c r="E3490">
        <v>26</v>
      </c>
      <c r="F3490" t="s">
        <v>28</v>
      </c>
      <c r="G3490">
        <v>1191.68</v>
      </c>
      <c r="H3490">
        <v>51</v>
      </c>
      <c r="I3490" t="s">
        <v>16</v>
      </c>
      <c r="J3490">
        <v>4.5999999999999996</v>
      </c>
      <c r="K3490" t="s">
        <v>41</v>
      </c>
      <c r="L3490" t="s">
        <v>18</v>
      </c>
      <c r="M3490" t="str">
        <f>VLOOKUP(D3494,Restaurant_Master!A:B,2,FALSE)</f>
        <v>https://www.chatswoodinterchange.com/storages/2018/08/Sushi-World_666x448.jpg</v>
      </c>
    </row>
    <row r="3491" spans="1:13" x14ac:dyDescent="0.3">
      <c r="A3491" t="s">
        <v>3521</v>
      </c>
      <c r="B3491" s="1">
        <v>45365</v>
      </c>
      <c r="C3491" t="s">
        <v>43</v>
      </c>
      <c r="D3491" t="s">
        <v>21</v>
      </c>
      <c r="E3491">
        <v>22</v>
      </c>
      <c r="F3491" t="s">
        <v>15</v>
      </c>
      <c r="G3491">
        <v>880.11</v>
      </c>
      <c r="H3491">
        <v>26</v>
      </c>
      <c r="I3491" t="s">
        <v>22</v>
      </c>
      <c r="J3491">
        <v>3.1</v>
      </c>
      <c r="K3491" t="s">
        <v>41</v>
      </c>
      <c r="L3491" t="s">
        <v>23</v>
      </c>
      <c r="M3491" t="str">
        <f>VLOOKUP(D3495,Restaurant_Master!A:B,2,FALSE)</f>
        <v>https://www.chatswoodinterchange.com/storages/2018/08/Sushi-World_666x448.jpg</v>
      </c>
    </row>
    <row r="3492" spans="1:13" x14ac:dyDescent="0.3">
      <c r="A3492" t="s">
        <v>3522</v>
      </c>
      <c r="B3492" s="1">
        <v>45569</v>
      </c>
      <c r="C3492" t="s">
        <v>43</v>
      </c>
      <c r="D3492" t="s">
        <v>32</v>
      </c>
      <c r="E3492">
        <v>48</v>
      </c>
      <c r="F3492" t="s">
        <v>15</v>
      </c>
      <c r="G3492">
        <v>301.33999999999997</v>
      </c>
      <c r="H3492">
        <v>47</v>
      </c>
      <c r="I3492" t="s">
        <v>16</v>
      </c>
      <c r="J3492">
        <v>4.2</v>
      </c>
      <c r="K3492" t="s">
        <v>26</v>
      </c>
      <c r="L3492" t="s">
        <v>18</v>
      </c>
      <c r="M3492" t="str">
        <f>VLOOKUP(D3496,Restaurant_Master!A:B,2,FALSE)</f>
        <v>https://www.chatswoodinterchange.com/storages/2018/08/Sushi-World_666x448.jpg</v>
      </c>
    </row>
    <row r="3493" spans="1:13" x14ac:dyDescent="0.3">
      <c r="A3493" t="s">
        <v>3523</v>
      </c>
      <c r="B3493" s="1">
        <v>45401</v>
      </c>
      <c r="C3493" t="s">
        <v>34</v>
      </c>
      <c r="D3493" t="s">
        <v>14</v>
      </c>
      <c r="E3493">
        <v>24</v>
      </c>
      <c r="F3493" t="s">
        <v>15</v>
      </c>
      <c r="G3493">
        <v>411.69</v>
      </c>
      <c r="H3493">
        <v>58</v>
      </c>
      <c r="I3493" t="s">
        <v>16</v>
      </c>
      <c r="J3493">
        <v>2.6</v>
      </c>
      <c r="K3493" t="s">
        <v>29</v>
      </c>
      <c r="L3493" t="s">
        <v>23</v>
      </c>
      <c r="M3493" t="str">
        <f>VLOOKUP(D3497,Restaurant_Master!A:B,2,FALSE)</f>
        <v>https://dynamic-media-cdn.tripadvisor.com/media/photo-o/1c/e7/04/0d/front-of-the-local-easily.jpg</v>
      </c>
    </row>
    <row r="3494" spans="1:13" x14ac:dyDescent="0.3">
      <c r="A3494" t="s">
        <v>3524</v>
      </c>
      <c r="B3494" s="1">
        <v>45518</v>
      </c>
      <c r="C3494" t="s">
        <v>43</v>
      </c>
      <c r="D3494" t="s">
        <v>38</v>
      </c>
      <c r="E3494">
        <v>33</v>
      </c>
      <c r="F3494" t="s">
        <v>15</v>
      </c>
      <c r="G3494">
        <v>895.59</v>
      </c>
      <c r="H3494">
        <v>32</v>
      </c>
      <c r="I3494" t="s">
        <v>22</v>
      </c>
      <c r="J3494">
        <v>3.7</v>
      </c>
      <c r="K3494" t="s">
        <v>29</v>
      </c>
      <c r="L3494" t="s">
        <v>23</v>
      </c>
      <c r="M3494" t="str">
        <f>VLOOKUP(D3498,Restaurant_Master!A:B,2,FALSE)</f>
        <v>https://media-cdn.tripadvisor.com/media/photo-s/1c/c7/97/b6/photo6jpg.jpg</v>
      </c>
    </row>
    <row r="3495" spans="1:13" x14ac:dyDescent="0.3">
      <c r="A3495" t="s">
        <v>3525</v>
      </c>
      <c r="B3495" s="1">
        <v>45353</v>
      </c>
      <c r="C3495" t="s">
        <v>36</v>
      </c>
      <c r="D3495" t="s">
        <v>38</v>
      </c>
      <c r="E3495">
        <v>19</v>
      </c>
      <c r="F3495" t="s">
        <v>15</v>
      </c>
      <c r="G3495">
        <v>679.59</v>
      </c>
      <c r="H3495">
        <v>58</v>
      </c>
      <c r="I3495" t="s">
        <v>16</v>
      </c>
      <c r="J3495">
        <v>2.5</v>
      </c>
      <c r="K3495" t="s">
        <v>41</v>
      </c>
      <c r="L3495" t="s">
        <v>18</v>
      </c>
      <c r="M3495" t="str">
        <f>VLOOKUP(D3499,Restaurant_Master!A:B,2,FALSE)</f>
        <v>https://dineout-media-assets.swiggy.com/swiggy/image/upload/fl_lossy,f_auto,q_auto/v1660793737/fdqxvxcxg1wtdwvyv45v.jpg</v>
      </c>
    </row>
    <row r="3496" spans="1:13" x14ac:dyDescent="0.3">
      <c r="A3496" t="s">
        <v>3526</v>
      </c>
      <c r="B3496" s="1">
        <v>45484</v>
      </c>
      <c r="C3496" t="s">
        <v>20</v>
      </c>
      <c r="D3496" t="s">
        <v>38</v>
      </c>
      <c r="E3496">
        <v>27</v>
      </c>
      <c r="F3496" t="s">
        <v>15</v>
      </c>
      <c r="G3496">
        <v>248.31</v>
      </c>
      <c r="H3496">
        <v>44</v>
      </c>
      <c r="I3496" t="s">
        <v>16</v>
      </c>
      <c r="J3496">
        <v>4.8</v>
      </c>
      <c r="K3496" t="s">
        <v>29</v>
      </c>
      <c r="L3496" t="s">
        <v>18</v>
      </c>
      <c r="M3496" t="str">
        <f>VLOOKUP(D3500,Restaurant_Master!A:B,2,FALSE)</f>
        <v>https://dineout-media-assets.swiggy.com/swiggy/image/upload/fl_lossy,f_auto,q_auto/v1660793737/fdqxvxcxg1wtdwvyv45v.jpg</v>
      </c>
    </row>
    <row r="3497" spans="1:13" x14ac:dyDescent="0.3">
      <c r="A3497" t="s">
        <v>3527</v>
      </c>
      <c r="B3497" s="1">
        <v>45593</v>
      </c>
      <c r="C3497" t="s">
        <v>36</v>
      </c>
      <c r="D3497" t="s">
        <v>21</v>
      </c>
      <c r="E3497">
        <v>53</v>
      </c>
      <c r="F3497" t="s">
        <v>15</v>
      </c>
      <c r="G3497">
        <v>1051.1500000000001</v>
      </c>
      <c r="H3497">
        <v>23</v>
      </c>
      <c r="I3497" t="s">
        <v>22</v>
      </c>
      <c r="J3497">
        <v>3.8</v>
      </c>
      <c r="K3497" t="s">
        <v>26</v>
      </c>
      <c r="L3497" t="s">
        <v>18</v>
      </c>
      <c r="M3497" t="str">
        <f>VLOOKUP(D3501,Restaurant_Master!A:B,2,FALSE)</f>
        <v>https://dynamic-media-cdn.tripadvisor.com/media/photo-o/1c/e7/04/0d/front-of-the-local-easily.jpg</v>
      </c>
    </row>
    <row r="3498" spans="1:13" x14ac:dyDescent="0.3">
      <c r="A3498" t="s">
        <v>3528</v>
      </c>
      <c r="B3498" s="1">
        <v>45431</v>
      </c>
      <c r="C3498" t="s">
        <v>20</v>
      </c>
      <c r="D3498" t="s">
        <v>25</v>
      </c>
      <c r="E3498">
        <v>52</v>
      </c>
      <c r="F3498" t="s">
        <v>15</v>
      </c>
      <c r="G3498">
        <v>344.18</v>
      </c>
      <c r="H3498">
        <v>51</v>
      </c>
      <c r="I3498" t="s">
        <v>16</v>
      </c>
      <c r="J3498">
        <v>3.9</v>
      </c>
      <c r="K3498" t="s">
        <v>29</v>
      </c>
      <c r="L3498" t="s">
        <v>18</v>
      </c>
      <c r="M3498" t="str">
        <f>VLOOKUP(D3502,Restaurant_Master!A:B,2,FALSE)</f>
        <v>https://content.jdmagicbox.com/comp/deoria/g6/9999p5568.5568.200119143033.m4g6/catalogue/biryani-house-deoria-ho-deoria-mktc2xph0o.jpg</v>
      </c>
    </row>
    <row r="3499" spans="1:13" x14ac:dyDescent="0.3">
      <c r="A3499" t="s">
        <v>3529</v>
      </c>
      <c r="B3499" s="1">
        <v>45568</v>
      </c>
      <c r="C3499" t="s">
        <v>43</v>
      </c>
      <c r="D3499" t="s">
        <v>14</v>
      </c>
      <c r="E3499">
        <v>26</v>
      </c>
      <c r="F3499" t="s">
        <v>15</v>
      </c>
      <c r="G3499">
        <v>376.83</v>
      </c>
      <c r="H3499">
        <v>47</v>
      </c>
      <c r="I3499" t="s">
        <v>16</v>
      </c>
      <c r="J3499">
        <v>4.5999999999999996</v>
      </c>
      <c r="K3499" t="s">
        <v>26</v>
      </c>
      <c r="L3499" t="s">
        <v>23</v>
      </c>
      <c r="M3499" t="str">
        <f>VLOOKUP(D3503,Restaurant_Master!A:B,2,FALSE)</f>
        <v>https://media-cdn.tripadvisor.com/media/photo-s/1c/c7/97/b6/photo6jpg.jpg</v>
      </c>
    </row>
    <row r="3500" spans="1:13" x14ac:dyDescent="0.3">
      <c r="A3500" t="s">
        <v>3530</v>
      </c>
      <c r="B3500" s="1">
        <v>45597</v>
      </c>
      <c r="C3500" t="s">
        <v>20</v>
      </c>
      <c r="D3500" t="s">
        <v>14</v>
      </c>
      <c r="E3500">
        <v>29</v>
      </c>
      <c r="F3500" t="s">
        <v>15</v>
      </c>
      <c r="G3500">
        <v>758.52</v>
      </c>
      <c r="H3500">
        <v>31</v>
      </c>
      <c r="I3500" t="s">
        <v>22</v>
      </c>
      <c r="J3500">
        <v>3.9</v>
      </c>
      <c r="K3500" t="s">
        <v>41</v>
      </c>
      <c r="L3500" t="s">
        <v>23</v>
      </c>
      <c r="M3500" t="str">
        <f>VLOOKUP(D3504,Restaurant_Master!A:B,2,FALSE)</f>
        <v>https://media-cdn.tripadvisor.com/media/photo-s/1c/c7/97/b6/photo6jpg.jpg</v>
      </c>
    </row>
    <row r="3501" spans="1:13" x14ac:dyDescent="0.3">
      <c r="A3501" t="s">
        <v>3531</v>
      </c>
      <c r="B3501" s="1">
        <v>45524</v>
      </c>
      <c r="C3501" t="s">
        <v>36</v>
      </c>
      <c r="D3501" t="s">
        <v>21</v>
      </c>
      <c r="E3501">
        <v>46</v>
      </c>
      <c r="F3501" t="s">
        <v>28</v>
      </c>
      <c r="G3501">
        <v>832.66</v>
      </c>
      <c r="H3501">
        <v>41</v>
      </c>
      <c r="I3501" t="s">
        <v>16</v>
      </c>
      <c r="J3501">
        <v>4.7</v>
      </c>
      <c r="K3501" t="s">
        <v>26</v>
      </c>
      <c r="L3501" t="s">
        <v>18</v>
      </c>
      <c r="M3501" t="str">
        <f>VLOOKUP(D3505,Restaurant_Master!A:B,2,FALSE)</f>
        <v>https://www.chatswoodinterchange.com/storages/2018/08/Sushi-World_666x448.jpg</v>
      </c>
    </row>
    <row r="3502" spans="1:13" x14ac:dyDescent="0.3">
      <c r="A3502" t="s">
        <v>3532</v>
      </c>
      <c r="B3502" s="1">
        <v>45535</v>
      </c>
      <c r="C3502" t="s">
        <v>36</v>
      </c>
      <c r="D3502" t="s">
        <v>32</v>
      </c>
      <c r="E3502">
        <v>51</v>
      </c>
      <c r="F3502" t="s">
        <v>15</v>
      </c>
      <c r="G3502">
        <v>934.5</v>
      </c>
      <c r="H3502">
        <v>20</v>
      </c>
      <c r="I3502" t="s">
        <v>22</v>
      </c>
      <c r="J3502">
        <v>3.1</v>
      </c>
      <c r="K3502" t="s">
        <v>41</v>
      </c>
      <c r="L3502" t="s">
        <v>23</v>
      </c>
      <c r="M3502" t="str">
        <f>VLOOKUP(D3506,Restaurant_Master!A:B,2,FALSE)</f>
        <v>https://dineout-media-assets.swiggy.com/swiggy/image/upload/fl_lossy,f_auto,q_auto/v1660793737/fdqxvxcxg1wtdwvyv45v.jpg</v>
      </c>
    </row>
    <row r="3503" spans="1:13" x14ac:dyDescent="0.3">
      <c r="A3503" t="s">
        <v>3533</v>
      </c>
      <c r="B3503" s="1">
        <v>45409</v>
      </c>
      <c r="C3503" t="s">
        <v>20</v>
      </c>
      <c r="D3503" t="s">
        <v>25</v>
      </c>
      <c r="E3503">
        <v>44</v>
      </c>
      <c r="F3503" t="s">
        <v>28</v>
      </c>
      <c r="G3503">
        <v>771.27</v>
      </c>
      <c r="H3503">
        <v>50</v>
      </c>
      <c r="I3503" t="s">
        <v>16</v>
      </c>
      <c r="J3503">
        <v>2.7</v>
      </c>
      <c r="K3503" t="s">
        <v>26</v>
      </c>
      <c r="L3503" t="s">
        <v>18</v>
      </c>
      <c r="M3503" t="str">
        <f>VLOOKUP(D3507,Restaurant_Master!A:B,2,FALSE)</f>
        <v>https://www.chatswoodinterchange.com/storages/2018/08/Sushi-World_666x448.jpg</v>
      </c>
    </row>
    <row r="3504" spans="1:13" x14ac:dyDescent="0.3">
      <c r="A3504" t="s">
        <v>3534</v>
      </c>
      <c r="B3504" s="1">
        <v>45333</v>
      </c>
      <c r="C3504" t="s">
        <v>20</v>
      </c>
      <c r="D3504" t="s">
        <v>25</v>
      </c>
      <c r="E3504">
        <v>29</v>
      </c>
      <c r="F3504" t="s">
        <v>15</v>
      </c>
      <c r="G3504">
        <v>238.91</v>
      </c>
      <c r="H3504">
        <v>30</v>
      </c>
      <c r="I3504" t="s">
        <v>22</v>
      </c>
      <c r="J3504">
        <v>3.5</v>
      </c>
      <c r="K3504" t="s">
        <v>41</v>
      </c>
      <c r="L3504" t="s">
        <v>23</v>
      </c>
      <c r="M3504" t="str">
        <f>VLOOKUP(D3508,Restaurant_Master!A:B,2,FALSE)</f>
        <v>https://dynamic-media-cdn.tripadvisor.com/media/photo-o/1c/e7/04/0d/front-of-the-local-easily.jpg</v>
      </c>
    </row>
    <row r="3505" spans="1:13" x14ac:dyDescent="0.3">
      <c r="A3505" t="s">
        <v>3535</v>
      </c>
      <c r="B3505" s="1">
        <v>45551</v>
      </c>
      <c r="C3505" t="s">
        <v>13</v>
      </c>
      <c r="D3505" t="s">
        <v>38</v>
      </c>
      <c r="E3505">
        <v>21</v>
      </c>
      <c r="F3505" t="s">
        <v>28</v>
      </c>
      <c r="G3505">
        <v>621.04999999999995</v>
      </c>
      <c r="H3505">
        <v>25</v>
      </c>
      <c r="I3505" t="s">
        <v>22</v>
      </c>
      <c r="J3505">
        <v>3.4</v>
      </c>
      <c r="K3505" t="s">
        <v>26</v>
      </c>
      <c r="L3505" t="s">
        <v>23</v>
      </c>
      <c r="M3505" t="str">
        <f>VLOOKUP(D3509,Restaurant_Master!A:B,2,FALSE)</f>
        <v>https://content.jdmagicbox.com/comp/deoria/g6/9999p5568.5568.200119143033.m4g6/catalogue/biryani-house-deoria-ho-deoria-mktc2xph0o.jpg</v>
      </c>
    </row>
    <row r="3506" spans="1:13" x14ac:dyDescent="0.3">
      <c r="A3506" t="s">
        <v>3536</v>
      </c>
      <c r="B3506" s="1">
        <v>45489</v>
      </c>
      <c r="C3506" t="s">
        <v>43</v>
      </c>
      <c r="D3506" t="s">
        <v>14</v>
      </c>
      <c r="E3506">
        <v>32</v>
      </c>
      <c r="F3506" t="s">
        <v>15</v>
      </c>
      <c r="G3506">
        <v>245.58</v>
      </c>
      <c r="H3506">
        <v>36</v>
      </c>
      <c r="I3506" t="s">
        <v>22</v>
      </c>
      <c r="J3506">
        <v>4.4000000000000004</v>
      </c>
      <c r="K3506" t="s">
        <v>17</v>
      </c>
      <c r="L3506" t="s">
        <v>18</v>
      </c>
      <c r="M3506" t="str">
        <f>VLOOKUP(D3510,Restaurant_Master!A:B,2,FALSE)</f>
        <v>https://media-cdn.tripadvisor.com/media/photo-s/1c/c7/97/b6/photo6jpg.jpg</v>
      </c>
    </row>
    <row r="3507" spans="1:13" x14ac:dyDescent="0.3">
      <c r="A3507" t="s">
        <v>3537</v>
      </c>
      <c r="B3507" s="1">
        <v>45591</v>
      </c>
      <c r="C3507" t="s">
        <v>43</v>
      </c>
      <c r="D3507" t="s">
        <v>38</v>
      </c>
      <c r="E3507">
        <v>59</v>
      </c>
      <c r="F3507" t="s">
        <v>28</v>
      </c>
      <c r="G3507">
        <v>1046.79</v>
      </c>
      <c r="H3507">
        <v>60</v>
      </c>
      <c r="I3507" t="s">
        <v>16</v>
      </c>
      <c r="J3507">
        <v>3.2</v>
      </c>
      <c r="K3507" t="s">
        <v>26</v>
      </c>
      <c r="L3507" t="s">
        <v>18</v>
      </c>
      <c r="M3507" t="str">
        <f>VLOOKUP(D3511,Restaurant_Master!A:B,2,FALSE)</f>
        <v>https://content.jdmagicbox.com/comp/deoria/g6/9999p5568.5568.200119143033.m4g6/catalogue/biryani-house-deoria-ho-deoria-mktc2xph0o.jpg</v>
      </c>
    </row>
    <row r="3508" spans="1:13" x14ac:dyDescent="0.3">
      <c r="A3508" t="s">
        <v>3538</v>
      </c>
      <c r="B3508" s="1">
        <v>45554</v>
      </c>
      <c r="C3508" t="s">
        <v>20</v>
      </c>
      <c r="D3508" t="s">
        <v>21</v>
      </c>
      <c r="E3508">
        <v>48</v>
      </c>
      <c r="F3508" t="s">
        <v>15</v>
      </c>
      <c r="G3508">
        <v>168.1</v>
      </c>
      <c r="H3508">
        <v>56</v>
      </c>
      <c r="I3508" t="s">
        <v>16</v>
      </c>
      <c r="J3508">
        <v>3</v>
      </c>
      <c r="K3508" t="s">
        <v>41</v>
      </c>
      <c r="L3508" t="s">
        <v>23</v>
      </c>
      <c r="M3508" t="str">
        <f>VLOOKUP(D3512,Restaurant_Master!A:B,2,FALSE)</f>
        <v>https://dineout-media-assets.swiggy.com/swiggy/image/upload/fl_lossy,f_auto,q_auto/v1660793737/fdqxvxcxg1wtdwvyv45v.jpg</v>
      </c>
    </row>
    <row r="3509" spans="1:13" x14ac:dyDescent="0.3">
      <c r="A3509" t="s">
        <v>3539</v>
      </c>
      <c r="B3509" s="1">
        <v>45523</v>
      </c>
      <c r="C3509" t="s">
        <v>20</v>
      </c>
      <c r="D3509" t="s">
        <v>32</v>
      </c>
      <c r="E3509">
        <v>45</v>
      </c>
      <c r="F3509" t="s">
        <v>28</v>
      </c>
      <c r="G3509">
        <v>1155.57</v>
      </c>
      <c r="H3509">
        <v>30</v>
      </c>
      <c r="I3509" t="s">
        <v>22</v>
      </c>
      <c r="J3509">
        <v>4.0999999999999996</v>
      </c>
      <c r="K3509" t="s">
        <v>26</v>
      </c>
      <c r="L3509" t="s">
        <v>23</v>
      </c>
      <c r="M3509" t="str">
        <f>VLOOKUP(D3513,Restaurant_Master!A:B,2,FALSE)</f>
        <v>https://media-cdn.tripadvisor.com/media/photo-s/1c/c7/97/b6/photo6jpg.jpg</v>
      </c>
    </row>
    <row r="3510" spans="1:13" x14ac:dyDescent="0.3">
      <c r="A3510" t="s">
        <v>3540</v>
      </c>
      <c r="B3510" s="1">
        <v>45607</v>
      </c>
      <c r="C3510" t="s">
        <v>36</v>
      </c>
      <c r="D3510" t="s">
        <v>25</v>
      </c>
      <c r="E3510">
        <v>43</v>
      </c>
      <c r="F3510" t="s">
        <v>15</v>
      </c>
      <c r="G3510">
        <v>718.01</v>
      </c>
      <c r="H3510">
        <v>52</v>
      </c>
      <c r="I3510" t="s">
        <v>16</v>
      </c>
      <c r="J3510">
        <v>3</v>
      </c>
      <c r="K3510" t="s">
        <v>29</v>
      </c>
      <c r="L3510" t="s">
        <v>23</v>
      </c>
      <c r="M3510" t="str">
        <f>VLOOKUP(D3514,Restaurant_Master!A:B,2,FALSE)</f>
        <v>https://content.jdmagicbox.com/comp/deoria/g6/9999p5568.5568.200119143033.m4g6/catalogue/biryani-house-deoria-ho-deoria-mktc2xph0o.jpg</v>
      </c>
    </row>
    <row r="3511" spans="1:13" x14ac:dyDescent="0.3">
      <c r="A3511" t="s">
        <v>3541</v>
      </c>
      <c r="B3511" s="1">
        <v>45568</v>
      </c>
      <c r="C3511" t="s">
        <v>34</v>
      </c>
      <c r="D3511" t="s">
        <v>32</v>
      </c>
      <c r="E3511">
        <v>60</v>
      </c>
      <c r="F3511" t="s">
        <v>15</v>
      </c>
      <c r="G3511">
        <v>687.79</v>
      </c>
      <c r="H3511">
        <v>29</v>
      </c>
      <c r="I3511" t="s">
        <v>22</v>
      </c>
      <c r="J3511">
        <v>4.9000000000000004</v>
      </c>
      <c r="K3511" t="s">
        <v>41</v>
      </c>
      <c r="L3511" t="s">
        <v>18</v>
      </c>
      <c r="M3511" t="str">
        <f>VLOOKUP(D3515,Restaurant_Master!A:B,2,FALSE)</f>
        <v>https://dineout-media-assets.swiggy.com/swiggy/image/upload/fl_lossy,f_auto,q_auto/v1660793737/fdqxvxcxg1wtdwvyv45v.jpg</v>
      </c>
    </row>
    <row r="3512" spans="1:13" x14ac:dyDescent="0.3">
      <c r="A3512" t="s">
        <v>3542</v>
      </c>
      <c r="B3512" s="1">
        <v>45548</v>
      </c>
      <c r="C3512" t="s">
        <v>34</v>
      </c>
      <c r="D3512" t="s">
        <v>14</v>
      </c>
      <c r="E3512">
        <v>54</v>
      </c>
      <c r="F3512" t="s">
        <v>15</v>
      </c>
      <c r="G3512">
        <v>356.53</v>
      </c>
      <c r="H3512">
        <v>31</v>
      </c>
      <c r="I3512" t="s">
        <v>22</v>
      </c>
      <c r="J3512">
        <v>4.0999999999999996</v>
      </c>
      <c r="K3512" t="s">
        <v>17</v>
      </c>
      <c r="L3512" t="s">
        <v>18</v>
      </c>
      <c r="M3512" t="str">
        <f>VLOOKUP(D3516,Restaurant_Master!A:B,2,FALSE)</f>
        <v>https://dineout-media-assets.swiggy.com/swiggy/image/upload/fl_lossy,f_auto,q_auto/v1660793737/fdqxvxcxg1wtdwvyv45v.jpg</v>
      </c>
    </row>
    <row r="3513" spans="1:13" x14ac:dyDescent="0.3">
      <c r="A3513" t="s">
        <v>3543</v>
      </c>
      <c r="B3513" s="1">
        <v>45465</v>
      </c>
      <c r="C3513" t="s">
        <v>20</v>
      </c>
      <c r="D3513" t="s">
        <v>25</v>
      </c>
      <c r="E3513">
        <v>50</v>
      </c>
      <c r="F3513" t="s">
        <v>28</v>
      </c>
      <c r="G3513">
        <v>406.72</v>
      </c>
      <c r="H3513">
        <v>37</v>
      </c>
      <c r="I3513" t="s">
        <v>22</v>
      </c>
      <c r="J3513">
        <v>4</v>
      </c>
      <c r="K3513" t="s">
        <v>17</v>
      </c>
      <c r="L3513" t="s">
        <v>23</v>
      </c>
      <c r="M3513" t="str">
        <f>VLOOKUP(D3517,Restaurant_Master!A:B,2,FALSE)</f>
        <v>https://www.chatswoodinterchange.com/storages/2018/08/Sushi-World_666x448.jpg</v>
      </c>
    </row>
    <row r="3514" spans="1:13" x14ac:dyDescent="0.3">
      <c r="A3514" t="s">
        <v>3544</v>
      </c>
      <c r="B3514" s="1">
        <v>45655</v>
      </c>
      <c r="C3514" t="s">
        <v>43</v>
      </c>
      <c r="D3514" t="s">
        <v>32</v>
      </c>
      <c r="E3514">
        <v>22</v>
      </c>
      <c r="F3514" t="s">
        <v>28</v>
      </c>
      <c r="G3514">
        <v>455.8</v>
      </c>
      <c r="H3514">
        <v>33</v>
      </c>
      <c r="I3514" t="s">
        <v>22</v>
      </c>
      <c r="J3514">
        <v>3.9</v>
      </c>
      <c r="K3514" t="s">
        <v>26</v>
      </c>
      <c r="L3514" t="s">
        <v>18</v>
      </c>
      <c r="M3514" t="str">
        <f>VLOOKUP(D3518,Restaurant_Master!A:B,2,FALSE)</f>
        <v>https://content.jdmagicbox.com/comp/deoria/g6/9999p5568.5568.200119143033.m4g6/catalogue/biryani-house-deoria-ho-deoria-mktc2xph0o.jpg</v>
      </c>
    </row>
    <row r="3515" spans="1:13" x14ac:dyDescent="0.3">
      <c r="A3515" t="s">
        <v>3545</v>
      </c>
      <c r="B3515" s="1">
        <v>45455</v>
      </c>
      <c r="C3515" t="s">
        <v>34</v>
      </c>
      <c r="D3515" t="s">
        <v>14</v>
      </c>
      <c r="E3515">
        <v>39</v>
      </c>
      <c r="F3515" t="s">
        <v>15</v>
      </c>
      <c r="G3515">
        <v>1053.77</v>
      </c>
      <c r="H3515">
        <v>43</v>
      </c>
      <c r="I3515" t="s">
        <v>16</v>
      </c>
      <c r="J3515">
        <v>3.9</v>
      </c>
      <c r="K3515" t="s">
        <v>29</v>
      </c>
      <c r="L3515" t="s">
        <v>23</v>
      </c>
      <c r="M3515" t="str">
        <f>VLOOKUP(D3519,Restaurant_Master!A:B,2,FALSE)</f>
        <v>https://dineout-media-assets.swiggy.com/swiggy/image/upload/fl_lossy,f_auto,q_auto/v1660793737/fdqxvxcxg1wtdwvyv45v.jpg</v>
      </c>
    </row>
    <row r="3516" spans="1:13" x14ac:dyDescent="0.3">
      <c r="A3516" t="s">
        <v>3546</v>
      </c>
      <c r="B3516" s="1">
        <v>45651</v>
      </c>
      <c r="C3516" t="s">
        <v>36</v>
      </c>
      <c r="D3516" t="s">
        <v>14</v>
      </c>
      <c r="E3516">
        <v>38</v>
      </c>
      <c r="F3516" t="s">
        <v>28</v>
      </c>
      <c r="G3516">
        <v>985.54</v>
      </c>
      <c r="H3516">
        <v>33</v>
      </c>
      <c r="I3516" t="s">
        <v>22</v>
      </c>
      <c r="J3516">
        <v>4.4000000000000004</v>
      </c>
      <c r="K3516" t="s">
        <v>29</v>
      </c>
      <c r="L3516" t="s">
        <v>23</v>
      </c>
      <c r="M3516" t="str">
        <f>VLOOKUP(D3520,Restaurant_Master!A:B,2,FALSE)</f>
        <v>https://content.jdmagicbox.com/comp/deoria/g6/9999p5568.5568.200119143033.m4g6/catalogue/biryani-house-deoria-ho-deoria-mktc2xph0o.jpg</v>
      </c>
    </row>
    <row r="3517" spans="1:13" x14ac:dyDescent="0.3">
      <c r="A3517" t="s">
        <v>3547</v>
      </c>
      <c r="B3517" s="1">
        <v>45640</v>
      </c>
      <c r="C3517" t="s">
        <v>20</v>
      </c>
      <c r="D3517" t="s">
        <v>38</v>
      </c>
      <c r="E3517">
        <v>33</v>
      </c>
      <c r="F3517" t="s">
        <v>28</v>
      </c>
      <c r="G3517">
        <v>968.5</v>
      </c>
      <c r="H3517">
        <v>56</v>
      </c>
      <c r="I3517" t="s">
        <v>16</v>
      </c>
      <c r="J3517">
        <v>3</v>
      </c>
      <c r="K3517" t="s">
        <v>26</v>
      </c>
      <c r="L3517" t="s">
        <v>18</v>
      </c>
      <c r="M3517" t="str">
        <f>VLOOKUP(D3521,Restaurant_Master!A:B,2,FALSE)</f>
        <v>https://content.jdmagicbox.com/comp/deoria/g6/9999p5568.5568.200119143033.m4g6/catalogue/biryani-house-deoria-ho-deoria-mktc2xph0o.jpg</v>
      </c>
    </row>
    <row r="3518" spans="1:13" x14ac:dyDescent="0.3">
      <c r="A3518" t="s">
        <v>3548</v>
      </c>
      <c r="B3518" s="1">
        <v>45548</v>
      </c>
      <c r="C3518" t="s">
        <v>36</v>
      </c>
      <c r="D3518" t="s">
        <v>32</v>
      </c>
      <c r="E3518">
        <v>45</v>
      </c>
      <c r="F3518" t="s">
        <v>28</v>
      </c>
      <c r="G3518">
        <v>163.13999999999999</v>
      </c>
      <c r="H3518">
        <v>53</v>
      </c>
      <c r="I3518" t="s">
        <v>16</v>
      </c>
      <c r="J3518">
        <v>4.2</v>
      </c>
      <c r="K3518" t="s">
        <v>17</v>
      </c>
      <c r="L3518" t="s">
        <v>18</v>
      </c>
      <c r="M3518" t="str">
        <f>VLOOKUP(D3522,Restaurant_Master!A:B,2,FALSE)</f>
        <v>https://media-cdn.tripadvisor.com/media/photo-s/1c/c7/97/b6/photo6jpg.jpg</v>
      </c>
    </row>
    <row r="3519" spans="1:13" x14ac:dyDescent="0.3">
      <c r="A3519" t="s">
        <v>3549</v>
      </c>
      <c r="B3519" s="1">
        <v>45441</v>
      </c>
      <c r="C3519" t="s">
        <v>13</v>
      </c>
      <c r="D3519" t="s">
        <v>14</v>
      </c>
      <c r="E3519">
        <v>46</v>
      </c>
      <c r="F3519" t="s">
        <v>28</v>
      </c>
      <c r="G3519">
        <v>446.93</v>
      </c>
      <c r="H3519">
        <v>27</v>
      </c>
      <c r="I3519" t="s">
        <v>22</v>
      </c>
      <c r="J3519">
        <v>2.6</v>
      </c>
      <c r="K3519" t="s">
        <v>41</v>
      </c>
      <c r="L3519" t="s">
        <v>23</v>
      </c>
      <c r="M3519" t="str">
        <f>VLOOKUP(D3523,Restaurant_Master!A:B,2,FALSE)</f>
        <v>https://dineout-media-assets.swiggy.com/swiggy/image/upload/fl_lossy,f_auto,q_auto/v1660793737/fdqxvxcxg1wtdwvyv45v.jpg</v>
      </c>
    </row>
    <row r="3520" spans="1:13" x14ac:dyDescent="0.3">
      <c r="A3520" t="s">
        <v>3550</v>
      </c>
      <c r="B3520" s="1">
        <v>45500</v>
      </c>
      <c r="C3520" t="s">
        <v>36</v>
      </c>
      <c r="D3520" t="s">
        <v>32</v>
      </c>
      <c r="E3520">
        <v>42</v>
      </c>
      <c r="F3520" t="s">
        <v>28</v>
      </c>
      <c r="G3520">
        <v>823.89</v>
      </c>
      <c r="H3520">
        <v>27</v>
      </c>
      <c r="I3520" t="s">
        <v>22</v>
      </c>
      <c r="J3520">
        <v>3.5</v>
      </c>
      <c r="K3520" t="s">
        <v>29</v>
      </c>
      <c r="L3520" t="s">
        <v>18</v>
      </c>
      <c r="M3520" t="str">
        <f>VLOOKUP(D3524,Restaurant_Master!A:B,2,FALSE)</f>
        <v>https://dineout-media-assets.swiggy.com/swiggy/image/upload/fl_lossy,f_auto,q_auto/v1660793737/fdqxvxcxg1wtdwvyv45v.jpg</v>
      </c>
    </row>
    <row r="3521" spans="1:13" x14ac:dyDescent="0.3">
      <c r="A3521" t="s">
        <v>3551</v>
      </c>
      <c r="B3521" s="1">
        <v>45549</v>
      </c>
      <c r="C3521" t="s">
        <v>43</v>
      </c>
      <c r="D3521" t="s">
        <v>32</v>
      </c>
      <c r="E3521">
        <v>22</v>
      </c>
      <c r="F3521" t="s">
        <v>28</v>
      </c>
      <c r="G3521">
        <v>875.94</v>
      </c>
      <c r="H3521">
        <v>60</v>
      </c>
      <c r="I3521" t="s">
        <v>16</v>
      </c>
      <c r="J3521">
        <v>2.9</v>
      </c>
      <c r="K3521" t="s">
        <v>17</v>
      </c>
      <c r="L3521" t="s">
        <v>23</v>
      </c>
      <c r="M3521" t="str">
        <f>VLOOKUP(D3525,Restaurant_Master!A:B,2,FALSE)</f>
        <v>https://dynamic-media-cdn.tripadvisor.com/media/photo-o/1c/e7/04/0d/front-of-the-local-easily.jpg</v>
      </c>
    </row>
    <row r="3522" spans="1:13" x14ac:dyDescent="0.3">
      <c r="A3522" t="s">
        <v>3552</v>
      </c>
      <c r="B3522" s="1">
        <v>45626</v>
      </c>
      <c r="C3522" t="s">
        <v>43</v>
      </c>
      <c r="D3522" t="s">
        <v>25</v>
      </c>
      <c r="E3522">
        <v>21</v>
      </c>
      <c r="F3522" t="s">
        <v>15</v>
      </c>
      <c r="G3522">
        <v>509.48</v>
      </c>
      <c r="H3522">
        <v>48</v>
      </c>
      <c r="I3522" t="s">
        <v>16</v>
      </c>
      <c r="J3522">
        <v>4.9000000000000004</v>
      </c>
      <c r="K3522" t="s">
        <v>17</v>
      </c>
      <c r="L3522" t="s">
        <v>18</v>
      </c>
      <c r="M3522" t="str">
        <f>VLOOKUP(D3526,Restaurant_Master!A:B,2,FALSE)</f>
        <v>https://dynamic-media-cdn.tripadvisor.com/media/photo-o/1c/e7/04/0d/front-of-the-local-easily.jpg</v>
      </c>
    </row>
    <row r="3523" spans="1:13" x14ac:dyDescent="0.3">
      <c r="A3523" t="s">
        <v>3553</v>
      </c>
      <c r="B3523" s="1">
        <v>45634</v>
      </c>
      <c r="C3523" t="s">
        <v>43</v>
      </c>
      <c r="D3523" t="s">
        <v>14</v>
      </c>
      <c r="E3523">
        <v>33</v>
      </c>
      <c r="F3523" t="s">
        <v>28</v>
      </c>
      <c r="G3523">
        <v>677.92</v>
      </c>
      <c r="H3523">
        <v>59</v>
      </c>
      <c r="I3523" t="s">
        <v>16</v>
      </c>
      <c r="J3523">
        <v>4.5</v>
      </c>
      <c r="K3523" t="s">
        <v>17</v>
      </c>
      <c r="L3523" t="s">
        <v>23</v>
      </c>
      <c r="M3523" t="str">
        <f>VLOOKUP(D3527,Restaurant_Master!A:B,2,FALSE)</f>
        <v>https://dynamic-media-cdn.tripadvisor.com/media/photo-o/1c/e7/04/0d/front-of-the-local-easily.jpg</v>
      </c>
    </row>
    <row r="3524" spans="1:13" x14ac:dyDescent="0.3">
      <c r="A3524" t="s">
        <v>3554</v>
      </c>
      <c r="B3524" s="1">
        <v>45442</v>
      </c>
      <c r="C3524" t="s">
        <v>43</v>
      </c>
      <c r="D3524" t="s">
        <v>14</v>
      </c>
      <c r="E3524">
        <v>47</v>
      </c>
      <c r="F3524" t="s">
        <v>28</v>
      </c>
      <c r="G3524">
        <v>319.92</v>
      </c>
      <c r="H3524">
        <v>57</v>
      </c>
      <c r="I3524" t="s">
        <v>16</v>
      </c>
      <c r="J3524">
        <v>4.5</v>
      </c>
      <c r="K3524" t="s">
        <v>17</v>
      </c>
      <c r="L3524" t="s">
        <v>23</v>
      </c>
      <c r="M3524" t="str">
        <f>VLOOKUP(D3528,Restaurant_Master!A:B,2,FALSE)</f>
        <v>https://dynamic-media-cdn.tripadvisor.com/media/photo-o/1c/e7/04/0d/front-of-the-local-easily.jpg</v>
      </c>
    </row>
    <row r="3525" spans="1:13" x14ac:dyDescent="0.3">
      <c r="A3525" t="s">
        <v>3555</v>
      </c>
      <c r="B3525" s="1">
        <v>45526</v>
      </c>
      <c r="C3525" t="s">
        <v>13</v>
      </c>
      <c r="D3525" t="s">
        <v>21</v>
      </c>
      <c r="E3525">
        <v>29</v>
      </c>
      <c r="F3525" t="s">
        <v>28</v>
      </c>
      <c r="G3525">
        <v>1057.6500000000001</v>
      </c>
      <c r="H3525">
        <v>39</v>
      </c>
      <c r="I3525" t="s">
        <v>22</v>
      </c>
      <c r="J3525">
        <v>3.2</v>
      </c>
      <c r="K3525" t="s">
        <v>29</v>
      </c>
      <c r="L3525" t="s">
        <v>18</v>
      </c>
      <c r="M3525" t="str">
        <f>VLOOKUP(D3529,Restaurant_Master!A:B,2,FALSE)</f>
        <v>https://media-cdn.tripadvisor.com/media/photo-s/1c/c7/97/b6/photo6jpg.jpg</v>
      </c>
    </row>
    <row r="3526" spans="1:13" x14ac:dyDescent="0.3">
      <c r="A3526" t="s">
        <v>3556</v>
      </c>
      <c r="B3526" s="1">
        <v>45419</v>
      </c>
      <c r="C3526" t="s">
        <v>43</v>
      </c>
      <c r="D3526" t="s">
        <v>21</v>
      </c>
      <c r="E3526">
        <v>41</v>
      </c>
      <c r="F3526" t="s">
        <v>15</v>
      </c>
      <c r="G3526">
        <v>877.05</v>
      </c>
      <c r="H3526">
        <v>23</v>
      </c>
      <c r="I3526" t="s">
        <v>22</v>
      </c>
      <c r="J3526">
        <v>2.6</v>
      </c>
      <c r="K3526" t="s">
        <v>29</v>
      </c>
      <c r="L3526" t="s">
        <v>23</v>
      </c>
      <c r="M3526" t="str">
        <f>VLOOKUP(D3530,Restaurant_Master!A:B,2,FALSE)</f>
        <v>https://content.jdmagicbox.com/comp/deoria/g6/9999p5568.5568.200119143033.m4g6/catalogue/biryani-house-deoria-ho-deoria-mktc2xph0o.jpg</v>
      </c>
    </row>
    <row r="3527" spans="1:13" x14ac:dyDescent="0.3">
      <c r="A3527" t="s">
        <v>3557</v>
      </c>
      <c r="B3527" s="1">
        <v>45493</v>
      </c>
      <c r="C3527" t="s">
        <v>20</v>
      </c>
      <c r="D3527" t="s">
        <v>21</v>
      </c>
      <c r="E3527">
        <v>36</v>
      </c>
      <c r="F3527" t="s">
        <v>28</v>
      </c>
      <c r="G3527">
        <v>854.58</v>
      </c>
      <c r="H3527">
        <v>43</v>
      </c>
      <c r="I3527" t="s">
        <v>16</v>
      </c>
      <c r="J3527">
        <v>3.5</v>
      </c>
      <c r="K3527" t="s">
        <v>17</v>
      </c>
      <c r="L3527" t="s">
        <v>18</v>
      </c>
      <c r="M3527" t="str">
        <f>VLOOKUP(D3531,Restaurant_Master!A:B,2,FALSE)</f>
        <v>https://dineout-media-assets.swiggy.com/swiggy/image/upload/fl_lossy,f_auto,q_auto/v1660793737/fdqxvxcxg1wtdwvyv45v.jpg</v>
      </c>
    </row>
    <row r="3528" spans="1:13" x14ac:dyDescent="0.3">
      <c r="A3528" t="s">
        <v>3558</v>
      </c>
      <c r="B3528" s="1">
        <v>45564</v>
      </c>
      <c r="C3528" t="s">
        <v>34</v>
      </c>
      <c r="D3528" t="s">
        <v>21</v>
      </c>
      <c r="E3528">
        <v>52</v>
      </c>
      <c r="F3528" t="s">
        <v>28</v>
      </c>
      <c r="G3528">
        <v>695.41</v>
      </c>
      <c r="H3528">
        <v>51</v>
      </c>
      <c r="I3528" t="s">
        <v>16</v>
      </c>
      <c r="J3528">
        <v>4.9000000000000004</v>
      </c>
      <c r="K3528" t="s">
        <v>26</v>
      </c>
      <c r="L3528" t="s">
        <v>18</v>
      </c>
      <c r="M3528" t="str">
        <f>VLOOKUP(D3532,Restaurant_Master!A:B,2,FALSE)</f>
        <v>https://dynamic-media-cdn.tripadvisor.com/media/photo-o/1c/e7/04/0d/front-of-the-local-easily.jpg</v>
      </c>
    </row>
    <row r="3529" spans="1:13" x14ac:dyDescent="0.3">
      <c r="A3529" t="s">
        <v>3559</v>
      </c>
      <c r="B3529" s="1">
        <v>45334</v>
      </c>
      <c r="C3529" t="s">
        <v>13</v>
      </c>
      <c r="D3529" t="s">
        <v>25</v>
      </c>
      <c r="E3529">
        <v>41</v>
      </c>
      <c r="F3529" t="s">
        <v>28</v>
      </c>
      <c r="G3529">
        <v>1169.5899999999999</v>
      </c>
      <c r="H3529">
        <v>34</v>
      </c>
      <c r="I3529" t="s">
        <v>22</v>
      </c>
      <c r="J3529">
        <v>4.9000000000000004</v>
      </c>
      <c r="K3529" t="s">
        <v>17</v>
      </c>
      <c r="L3529" t="s">
        <v>18</v>
      </c>
      <c r="M3529" t="str">
        <f>VLOOKUP(D3533,Restaurant_Master!A:B,2,FALSE)</f>
        <v>https://www.chatswoodinterchange.com/storages/2018/08/Sushi-World_666x448.jpg</v>
      </c>
    </row>
    <row r="3530" spans="1:13" x14ac:dyDescent="0.3">
      <c r="A3530" t="s">
        <v>3560</v>
      </c>
      <c r="B3530" s="1">
        <v>45558</v>
      </c>
      <c r="C3530" t="s">
        <v>43</v>
      </c>
      <c r="D3530" t="s">
        <v>32</v>
      </c>
      <c r="E3530">
        <v>24</v>
      </c>
      <c r="F3530" t="s">
        <v>28</v>
      </c>
      <c r="G3530">
        <v>366.98</v>
      </c>
      <c r="H3530">
        <v>38</v>
      </c>
      <c r="I3530" t="s">
        <v>22</v>
      </c>
      <c r="J3530">
        <v>4</v>
      </c>
      <c r="K3530" t="s">
        <v>17</v>
      </c>
      <c r="L3530" t="s">
        <v>23</v>
      </c>
      <c r="M3530" t="str">
        <f>VLOOKUP(D3534,Restaurant_Master!A:B,2,FALSE)</f>
        <v>https://dynamic-media-cdn.tripadvisor.com/media/photo-o/1c/e7/04/0d/front-of-the-local-easily.jpg</v>
      </c>
    </row>
    <row r="3531" spans="1:13" x14ac:dyDescent="0.3">
      <c r="A3531" t="s">
        <v>3561</v>
      </c>
      <c r="B3531" s="1">
        <v>45329</v>
      </c>
      <c r="C3531" t="s">
        <v>13</v>
      </c>
      <c r="D3531" t="s">
        <v>14</v>
      </c>
      <c r="E3531">
        <v>51</v>
      </c>
      <c r="F3531" t="s">
        <v>28</v>
      </c>
      <c r="G3531">
        <v>1024.4000000000001</v>
      </c>
      <c r="H3531">
        <v>25</v>
      </c>
      <c r="I3531" t="s">
        <v>22</v>
      </c>
      <c r="J3531">
        <v>5</v>
      </c>
      <c r="K3531" t="s">
        <v>26</v>
      </c>
      <c r="L3531" t="s">
        <v>23</v>
      </c>
      <c r="M3531" t="str">
        <f>VLOOKUP(D3535,Restaurant_Master!A:B,2,FALSE)</f>
        <v>https://content.jdmagicbox.com/comp/deoria/g6/9999p5568.5568.200119143033.m4g6/catalogue/biryani-house-deoria-ho-deoria-mktc2xph0o.jpg</v>
      </c>
    </row>
    <row r="3532" spans="1:13" x14ac:dyDescent="0.3">
      <c r="A3532" t="s">
        <v>3562</v>
      </c>
      <c r="B3532" s="1">
        <v>45376</v>
      </c>
      <c r="C3532" t="s">
        <v>20</v>
      </c>
      <c r="D3532" t="s">
        <v>21</v>
      </c>
      <c r="E3532">
        <v>26</v>
      </c>
      <c r="F3532" t="s">
        <v>28</v>
      </c>
      <c r="G3532">
        <v>766.27</v>
      </c>
      <c r="H3532">
        <v>25</v>
      </c>
      <c r="I3532" t="s">
        <v>22</v>
      </c>
      <c r="J3532">
        <v>2.9</v>
      </c>
      <c r="K3532" t="s">
        <v>26</v>
      </c>
      <c r="L3532" t="s">
        <v>23</v>
      </c>
      <c r="M3532" t="str">
        <f>VLOOKUP(D3536,Restaurant_Master!A:B,2,FALSE)</f>
        <v>https://dineout-media-assets.swiggy.com/swiggy/image/upload/fl_lossy,f_auto,q_auto/v1660793737/fdqxvxcxg1wtdwvyv45v.jpg</v>
      </c>
    </row>
    <row r="3533" spans="1:13" x14ac:dyDescent="0.3">
      <c r="A3533" t="s">
        <v>3563</v>
      </c>
      <c r="B3533" s="1">
        <v>45472</v>
      </c>
      <c r="C3533" t="s">
        <v>20</v>
      </c>
      <c r="D3533" t="s">
        <v>38</v>
      </c>
      <c r="E3533">
        <v>24</v>
      </c>
      <c r="F3533" t="s">
        <v>28</v>
      </c>
      <c r="G3533">
        <v>228.41</v>
      </c>
      <c r="H3533">
        <v>51</v>
      </c>
      <c r="I3533" t="s">
        <v>16</v>
      </c>
      <c r="J3533">
        <v>5</v>
      </c>
      <c r="K3533" t="s">
        <v>29</v>
      </c>
      <c r="L3533" t="s">
        <v>23</v>
      </c>
      <c r="M3533" t="str">
        <f>VLOOKUP(D3537,Restaurant_Master!A:B,2,FALSE)</f>
        <v>https://media-cdn.tripadvisor.com/media/photo-s/1c/c7/97/b6/photo6jpg.jpg</v>
      </c>
    </row>
    <row r="3534" spans="1:13" x14ac:dyDescent="0.3">
      <c r="A3534" t="s">
        <v>3564</v>
      </c>
      <c r="B3534" s="1">
        <v>45361</v>
      </c>
      <c r="C3534" t="s">
        <v>34</v>
      </c>
      <c r="D3534" t="s">
        <v>21</v>
      </c>
      <c r="E3534">
        <v>50</v>
      </c>
      <c r="F3534" t="s">
        <v>28</v>
      </c>
      <c r="G3534">
        <v>521.27</v>
      </c>
      <c r="H3534">
        <v>50</v>
      </c>
      <c r="I3534" t="s">
        <v>16</v>
      </c>
      <c r="J3534">
        <v>3.5</v>
      </c>
      <c r="K3534" t="s">
        <v>29</v>
      </c>
      <c r="L3534" t="s">
        <v>23</v>
      </c>
      <c r="M3534" t="str">
        <f>VLOOKUP(D3538,Restaurant_Master!A:B,2,FALSE)</f>
        <v>https://dineout-media-assets.swiggy.com/swiggy/image/upload/fl_lossy,f_auto,q_auto/v1660793737/fdqxvxcxg1wtdwvyv45v.jpg</v>
      </c>
    </row>
    <row r="3535" spans="1:13" x14ac:dyDescent="0.3">
      <c r="A3535" t="s">
        <v>3565</v>
      </c>
      <c r="B3535" s="1">
        <v>45391</v>
      </c>
      <c r="C3535" t="s">
        <v>20</v>
      </c>
      <c r="D3535" t="s">
        <v>32</v>
      </c>
      <c r="E3535">
        <v>49</v>
      </c>
      <c r="F3535" t="s">
        <v>15</v>
      </c>
      <c r="G3535">
        <v>875.98</v>
      </c>
      <c r="H3535">
        <v>26</v>
      </c>
      <c r="I3535" t="s">
        <v>22</v>
      </c>
      <c r="J3535">
        <v>3.8</v>
      </c>
      <c r="K3535" t="s">
        <v>29</v>
      </c>
      <c r="L3535" t="s">
        <v>18</v>
      </c>
      <c r="M3535" t="str">
        <f>VLOOKUP(D3539,Restaurant_Master!A:B,2,FALSE)</f>
        <v>https://media-cdn.tripadvisor.com/media/photo-s/1c/c7/97/b6/photo6jpg.jpg</v>
      </c>
    </row>
    <row r="3536" spans="1:13" x14ac:dyDescent="0.3">
      <c r="A3536" t="s">
        <v>3566</v>
      </c>
      <c r="B3536" s="1">
        <v>45435</v>
      </c>
      <c r="C3536" t="s">
        <v>36</v>
      </c>
      <c r="D3536" t="s">
        <v>14</v>
      </c>
      <c r="E3536">
        <v>32</v>
      </c>
      <c r="F3536" t="s">
        <v>28</v>
      </c>
      <c r="G3536">
        <v>349.16</v>
      </c>
      <c r="H3536">
        <v>59</v>
      </c>
      <c r="I3536" t="s">
        <v>16</v>
      </c>
      <c r="J3536">
        <v>2.5</v>
      </c>
      <c r="K3536" t="s">
        <v>17</v>
      </c>
      <c r="L3536" t="s">
        <v>18</v>
      </c>
      <c r="M3536" t="str">
        <f>VLOOKUP(D3540,Restaurant_Master!A:B,2,FALSE)</f>
        <v>https://content.jdmagicbox.com/comp/deoria/g6/9999p5568.5568.200119143033.m4g6/catalogue/biryani-house-deoria-ho-deoria-mktc2xph0o.jpg</v>
      </c>
    </row>
    <row r="3537" spans="1:13" x14ac:dyDescent="0.3">
      <c r="A3537" t="s">
        <v>3567</v>
      </c>
      <c r="B3537" s="1">
        <v>45370</v>
      </c>
      <c r="C3537" t="s">
        <v>20</v>
      </c>
      <c r="D3537" t="s">
        <v>25</v>
      </c>
      <c r="E3537">
        <v>57</v>
      </c>
      <c r="F3537" t="s">
        <v>28</v>
      </c>
      <c r="G3537">
        <v>443.29</v>
      </c>
      <c r="H3537">
        <v>56</v>
      </c>
      <c r="I3537" t="s">
        <v>16</v>
      </c>
      <c r="J3537">
        <v>2.5</v>
      </c>
      <c r="K3537" t="s">
        <v>41</v>
      </c>
      <c r="L3537" t="s">
        <v>23</v>
      </c>
      <c r="M3537" t="str">
        <f>VLOOKUP(D3541,Restaurant_Master!A:B,2,FALSE)</f>
        <v>https://dineout-media-assets.swiggy.com/swiggy/image/upload/fl_lossy,f_auto,q_auto/v1660793737/fdqxvxcxg1wtdwvyv45v.jpg</v>
      </c>
    </row>
    <row r="3538" spans="1:13" x14ac:dyDescent="0.3">
      <c r="A3538" t="s">
        <v>3568</v>
      </c>
      <c r="B3538" s="1">
        <v>45577</v>
      </c>
      <c r="C3538" t="s">
        <v>34</v>
      </c>
      <c r="D3538" t="s">
        <v>14</v>
      </c>
      <c r="E3538">
        <v>25</v>
      </c>
      <c r="F3538" t="s">
        <v>15</v>
      </c>
      <c r="G3538">
        <v>722.37</v>
      </c>
      <c r="H3538">
        <v>51</v>
      </c>
      <c r="I3538" t="s">
        <v>16</v>
      </c>
      <c r="J3538">
        <v>4</v>
      </c>
      <c r="K3538" t="s">
        <v>41</v>
      </c>
      <c r="L3538" t="s">
        <v>18</v>
      </c>
      <c r="M3538" t="str">
        <f>VLOOKUP(D3542,Restaurant_Master!A:B,2,FALSE)</f>
        <v>https://content.jdmagicbox.com/comp/deoria/g6/9999p5568.5568.200119143033.m4g6/catalogue/biryani-house-deoria-ho-deoria-mktc2xph0o.jpg</v>
      </c>
    </row>
    <row r="3539" spans="1:13" x14ac:dyDescent="0.3">
      <c r="A3539" t="s">
        <v>3569</v>
      </c>
      <c r="B3539" s="1">
        <v>45588</v>
      </c>
      <c r="C3539" t="s">
        <v>20</v>
      </c>
      <c r="D3539" t="s">
        <v>25</v>
      </c>
      <c r="E3539">
        <v>50</v>
      </c>
      <c r="F3539" t="s">
        <v>15</v>
      </c>
      <c r="G3539">
        <v>872.42</v>
      </c>
      <c r="H3539">
        <v>32</v>
      </c>
      <c r="I3539" t="s">
        <v>22</v>
      </c>
      <c r="J3539">
        <v>4.8</v>
      </c>
      <c r="K3539" t="s">
        <v>41</v>
      </c>
      <c r="L3539" t="s">
        <v>18</v>
      </c>
      <c r="M3539" t="str">
        <f>VLOOKUP(D3543,Restaurant_Master!A:B,2,FALSE)</f>
        <v>https://dineout-media-assets.swiggy.com/swiggy/image/upload/fl_lossy,f_auto,q_auto/v1660793737/fdqxvxcxg1wtdwvyv45v.jpg</v>
      </c>
    </row>
    <row r="3540" spans="1:13" x14ac:dyDescent="0.3">
      <c r="A3540" t="s">
        <v>3570</v>
      </c>
      <c r="B3540" s="1">
        <v>45525</v>
      </c>
      <c r="C3540" t="s">
        <v>36</v>
      </c>
      <c r="D3540" t="s">
        <v>32</v>
      </c>
      <c r="E3540">
        <v>29</v>
      </c>
      <c r="F3540" t="s">
        <v>15</v>
      </c>
      <c r="G3540">
        <v>1087.19</v>
      </c>
      <c r="H3540">
        <v>48</v>
      </c>
      <c r="I3540" t="s">
        <v>16</v>
      </c>
      <c r="J3540">
        <v>4.2</v>
      </c>
      <c r="K3540" t="s">
        <v>29</v>
      </c>
      <c r="L3540" t="s">
        <v>18</v>
      </c>
      <c r="M3540" t="str">
        <f>VLOOKUP(D3544,Restaurant_Master!A:B,2,FALSE)</f>
        <v>https://www.chatswoodinterchange.com/storages/2018/08/Sushi-World_666x448.jpg</v>
      </c>
    </row>
    <row r="3541" spans="1:13" x14ac:dyDescent="0.3">
      <c r="A3541" t="s">
        <v>3571</v>
      </c>
      <c r="B3541" s="1">
        <v>45547</v>
      </c>
      <c r="C3541" t="s">
        <v>20</v>
      </c>
      <c r="D3541" t="s">
        <v>14</v>
      </c>
      <c r="E3541">
        <v>27</v>
      </c>
      <c r="F3541" t="s">
        <v>28</v>
      </c>
      <c r="G3541">
        <v>1152.32</v>
      </c>
      <c r="H3541">
        <v>40</v>
      </c>
      <c r="I3541" t="s">
        <v>22</v>
      </c>
      <c r="J3541">
        <v>3.6</v>
      </c>
      <c r="K3541" t="s">
        <v>17</v>
      </c>
      <c r="L3541" t="s">
        <v>18</v>
      </c>
      <c r="M3541" t="str">
        <f>VLOOKUP(D3545,Restaurant_Master!A:B,2,FALSE)</f>
        <v>https://content.jdmagicbox.com/comp/deoria/g6/9999p5568.5568.200119143033.m4g6/catalogue/biryani-house-deoria-ho-deoria-mktc2xph0o.jpg</v>
      </c>
    </row>
    <row r="3542" spans="1:13" x14ac:dyDescent="0.3">
      <c r="A3542" t="s">
        <v>3572</v>
      </c>
      <c r="B3542" s="1">
        <v>45656</v>
      </c>
      <c r="C3542" t="s">
        <v>36</v>
      </c>
      <c r="D3542" t="s">
        <v>32</v>
      </c>
      <c r="E3542">
        <v>39</v>
      </c>
      <c r="F3542" t="s">
        <v>15</v>
      </c>
      <c r="G3542">
        <v>577.84</v>
      </c>
      <c r="H3542">
        <v>23</v>
      </c>
      <c r="I3542" t="s">
        <v>22</v>
      </c>
      <c r="J3542">
        <v>4.9000000000000004</v>
      </c>
      <c r="K3542" t="s">
        <v>17</v>
      </c>
      <c r="L3542" t="s">
        <v>23</v>
      </c>
      <c r="M3542" t="str">
        <f>VLOOKUP(D3546,Restaurant_Master!A:B,2,FALSE)</f>
        <v>https://content.jdmagicbox.com/comp/deoria/g6/9999p5568.5568.200119143033.m4g6/catalogue/biryani-house-deoria-ho-deoria-mktc2xph0o.jpg</v>
      </c>
    </row>
    <row r="3543" spans="1:13" x14ac:dyDescent="0.3">
      <c r="A3543" t="s">
        <v>3573</v>
      </c>
      <c r="B3543" s="1">
        <v>45586</v>
      </c>
      <c r="C3543" t="s">
        <v>20</v>
      </c>
      <c r="D3543" t="s">
        <v>14</v>
      </c>
      <c r="E3543">
        <v>49</v>
      </c>
      <c r="F3543" t="s">
        <v>28</v>
      </c>
      <c r="G3543">
        <v>209.62</v>
      </c>
      <c r="H3543">
        <v>37</v>
      </c>
      <c r="I3543" t="s">
        <v>22</v>
      </c>
      <c r="J3543">
        <v>2.8</v>
      </c>
      <c r="K3543" t="s">
        <v>41</v>
      </c>
      <c r="L3543" t="s">
        <v>23</v>
      </c>
      <c r="M3543" t="str">
        <f>VLOOKUP(D3547,Restaurant_Master!A:B,2,FALSE)</f>
        <v>https://www.chatswoodinterchange.com/storages/2018/08/Sushi-World_666x448.jpg</v>
      </c>
    </row>
    <row r="3544" spans="1:13" x14ac:dyDescent="0.3">
      <c r="A3544" t="s">
        <v>3574</v>
      </c>
      <c r="B3544" s="1">
        <v>45513</v>
      </c>
      <c r="C3544" t="s">
        <v>43</v>
      </c>
      <c r="D3544" t="s">
        <v>38</v>
      </c>
      <c r="E3544">
        <v>49</v>
      </c>
      <c r="F3544" t="s">
        <v>28</v>
      </c>
      <c r="G3544">
        <v>538.79999999999995</v>
      </c>
      <c r="H3544">
        <v>55</v>
      </c>
      <c r="I3544" t="s">
        <v>16</v>
      </c>
      <c r="J3544">
        <v>5</v>
      </c>
      <c r="K3544" t="s">
        <v>17</v>
      </c>
      <c r="L3544" t="s">
        <v>23</v>
      </c>
      <c r="M3544" t="str">
        <f>VLOOKUP(D3548,Restaurant_Master!A:B,2,FALSE)</f>
        <v>https://dynamic-media-cdn.tripadvisor.com/media/photo-o/1c/e7/04/0d/front-of-the-local-easily.jpg</v>
      </c>
    </row>
    <row r="3545" spans="1:13" x14ac:dyDescent="0.3">
      <c r="A3545" t="s">
        <v>3575</v>
      </c>
      <c r="B3545" s="1">
        <v>45613</v>
      </c>
      <c r="C3545" t="s">
        <v>36</v>
      </c>
      <c r="D3545" t="s">
        <v>32</v>
      </c>
      <c r="E3545">
        <v>45</v>
      </c>
      <c r="F3545" t="s">
        <v>15</v>
      </c>
      <c r="G3545">
        <v>629.29</v>
      </c>
      <c r="H3545">
        <v>60</v>
      </c>
      <c r="I3545" t="s">
        <v>16</v>
      </c>
      <c r="J3545">
        <v>4.4000000000000004</v>
      </c>
      <c r="K3545" t="s">
        <v>41</v>
      </c>
      <c r="L3545" t="s">
        <v>23</v>
      </c>
      <c r="M3545" t="str">
        <f>VLOOKUP(D3549,Restaurant_Master!A:B,2,FALSE)</f>
        <v>https://dineout-media-assets.swiggy.com/swiggy/image/upload/fl_lossy,f_auto,q_auto/v1660793737/fdqxvxcxg1wtdwvyv45v.jpg</v>
      </c>
    </row>
    <row r="3546" spans="1:13" x14ac:dyDescent="0.3">
      <c r="A3546" t="s">
        <v>3576</v>
      </c>
      <c r="B3546" s="1">
        <v>45442</v>
      </c>
      <c r="C3546" t="s">
        <v>36</v>
      </c>
      <c r="D3546" t="s">
        <v>32</v>
      </c>
      <c r="E3546">
        <v>39</v>
      </c>
      <c r="F3546" t="s">
        <v>15</v>
      </c>
      <c r="G3546">
        <v>804.82</v>
      </c>
      <c r="H3546">
        <v>48</v>
      </c>
      <c r="I3546" t="s">
        <v>16</v>
      </c>
      <c r="J3546">
        <v>3.1</v>
      </c>
      <c r="K3546" t="s">
        <v>29</v>
      </c>
      <c r="L3546" t="s">
        <v>18</v>
      </c>
      <c r="M3546" t="str">
        <f>VLOOKUP(D3550,Restaurant_Master!A:B,2,FALSE)</f>
        <v>https://www.chatswoodinterchange.com/storages/2018/08/Sushi-World_666x448.jpg</v>
      </c>
    </row>
    <row r="3547" spans="1:13" x14ac:dyDescent="0.3">
      <c r="A3547" t="s">
        <v>3577</v>
      </c>
      <c r="B3547" s="1">
        <v>45293</v>
      </c>
      <c r="C3547" t="s">
        <v>34</v>
      </c>
      <c r="D3547" t="s">
        <v>38</v>
      </c>
      <c r="E3547">
        <v>53</v>
      </c>
      <c r="F3547" t="s">
        <v>15</v>
      </c>
      <c r="G3547">
        <v>606.87</v>
      </c>
      <c r="H3547">
        <v>43</v>
      </c>
      <c r="I3547" t="s">
        <v>16</v>
      </c>
      <c r="J3547">
        <v>2.7</v>
      </c>
      <c r="K3547" t="s">
        <v>17</v>
      </c>
      <c r="L3547" t="s">
        <v>23</v>
      </c>
      <c r="M3547" t="str">
        <f>VLOOKUP(D3551,Restaurant_Master!A:B,2,FALSE)</f>
        <v>https://dynamic-media-cdn.tripadvisor.com/media/photo-o/1c/e7/04/0d/front-of-the-local-easily.jpg</v>
      </c>
    </row>
    <row r="3548" spans="1:13" x14ac:dyDescent="0.3">
      <c r="A3548" t="s">
        <v>3578</v>
      </c>
      <c r="B3548" s="1">
        <v>45468</v>
      </c>
      <c r="C3548" t="s">
        <v>13</v>
      </c>
      <c r="D3548" t="s">
        <v>21</v>
      </c>
      <c r="E3548">
        <v>32</v>
      </c>
      <c r="F3548" t="s">
        <v>15</v>
      </c>
      <c r="G3548">
        <v>153.28</v>
      </c>
      <c r="H3548">
        <v>48</v>
      </c>
      <c r="I3548" t="s">
        <v>16</v>
      </c>
      <c r="J3548">
        <v>2.5</v>
      </c>
      <c r="K3548" t="s">
        <v>17</v>
      </c>
      <c r="L3548" t="s">
        <v>18</v>
      </c>
      <c r="M3548" t="str">
        <f>VLOOKUP(D3552,Restaurant_Master!A:B,2,FALSE)</f>
        <v>https://dynamic-media-cdn.tripadvisor.com/media/photo-o/1c/e7/04/0d/front-of-the-local-easily.jpg</v>
      </c>
    </row>
    <row r="3549" spans="1:13" x14ac:dyDescent="0.3">
      <c r="A3549" t="s">
        <v>3579</v>
      </c>
      <c r="B3549" s="1">
        <v>45593</v>
      </c>
      <c r="C3549" t="s">
        <v>20</v>
      </c>
      <c r="D3549" t="s">
        <v>14</v>
      </c>
      <c r="E3549">
        <v>29</v>
      </c>
      <c r="F3549" t="s">
        <v>15</v>
      </c>
      <c r="G3549">
        <v>879.07</v>
      </c>
      <c r="H3549">
        <v>32</v>
      </c>
      <c r="I3549" t="s">
        <v>22</v>
      </c>
      <c r="J3549">
        <v>4.2</v>
      </c>
      <c r="K3549" t="s">
        <v>26</v>
      </c>
      <c r="L3549" t="s">
        <v>23</v>
      </c>
      <c r="M3549" t="str">
        <f>VLOOKUP(D3553,Restaurant_Master!A:B,2,FALSE)</f>
        <v>https://dynamic-media-cdn.tripadvisor.com/media/photo-o/1c/e7/04/0d/front-of-the-local-easily.jpg</v>
      </c>
    </row>
    <row r="3550" spans="1:13" x14ac:dyDescent="0.3">
      <c r="A3550" t="s">
        <v>3580</v>
      </c>
      <c r="B3550" s="1">
        <v>45383</v>
      </c>
      <c r="C3550" t="s">
        <v>34</v>
      </c>
      <c r="D3550" t="s">
        <v>38</v>
      </c>
      <c r="E3550">
        <v>59</v>
      </c>
      <c r="F3550" t="s">
        <v>28</v>
      </c>
      <c r="G3550">
        <v>625.62</v>
      </c>
      <c r="H3550">
        <v>20</v>
      </c>
      <c r="I3550" t="s">
        <v>22</v>
      </c>
      <c r="J3550">
        <v>3.2</v>
      </c>
      <c r="K3550" t="s">
        <v>29</v>
      </c>
      <c r="L3550" t="s">
        <v>23</v>
      </c>
      <c r="M3550" t="str">
        <f>VLOOKUP(D3554,Restaurant_Master!A:B,2,FALSE)</f>
        <v>https://dynamic-media-cdn.tripadvisor.com/media/photo-o/1c/e7/04/0d/front-of-the-local-easily.jpg</v>
      </c>
    </row>
    <row r="3551" spans="1:13" x14ac:dyDescent="0.3">
      <c r="A3551" t="s">
        <v>3581</v>
      </c>
      <c r="B3551" s="1">
        <v>45656</v>
      </c>
      <c r="C3551" t="s">
        <v>43</v>
      </c>
      <c r="D3551" t="s">
        <v>21</v>
      </c>
      <c r="E3551">
        <v>31</v>
      </c>
      <c r="F3551" t="s">
        <v>28</v>
      </c>
      <c r="G3551">
        <v>698.68</v>
      </c>
      <c r="H3551">
        <v>27</v>
      </c>
      <c r="I3551" t="s">
        <v>22</v>
      </c>
      <c r="J3551">
        <v>4.4000000000000004</v>
      </c>
      <c r="K3551" t="s">
        <v>29</v>
      </c>
      <c r="L3551" t="s">
        <v>18</v>
      </c>
      <c r="M3551" t="str">
        <f>VLOOKUP(D3555,Restaurant_Master!A:B,2,FALSE)</f>
        <v>https://content.jdmagicbox.com/comp/deoria/g6/9999p5568.5568.200119143033.m4g6/catalogue/biryani-house-deoria-ho-deoria-mktc2xph0o.jpg</v>
      </c>
    </row>
    <row r="3552" spans="1:13" x14ac:dyDescent="0.3">
      <c r="A3552" t="s">
        <v>3582</v>
      </c>
      <c r="B3552" s="1">
        <v>45394</v>
      </c>
      <c r="C3552" t="s">
        <v>34</v>
      </c>
      <c r="D3552" t="s">
        <v>21</v>
      </c>
      <c r="E3552">
        <v>52</v>
      </c>
      <c r="F3552" t="s">
        <v>15</v>
      </c>
      <c r="G3552">
        <v>738.61</v>
      </c>
      <c r="H3552">
        <v>57</v>
      </c>
      <c r="I3552" t="s">
        <v>16</v>
      </c>
      <c r="J3552">
        <v>3.1</v>
      </c>
      <c r="K3552" t="s">
        <v>41</v>
      </c>
      <c r="L3552" t="s">
        <v>23</v>
      </c>
      <c r="M3552" t="str">
        <f>VLOOKUP(D3556,Restaurant_Master!A:B,2,FALSE)</f>
        <v>https://content.jdmagicbox.com/comp/deoria/g6/9999p5568.5568.200119143033.m4g6/catalogue/biryani-house-deoria-ho-deoria-mktc2xph0o.jpg</v>
      </c>
    </row>
    <row r="3553" spans="1:13" x14ac:dyDescent="0.3">
      <c r="A3553" t="s">
        <v>3583</v>
      </c>
      <c r="B3553" s="1">
        <v>45594</v>
      </c>
      <c r="C3553" t="s">
        <v>20</v>
      </c>
      <c r="D3553" t="s">
        <v>21</v>
      </c>
      <c r="E3553">
        <v>38</v>
      </c>
      <c r="F3553" t="s">
        <v>15</v>
      </c>
      <c r="G3553">
        <v>189.25</v>
      </c>
      <c r="H3553">
        <v>46</v>
      </c>
      <c r="I3553" t="s">
        <v>16</v>
      </c>
      <c r="J3553">
        <v>3.7</v>
      </c>
      <c r="K3553" t="s">
        <v>17</v>
      </c>
      <c r="L3553" t="s">
        <v>18</v>
      </c>
      <c r="M3553" t="str">
        <f>VLOOKUP(D3557,Restaurant_Master!A:B,2,FALSE)</f>
        <v>https://www.chatswoodinterchange.com/storages/2018/08/Sushi-World_666x448.jpg</v>
      </c>
    </row>
    <row r="3554" spans="1:13" x14ac:dyDescent="0.3">
      <c r="A3554" t="s">
        <v>3584</v>
      </c>
      <c r="B3554" s="1">
        <v>45612</v>
      </c>
      <c r="C3554" t="s">
        <v>13</v>
      </c>
      <c r="D3554" t="s">
        <v>21</v>
      </c>
      <c r="E3554">
        <v>42</v>
      </c>
      <c r="F3554" t="s">
        <v>15</v>
      </c>
      <c r="G3554">
        <v>457.36</v>
      </c>
      <c r="H3554">
        <v>36</v>
      </c>
      <c r="I3554" t="s">
        <v>22</v>
      </c>
      <c r="J3554">
        <v>3.8</v>
      </c>
      <c r="K3554" t="s">
        <v>29</v>
      </c>
      <c r="L3554" t="s">
        <v>18</v>
      </c>
      <c r="M3554" t="str">
        <f>VLOOKUP(D3558,Restaurant_Master!A:B,2,FALSE)</f>
        <v>https://content.jdmagicbox.com/comp/deoria/g6/9999p5568.5568.200119143033.m4g6/catalogue/biryani-house-deoria-ho-deoria-mktc2xph0o.jpg</v>
      </c>
    </row>
    <row r="3555" spans="1:13" x14ac:dyDescent="0.3">
      <c r="A3555" t="s">
        <v>3585</v>
      </c>
      <c r="B3555" s="1">
        <v>45411</v>
      </c>
      <c r="C3555" t="s">
        <v>43</v>
      </c>
      <c r="D3555" t="s">
        <v>32</v>
      </c>
      <c r="E3555">
        <v>47</v>
      </c>
      <c r="F3555" t="s">
        <v>28</v>
      </c>
      <c r="G3555">
        <v>620.14</v>
      </c>
      <c r="H3555">
        <v>60</v>
      </c>
      <c r="I3555" t="s">
        <v>16</v>
      </c>
      <c r="J3555">
        <v>3.9</v>
      </c>
      <c r="K3555" t="s">
        <v>17</v>
      </c>
      <c r="L3555" t="s">
        <v>18</v>
      </c>
      <c r="M3555" t="str">
        <f>VLOOKUP(D3559,Restaurant_Master!A:B,2,FALSE)</f>
        <v>https://dynamic-media-cdn.tripadvisor.com/media/photo-o/1c/e7/04/0d/front-of-the-local-easily.jpg</v>
      </c>
    </row>
    <row r="3556" spans="1:13" x14ac:dyDescent="0.3">
      <c r="A3556" t="s">
        <v>3586</v>
      </c>
      <c r="B3556" s="1">
        <v>45305</v>
      </c>
      <c r="C3556" t="s">
        <v>13</v>
      </c>
      <c r="D3556" t="s">
        <v>32</v>
      </c>
      <c r="E3556">
        <v>45</v>
      </c>
      <c r="F3556" t="s">
        <v>15</v>
      </c>
      <c r="G3556">
        <v>924.81</v>
      </c>
      <c r="H3556">
        <v>48</v>
      </c>
      <c r="I3556" t="s">
        <v>16</v>
      </c>
      <c r="J3556">
        <v>3.2</v>
      </c>
      <c r="K3556" t="s">
        <v>29</v>
      </c>
      <c r="L3556" t="s">
        <v>18</v>
      </c>
      <c r="M3556" t="str">
        <f>VLOOKUP(D3560,Restaurant_Master!A:B,2,FALSE)</f>
        <v>https://media-cdn.tripadvisor.com/media/photo-s/1c/c7/97/b6/photo6jpg.jpg</v>
      </c>
    </row>
    <row r="3557" spans="1:13" x14ac:dyDescent="0.3">
      <c r="A3557" t="s">
        <v>3587</v>
      </c>
      <c r="B3557" s="1">
        <v>45303</v>
      </c>
      <c r="C3557" t="s">
        <v>13</v>
      </c>
      <c r="D3557" t="s">
        <v>38</v>
      </c>
      <c r="E3557">
        <v>50</v>
      </c>
      <c r="F3557" t="s">
        <v>15</v>
      </c>
      <c r="G3557">
        <v>977.08</v>
      </c>
      <c r="H3557">
        <v>32</v>
      </c>
      <c r="I3557" t="s">
        <v>22</v>
      </c>
      <c r="J3557">
        <v>4.2</v>
      </c>
      <c r="K3557" t="s">
        <v>41</v>
      </c>
      <c r="L3557" t="s">
        <v>23</v>
      </c>
      <c r="M3557" t="str">
        <f>VLOOKUP(D3561,Restaurant_Master!A:B,2,FALSE)</f>
        <v>https://www.chatswoodinterchange.com/storages/2018/08/Sushi-World_666x448.jpg</v>
      </c>
    </row>
    <row r="3558" spans="1:13" x14ac:dyDescent="0.3">
      <c r="A3558" t="s">
        <v>3588</v>
      </c>
      <c r="B3558" s="1">
        <v>45570</v>
      </c>
      <c r="C3558" t="s">
        <v>34</v>
      </c>
      <c r="D3558" t="s">
        <v>32</v>
      </c>
      <c r="E3558">
        <v>53</v>
      </c>
      <c r="F3558" t="s">
        <v>28</v>
      </c>
      <c r="G3558">
        <v>445.5</v>
      </c>
      <c r="H3558">
        <v>44</v>
      </c>
      <c r="I3558" t="s">
        <v>16</v>
      </c>
      <c r="J3558">
        <v>4.4000000000000004</v>
      </c>
      <c r="K3558" t="s">
        <v>17</v>
      </c>
      <c r="L3558" t="s">
        <v>23</v>
      </c>
      <c r="M3558" t="str">
        <f>VLOOKUP(D3562,Restaurant_Master!A:B,2,FALSE)</f>
        <v>https://dineout-media-assets.swiggy.com/swiggy/image/upload/fl_lossy,f_auto,q_auto/v1660793737/fdqxvxcxg1wtdwvyv45v.jpg</v>
      </c>
    </row>
    <row r="3559" spans="1:13" x14ac:dyDescent="0.3">
      <c r="A3559" t="s">
        <v>3589</v>
      </c>
      <c r="B3559" s="1">
        <v>45398</v>
      </c>
      <c r="C3559" t="s">
        <v>13</v>
      </c>
      <c r="D3559" t="s">
        <v>21</v>
      </c>
      <c r="E3559">
        <v>31</v>
      </c>
      <c r="F3559" t="s">
        <v>15</v>
      </c>
      <c r="G3559">
        <v>665.62</v>
      </c>
      <c r="H3559">
        <v>32</v>
      </c>
      <c r="I3559" t="s">
        <v>22</v>
      </c>
      <c r="J3559">
        <v>4.0999999999999996</v>
      </c>
      <c r="K3559" t="s">
        <v>17</v>
      </c>
      <c r="L3559" t="s">
        <v>23</v>
      </c>
      <c r="M3559" t="str">
        <f>VLOOKUP(D3563,Restaurant_Master!A:B,2,FALSE)</f>
        <v>https://dynamic-media-cdn.tripadvisor.com/media/photo-o/1c/e7/04/0d/front-of-the-local-easily.jpg</v>
      </c>
    </row>
    <row r="3560" spans="1:13" x14ac:dyDescent="0.3">
      <c r="A3560" t="s">
        <v>3590</v>
      </c>
      <c r="B3560" s="1">
        <v>45639</v>
      </c>
      <c r="C3560" t="s">
        <v>36</v>
      </c>
      <c r="D3560" t="s">
        <v>25</v>
      </c>
      <c r="E3560">
        <v>44</v>
      </c>
      <c r="F3560" t="s">
        <v>15</v>
      </c>
      <c r="G3560">
        <v>490.55</v>
      </c>
      <c r="H3560">
        <v>40</v>
      </c>
      <c r="I3560" t="s">
        <v>22</v>
      </c>
      <c r="J3560">
        <v>2.8</v>
      </c>
      <c r="K3560" t="s">
        <v>41</v>
      </c>
      <c r="L3560" t="s">
        <v>18</v>
      </c>
      <c r="M3560" t="str">
        <f>VLOOKUP(D3564,Restaurant_Master!A:B,2,FALSE)</f>
        <v>https://dineout-media-assets.swiggy.com/swiggy/image/upload/fl_lossy,f_auto,q_auto/v1660793737/fdqxvxcxg1wtdwvyv45v.jpg</v>
      </c>
    </row>
    <row r="3561" spans="1:13" x14ac:dyDescent="0.3">
      <c r="A3561" t="s">
        <v>3591</v>
      </c>
      <c r="B3561" s="1">
        <v>45588</v>
      </c>
      <c r="C3561" t="s">
        <v>34</v>
      </c>
      <c r="D3561" t="s">
        <v>38</v>
      </c>
      <c r="E3561">
        <v>45</v>
      </c>
      <c r="F3561" t="s">
        <v>15</v>
      </c>
      <c r="G3561">
        <v>326.29000000000002</v>
      </c>
      <c r="H3561">
        <v>20</v>
      </c>
      <c r="I3561" t="s">
        <v>22</v>
      </c>
      <c r="J3561">
        <v>4.5</v>
      </c>
      <c r="K3561" t="s">
        <v>41</v>
      </c>
      <c r="L3561" t="s">
        <v>18</v>
      </c>
      <c r="M3561" t="str">
        <f>VLOOKUP(D3565,Restaurant_Master!A:B,2,FALSE)</f>
        <v>https://content.jdmagicbox.com/comp/deoria/g6/9999p5568.5568.200119143033.m4g6/catalogue/biryani-house-deoria-ho-deoria-mktc2xph0o.jpg</v>
      </c>
    </row>
    <row r="3562" spans="1:13" x14ac:dyDescent="0.3">
      <c r="A3562" t="s">
        <v>3592</v>
      </c>
      <c r="B3562" s="1">
        <v>45368</v>
      </c>
      <c r="C3562" t="s">
        <v>13</v>
      </c>
      <c r="D3562" t="s">
        <v>14</v>
      </c>
      <c r="E3562">
        <v>38</v>
      </c>
      <c r="F3562" t="s">
        <v>28</v>
      </c>
      <c r="G3562">
        <v>1008.21</v>
      </c>
      <c r="H3562">
        <v>60</v>
      </c>
      <c r="I3562" t="s">
        <v>16</v>
      </c>
      <c r="J3562">
        <v>2.9</v>
      </c>
      <c r="K3562" t="s">
        <v>29</v>
      </c>
      <c r="L3562" t="s">
        <v>23</v>
      </c>
      <c r="M3562" t="str">
        <f>VLOOKUP(D3566,Restaurant_Master!A:B,2,FALSE)</f>
        <v>https://dineout-media-assets.swiggy.com/swiggy/image/upload/fl_lossy,f_auto,q_auto/v1660793737/fdqxvxcxg1wtdwvyv45v.jpg</v>
      </c>
    </row>
    <row r="3563" spans="1:13" x14ac:dyDescent="0.3">
      <c r="A3563" t="s">
        <v>3593</v>
      </c>
      <c r="B3563" s="1">
        <v>45458</v>
      </c>
      <c r="C3563" t="s">
        <v>36</v>
      </c>
      <c r="D3563" t="s">
        <v>21</v>
      </c>
      <c r="E3563">
        <v>23</v>
      </c>
      <c r="F3563" t="s">
        <v>28</v>
      </c>
      <c r="G3563">
        <v>1031.8</v>
      </c>
      <c r="H3563">
        <v>40</v>
      </c>
      <c r="I3563" t="s">
        <v>22</v>
      </c>
      <c r="J3563">
        <v>4.5</v>
      </c>
      <c r="K3563" t="s">
        <v>17</v>
      </c>
      <c r="L3563" t="s">
        <v>23</v>
      </c>
      <c r="M3563" t="str">
        <f>VLOOKUP(D3567,Restaurant_Master!A:B,2,FALSE)</f>
        <v>https://dineout-media-assets.swiggy.com/swiggy/image/upload/fl_lossy,f_auto,q_auto/v1660793737/fdqxvxcxg1wtdwvyv45v.jpg</v>
      </c>
    </row>
    <row r="3564" spans="1:13" x14ac:dyDescent="0.3">
      <c r="A3564" t="s">
        <v>3594</v>
      </c>
      <c r="B3564" s="1">
        <v>45556</v>
      </c>
      <c r="C3564" t="s">
        <v>20</v>
      </c>
      <c r="D3564" t="s">
        <v>14</v>
      </c>
      <c r="E3564">
        <v>39</v>
      </c>
      <c r="F3564" t="s">
        <v>15</v>
      </c>
      <c r="G3564">
        <v>284.36</v>
      </c>
      <c r="H3564">
        <v>28</v>
      </c>
      <c r="I3564" t="s">
        <v>22</v>
      </c>
      <c r="J3564">
        <v>3.2</v>
      </c>
      <c r="K3564" t="s">
        <v>17</v>
      </c>
      <c r="L3564" t="s">
        <v>18</v>
      </c>
      <c r="M3564" t="str">
        <f>VLOOKUP(D3568,Restaurant_Master!A:B,2,FALSE)</f>
        <v>https://media-cdn.tripadvisor.com/media/photo-s/1c/c7/97/b6/photo6jpg.jpg</v>
      </c>
    </row>
    <row r="3565" spans="1:13" x14ac:dyDescent="0.3">
      <c r="A3565" t="s">
        <v>3595</v>
      </c>
      <c r="B3565" s="1">
        <v>45423</v>
      </c>
      <c r="C3565" t="s">
        <v>43</v>
      </c>
      <c r="D3565" t="s">
        <v>32</v>
      </c>
      <c r="E3565">
        <v>40</v>
      </c>
      <c r="F3565" t="s">
        <v>15</v>
      </c>
      <c r="G3565">
        <v>715.94</v>
      </c>
      <c r="H3565">
        <v>58</v>
      </c>
      <c r="I3565" t="s">
        <v>16</v>
      </c>
      <c r="J3565">
        <v>2.9</v>
      </c>
      <c r="K3565" t="s">
        <v>41</v>
      </c>
      <c r="L3565" t="s">
        <v>23</v>
      </c>
      <c r="M3565" t="str">
        <f>VLOOKUP(D3569,Restaurant_Master!A:B,2,FALSE)</f>
        <v>https://www.chatswoodinterchange.com/storages/2018/08/Sushi-World_666x448.jpg</v>
      </c>
    </row>
    <row r="3566" spans="1:13" x14ac:dyDescent="0.3">
      <c r="A3566" t="s">
        <v>3596</v>
      </c>
      <c r="B3566" s="1">
        <v>45554</v>
      </c>
      <c r="C3566" t="s">
        <v>13</v>
      </c>
      <c r="D3566" t="s">
        <v>14</v>
      </c>
      <c r="E3566">
        <v>27</v>
      </c>
      <c r="F3566" t="s">
        <v>15</v>
      </c>
      <c r="G3566">
        <v>668.23</v>
      </c>
      <c r="H3566">
        <v>38</v>
      </c>
      <c r="I3566" t="s">
        <v>22</v>
      </c>
      <c r="J3566">
        <v>3.7</v>
      </c>
      <c r="K3566" t="s">
        <v>26</v>
      </c>
      <c r="L3566" t="s">
        <v>23</v>
      </c>
      <c r="M3566" t="str">
        <f>VLOOKUP(D3570,Restaurant_Master!A:B,2,FALSE)</f>
        <v>https://www.chatswoodinterchange.com/storages/2018/08/Sushi-World_666x448.jpg</v>
      </c>
    </row>
    <row r="3567" spans="1:13" x14ac:dyDescent="0.3">
      <c r="A3567" t="s">
        <v>3597</v>
      </c>
      <c r="B3567" s="1">
        <v>45646</v>
      </c>
      <c r="C3567" t="s">
        <v>13</v>
      </c>
      <c r="D3567" t="s">
        <v>14</v>
      </c>
      <c r="E3567">
        <v>55</v>
      </c>
      <c r="F3567" t="s">
        <v>28</v>
      </c>
      <c r="G3567">
        <v>727.4</v>
      </c>
      <c r="H3567">
        <v>27</v>
      </c>
      <c r="I3567" t="s">
        <v>22</v>
      </c>
      <c r="J3567">
        <v>3.8</v>
      </c>
      <c r="K3567" t="s">
        <v>29</v>
      </c>
      <c r="L3567" t="s">
        <v>18</v>
      </c>
      <c r="M3567" t="str">
        <f>VLOOKUP(D3571,Restaurant_Master!A:B,2,FALSE)</f>
        <v>https://dynamic-media-cdn.tripadvisor.com/media/photo-o/1c/e7/04/0d/front-of-the-local-easily.jpg</v>
      </c>
    </row>
    <row r="3568" spans="1:13" x14ac:dyDescent="0.3">
      <c r="A3568" t="s">
        <v>3598</v>
      </c>
      <c r="B3568" s="1">
        <v>45461</v>
      </c>
      <c r="C3568" t="s">
        <v>13</v>
      </c>
      <c r="D3568" t="s">
        <v>25</v>
      </c>
      <c r="E3568">
        <v>55</v>
      </c>
      <c r="F3568" t="s">
        <v>28</v>
      </c>
      <c r="G3568">
        <v>980.18</v>
      </c>
      <c r="H3568">
        <v>33</v>
      </c>
      <c r="I3568" t="s">
        <v>22</v>
      </c>
      <c r="J3568">
        <v>4.0999999999999996</v>
      </c>
      <c r="K3568" t="s">
        <v>41</v>
      </c>
      <c r="L3568" t="s">
        <v>23</v>
      </c>
      <c r="M3568" t="str">
        <f>VLOOKUP(D3572,Restaurant_Master!A:B,2,FALSE)</f>
        <v>https://dineout-media-assets.swiggy.com/swiggy/image/upload/fl_lossy,f_auto,q_auto/v1660793737/fdqxvxcxg1wtdwvyv45v.jpg</v>
      </c>
    </row>
    <row r="3569" spans="1:13" x14ac:dyDescent="0.3">
      <c r="A3569" t="s">
        <v>3599</v>
      </c>
      <c r="B3569" s="1">
        <v>45422</v>
      </c>
      <c r="C3569" t="s">
        <v>34</v>
      </c>
      <c r="D3569" t="s">
        <v>38</v>
      </c>
      <c r="E3569">
        <v>26</v>
      </c>
      <c r="F3569" t="s">
        <v>28</v>
      </c>
      <c r="G3569">
        <v>1120.81</v>
      </c>
      <c r="H3569">
        <v>25</v>
      </c>
      <c r="I3569" t="s">
        <v>22</v>
      </c>
      <c r="J3569">
        <v>2.6</v>
      </c>
      <c r="K3569" t="s">
        <v>41</v>
      </c>
      <c r="L3569" t="s">
        <v>23</v>
      </c>
      <c r="M3569" t="str">
        <f>VLOOKUP(D3573,Restaurant_Master!A:B,2,FALSE)</f>
        <v>https://dynamic-media-cdn.tripadvisor.com/media/photo-o/1c/e7/04/0d/front-of-the-local-easily.jpg</v>
      </c>
    </row>
    <row r="3570" spans="1:13" x14ac:dyDescent="0.3">
      <c r="A3570" t="s">
        <v>3600</v>
      </c>
      <c r="B3570" s="1">
        <v>45388</v>
      </c>
      <c r="C3570" t="s">
        <v>13</v>
      </c>
      <c r="D3570" t="s">
        <v>38</v>
      </c>
      <c r="E3570">
        <v>35</v>
      </c>
      <c r="F3570" t="s">
        <v>28</v>
      </c>
      <c r="G3570">
        <v>605.14</v>
      </c>
      <c r="H3570">
        <v>51</v>
      </c>
      <c r="I3570" t="s">
        <v>16</v>
      </c>
      <c r="J3570">
        <v>4.9000000000000004</v>
      </c>
      <c r="K3570" t="s">
        <v>29</v>
      </c>
      <c r="L3570" t="s">
        <v>18</v>
      </c>
      <c r="M3570" t="str">
        <f>VLOOKUP(D3574,Restaurant_Master!A:B,2,FALSE)</f>
        <v>https://dineout-media-assets.swiggy.com/swiggy/image/upload/fl_lossy,f_auto,q_auto/v1660793737/fdqxvxcxg1wtdwvyv45v.jpg</v>
      </c>
    </row>
    <row r="3571" spans="1:13" x14ac:dyDescent="0.3">
      <c r="A3571" t="s">
        <v>3601</v>
      </c>
      <c r="B3571" s="1">
        <v>45641</v>
      </c>
      <c r="C3571" t="s">
        <v>36</v>
      </c>
      <c r="D3571" t="s">
        <v>21</v>
      </c>
      <c r="E3571">
        <v>22</v>
      </c>
      <c r="F3571" t="s">
        <v>15</v>
      </c>
      <c r="G3571">
        <v>809.14</v>
      </c>
      <c r="H3571">
        <v>22</v>
      </c>
      <c r="I3571" t="s">
        <v>22</v>
      </c>
      <c r="J3571">
        <v>3.2</v>
      </c>
      <c r="K3571" t="s">
        <v>41</v>
      </c>
      <c r="L3571" t="s">
        <v>23</v>
      </c>
      <c r="M3571" t="str">
        <f>VLOOKUP(D3575,Restaurant_Master!A:B,2,FALSE)</f>
        <v>https://dynamic-media-cdn.tripadvisor.com/media/photo-o/1c/e7/04/0d/front-of-the-local-easily.jpg</v>
      </c>
    </row>
    <row r="3572" spans="1:13" x14ac:dyDescent="0.3">
      <c r="A3572" t="s">
        <v>3602</v>
      </c>
      <c r="B3572" s="1">
        <v>45312</v>
      </c>
      <c r="C3572" t="s">
        <v>13</v>
      </c>
      <c r="D3572" t="s">
        <v>14</v>
      </c>
      <c r="E3572">
        <v>43</v>
      </c>
      <c r="F3572" t="s">
        <v>15</v>
      </c>
      <c r="G3572">
        <v>644.85</v>
      </c>
      <c r="H3572">
        <v>39</v>
      </c>
      <c r="I3572" t="s">
        <v>22</v>
      </c>
      <c r="J3572">
        <v>3.4</v>
      </c>
      <c r="K3572" t="s">
        <v>26</v>
      </c>
      <c r="L3572" t="s">
        <v>23</v>
      </c>
      <c r="M3572" t="str">
        <f>VLOOKUP(D3576,Restaurant_Master!A:B,2,FALSE)</f>
        <v>https://content.jdmagicbox.com/comp/deoria/g6/9999p5568.5568.200119143033.m4g6/catalogue/biryani-house-deoria-ho-deoria-mktc2xph0o.jpg</v>
      </c>
    </row>
    <row r="3573" spans="1:13" x14ac:dyDescent="0.3">
      <c r="A3573" t="s">
        <v>3603</v>
      </c>
      <c r="B3573" s="1">
        <v>45446</v>
      </c>
      <c r="C3573" t="s">
        <v>34</v>
      </c>
      <c r="D3573" t="s">
        <v>21</v>
      </c>
      <c r="E3573">
        <v>21</v>
      </c>
      <c r="F3573" t="s">
        <v>15</v>
      </c>
      <c r="G3573">
        <v>224.22</v>
      </c>
      <c r="H3573">
        <v>29</v>
      </c>
      <c r="I3573" t="s">
        <v>22</v>
      </c>
      <c r="J3573">
        <v>3.3</v>
      </c>
      <c r="K3573" t="s">
        <v>41</v>
      </c>
      <c r="L3573" t="s">
        <v>23</v>
      </c>
      <c r="M3573" t="str">
        <f>VLOOKUP(D3577,Restaurant_Master!A:B,2,FALSE)</f>
        <v>https://dineout-media-assets.swiggy.com/swiggy/image/upload/fl_lossy,f_auto,q_auto/v1660793737/fdqxvxcxg1wtdwvyv45v.jpg</v>
      </c>
    </row>
    <row r="3574" spans="1:13" x14ac:dyDescent="0.3">
      <c r="A3574" t="s">
        <v>3604</v>
      </c>
      <c r="B3574" s="1">
        <v>45546</v>
      </c>
      <c r="C3574" t="s">
        <v>36</v>
      </c>
      <c r="D3574" t="s">
        <v>14</v>
      </c>
      <c r="E3574">
        <v>32</v>
      </c>
      <c r="F3574" t="s">
        <v>15</v>
      </c>
      <c r="G3574">
        <v>310.04000000000002</v>
      </c>
      <c r="H3574">
        <v>43</v>
      </c>
      <c r="I3574" t="s">
        <v>16</v>
      </c>
      <c r="J3574">
        <v>4.5999999999999996</v>
      </c>
      <c r="K3574" t="s">
        <v>41</v>
      </c>
      <c r="L3574" t="s">
        <v>18</v>
      </c>
      <c r="M3574" t="str">
        <f>VLOOKUP(D3578,Restaurant_Master!A:B,2,FALSE)</f>
        <v>https://www.chatswoodinterchange.com/storages/2018/08/Sushi-World_666x448.jpg</v>
      </c>
    </row>
    <row r="3575" spans="1:13" x14ac:dyDescent="0.3">
      <c r="A3575" t="s">
        <v>3605</v>
      </c>
      <c r="B3575" s="1">
        <v>45626</v>
      </c>
      <c r="C3575" t="s">
        <v>36</v>
      </c>
      <c r="D3575" t="s">
        <v>21</v>
      </c>
      <c r="E3575">
        <v>33</v>
      </c>
      <c r="F3575" t="s">
        <v>28</v>
      </c>
      <c r="G3575">
        <v>500.89</v>
      </c>
      <c r="H3575">
        <v>38</v>
      </c>
      <c r="I3575" t="s">
        <v>22</v>
      </c>
      <c r="J3575">
        <v>3.4</v>
      </c>
      <c r="K3575" t="s">
        <v>17</v>
      </c>
      <c r="L3575" t="s">
        <v>23</v>
      </c>
      <c r="M3575" t="str">
        <f>VLOOKUP(D3579,Restaurant_Master!A:B,2,FALSE)</f>
        <v>https://dineout-media-assets.swiggy.com/swiggy/image/upload/fl_lossy,f_auto,q_auto/v1660793737/fdqxvxcxg1wtdwvyv45v.jpg</v>
      </c>
    </row>
    <row r="3576" spans="1:13" x14ac:dyDescent="0.3">
      <c r="A3576" t="s">
        <v>3606</v>
      </c>
      <c r="B3576" s="1">
        <v>45602</v>
      </c>
      <c r="C3576" t="s">
        <v>20</v>
      </c>
      <c r="D3576" t="s">
        <v>32</v>
      </c>
      <c r="E3576">
        <v>25</v>
      </c>
      <c r="F3576" t="s">
        <v>15</v>
      </c>
      <c r="G3576">
        <v>326.25</v>
      </c>
      <c r="H3576">
        <v>20</v>
      </c>
      <c r="I3576" t="s">
        <v>22</v>
      </c>
      <c r="J3576">
        <v>2.8</v>
      </c>
      <c r="K3576" t="s">
        <v>41</v>
      </c>
      <c r="L3576" t="s">
        <v>23</v>
      </c>
      <c r="M3576" t="str">
        <f>VLOOKUP(D3580,Restaurant_Master!A:B,2,FALSE)</f>
        <v>https://www.chatswoodinterchange.com/storages/2018/08/Sushi-World_666x448.jpg</v>
      </c>
    </row>
    <row r="3577" spans="1:13" x14ac:dyDescent="0.3">
      <c r="A3577" t="s">
        <v>3607</v>
      </c>
      <c r="B3577" s="1">
        <v>45397</v>
      </c>
      <c r="C3577" t="s">
        <v>13</v>
      </c>
      <c r="D3577" t="s">
        <v>14</v>
      </c>
      <c r="E3577">
        <v>51</v>
      </c>
      <c r="F3577" t="s">
        <v>28</v>
      </c>
      <c r="G3577">
        <v>899.02</v>
      </c>
      <c r="H3577">
        <v>35</v>
      </c>
      <c r="I3577" t="s">
        <v>22</v>
      </c>
      <c r="J3577">
        <v>4.3</v>
      </c>
      <c r="K3577" t="s">
        <v>26</v>
      </c>
      <c r="L3577" t="s">
        <v>18</v>
      </c>
      <c r="M3577" t="str">
        <f>VLOOKUP(D3581,Restaurant_Master!A:B,2,FALSE)</f>
        <v>https://content.jdmagicbox.com/comp/deoria/g6/9999p5568.5568.200119143033.m4g6/catalogue/biryani-house-deoria-ho-deoria-mktc2xph0o.jpg</v>
      </c>
    </row>
    <row r="3578" spans="1:13" x14ac:dyDescent="0.3">
      <c r="A3578" t="s">
        <v>3608</v>
      </c>
      <c r="B3578" s="1">
        <v>45533</v>
      </c>
      <c r="C3578" t="s">
        <v>20</v>
      </c>
      <c r="D3578" t="s">
        <v>38</v>
      </c>
      <c r="E3578">
        <v>58</v>
      </c>
      <c r="F3578" t="s">
        <v>28</v>
      </c>
      <c r="G3578">
        <v>1072.33</v>
      </c>
      <c r="H3578">
        <v>54</v>
      </c>
      <c r="I3578" t="s">
        <v>16</v>
      </c>
      <c r="J3578">
        <v>4.8</v>
      </c>
      <c r="K3578" t="s">
        <v>29</v>
      </c>
      <c r="L3578" t="s">
        <v>23</v>
      </c>
      <c r="M3578" t="str">
        <f>VLOOKUP(D3582,Restaurant_Master!A:B,2,FALSE)</f>
        <v>https://www.chatswoodinterchange.com/storages/2018/08/Sushi-World_666x448.jpg</v>
      </c>
    </row>
    <row r="3579" spans="1:13" x14ac:dyDescent="0.3">
      <c r="A3579" t="s">
        <v>3609</v>
      </c>
      <c r="B3579" s="1">
        <v>45356</v>
      </c>
      <c r="C3579" t="s">
        <v>20</v>
      </c>
      <c r="D3579" t="s">
        <v>14</v>
      </c>
      <c r="E3579">
        <v>46</v>
      </c>
      <c r="F3579" t="s">
        <v>28</v>
      </c>
      <c r="G3579">
        <v>990.89</v>
      </c>
      <c r="H3579">
        <v>48</v>
      </c>
      <c r="I3579" t="s">
        <v>16</v>
      </c>
      <c r="J3579">
        <v>4.7</v>
      </c>
      <c r="K3579" t="s">
        <v>26</v>
      </c>
      <c r="L3579" t="s">
        <v>23</v>
      </c>
      <c r="M3579" t="str">
        <f>VLOOKUP(D3583,Restaurant_Master!A:B,2,FALSE)</f>
        <v>https://dynamic-media-cdn.tripadvisor.com/media/photo-o/1c/e7/04/0d/front-of-the-local-easily.jpg</v>
      </c>
    </row>
    <row r="3580" spans="1:13" x14ac:dyDescent="0.3">
      <c r="A3580" t="s">
        <v>3610</v>
      </c>
      <c r="B3580" s="1">
        <v>45532</v>
      </c>
      <c r="C3580" t="s">
        <v>13</v>
      </c>
      <c r="D3580" t="s">
        <v>38</v>
      </c>
      <c r="E3580">
        <v>21</v>
      </c>
      <c r="F3580" t="s">
        <v>15</v>
      </c>
      <c r="G3580">
        <v>497.14</v>
      </c>
      <c r="H3580">
        <v>39</v>
      </c>
      <c r="I3580" t="s">
        <v>22</v>
      </c>
      <c r="J3580">
        <v>5</v>
      </c>
      <c r="K3580" t="s">
        <v>17</v>
      </c>
      <c r="L3580" t="s">
        <v>18</v>
      </c>
      <c r="M3580" t="str">
        <f>VLOOKUP(D3584,Restaurant_Master!A:B,2,FALSE)</f>
        <v>https://dynamic-media-cdn.tripadvisor.com/media/photo-o/1c/e7/04/0d/front-of-the-local-easily.jpg</v>
      </c>
    </row>
    <row r="3581" spans="1:13" x14ac:dyDescent="0.3">
      <c r="A3581" t="s">
        <v>3611</v>
      </c>
      <c r="B3581" s="1">
        <v>45634</v>
      </c>
      <c r="C3581" t="s">
        <v>34</v>
      </c>
      <c r="D3581" t="s">
        <v>32</v>
      </c>
      <c r="E3581">
        <v>26</v>
      </c>
      <c r="F3581" t="s">
        <v>28</v>
      </c>
      <c r="G3581">
        <v>867.24</v>
      </c>
      <c r="H3581">
        <v>28</v>
      </c>
      <c r="I3581" t="s">
        <v>22</v>
      </c>
      <c r="J3581">
        <v>4.0999999999999996</v>
      </c>
      <c r="K3581" t="s">
        <v>26</v>
      </c>
      <c r="L3581" t="s">
        <v>23</v>
      </c>
      <c r="M3581" t="str">
        <f>VLOOKUP(D3585,Restaurant_Master!A:B,2,FALSE)</f>
        <v>https://dynamic-media-cdn.tripadvisor.com/media/photo-o/1c/e7/04/0d/front-of-the-local-easily.jpg</v>
      </c>
    </row>
    <row r="3582" spans="1:13" x14ac:dyDescent="0.3">
      <c r="A3582" t="s">
        <v>3612</v>
      </c>
      <c r="B3582" s="1">
        <v>45615</v>
      </c>
      <c r="C3582" t="s">
        <v>13</v>
      </c>
      <c r="D3582" t="s">
        <v>38</v>
      </c>
      <c r="E3582">
        <v>28</v>
      </c>
      <c r="F3582" t="s">
        <v>15</v>
      </c>
      <c r="G3582">
        <v>260.43</v>
      </c>
      <c r="H3582">
        <v>33</v>
      </c>
      <c r="I3582" t="s">
        <v>22</v>
      </c>
      <c r="J3582">
        <v>3.5</v>
      </c>
      <c r="K3582" t="s">
        <v>26</v>
      </c>
      <c r="L3582" t="s">
        <v>18</v>
      </c>
      <c r="M3582" t="str">
        <f>VLOOKUP(D3586,Restaurant_Master!A:B,2,FALSE)</f>
        <v>https://media-cdn.tripadvisor.com/media/photo-s/1c/c7/97/b6/photo6jpg.jpg</v>
      </c>
    </row>
    <row r="3583" spans="1:13" x14ac:dyDescent="0.3">
      <c r="A3583" t="s">
        <v>3613</v>
      </c>
      <c r="B3583" s="1">
        <v>45301</v>
      </c>
      <c r="C3583" t="s">
        <v>34</v>
      </c>
      <c r="D3583" t="s">
        <v>21</v>
      </c>
      <c r="E3583">
        <v>60</v>
      </c>
      <c r="F3583" t="s">
        <v>28</v>
      </c>
      <c r="G3583">
        <v>248.92</v>
      </c>
      <c r="H3583">
        <v>30</v>
      </c>
      <c r="I3583" t="s">
        <v>22</v>
      </c>
      <c r="J3583">
        <v>3.9</v>
      </c>
      <c r="K3583" t="s">
        <v>26</v>
      </c>
      <c r="L3583" t="s">
        <v>18</v>
      </c>
      <c r="M3583" t="str">
        <f>VLOOKUP(D3587,Restaurant_Master!A:B,2,FALSE)</f>
        <v>https://media-cdn.tripadvisor.com/media/photo-s/1c/c7/97/b6/photo6jpg.jpg</v>
      </c>
    </row>
    <row r="3584" spans="1:13" x14ac:dyDescent="0.3">
      <c r="A3584" t="s">
        <v>3614</v>
      </c>
      <c r="B3584" s="1">
        <v>45518</v>
      </c>
      <c r="C3584" t="s">
        <v>20</v>
      </c>
      <c r="D3584" t="s">
        <v>21</v>
      </c>
      <c r="E3584">
        <v>25</v>
      </c>
      <c r="F3584" t="s">
        <v>15</v>
      </c>
      <c r="G3584">
        <v>324.29000000000002</v>
      </c>
      <c r="H3584">
        <v>32</v>
      </c>
      <c r="I3584" t="s">
        <v>22</v>
      </c>
      <c r="J3584">
        <v>3.9</v>
      </c>
      <c r="K3584" t="s">
        <v>26</v>
      </c>
      <c r="L3584" t="s">
        <v>23</v>
      </c>
      <c r="M3584" t="str">
        <f>VLOOKUP(D3588,Restaurant_Master!A:B,2,FALSE)</f>
        <v>https://media-cdn.tripadvisor.com/media/photo-s/1c/c7/97/b6/photo6jpg.jpg</v>
      </c>
    </row>
    <row r="3585" spans="1:13" x14ac:dyDescent="0.3">
      <c r="A3585" t="s">
        <v>3615</v>
      </c>
      <c r="B3585" s="1">
        <v>45582</v>
      </c>
      <c r="C3585" t="s">
        <v>36</v>
      </c>
      <c r="D3585" t="s">
        <v>21</v>
      </c>
      <c r="E3585">
        <v>36</v>
      </c>
      <c r="F3585" t="s">
        <v>15</v>
      </c>
      <c r="G3585">
        <v>281.89999999999998</v>
      </c>
      <c r="H3585">
        <v>30</v>
      </c>
      <c r="I3585" t="s">
        <v>22</v>
      </c>
      <c r="J3585">
        <v>4.3</v>
      </c>
      <c r="K3585" t="s">
        <v>29</v>
      </c>
      <c r="L3585" t="s">
        <v>23</v>
      </c>
      <c r="M3585" t="str">
        <f>VLOOKUP(D3589,Restaurant_Master!A:B,2,FALSE)</f>
        <v>https://media-cdn.tripadvisor.com/media/photo-s/1c/c7/97/b6/photo6jpg.jpg</v>
      </c>
    </row>
    <row r="3586" spans="1:13" x14ac:dyDescent="0.3">
      <c r="A3586" t="s">
        <v>3616</v>
      </c>
      <c r="B3586" s="1">
        <v>45388</v>
      </c>
      <c r="C3586" t="s">
        <v>43</v>
      </c>
      <c r="D3586" t="s">
        <v>25</v>
      </c>
      <c r="E3586">
        <v>38</v>
      </c>
      <c r="F3586" t="s">
        <v>28</v>
      </c>
      <c r="G3586">
        <v>816.56</v>
      </c>
      <c r="H3586">
        <v>45</v>
      </c>
      <c r="I3586" t="s">
        <v>16</v>
      </c>
      <c r="J3586">
        <v>3.6</v>
      </c>
      <c r="K3586" t="s">
        <v>41</v>
      </c>
      <c r="L3586" t="s">
        <v>18</v>
      </c>
      <c r="M3586" t="str">
        <f>VLOOKUP(D3590,Restaurant_Master!A:B,2,FALSE)</f>
        <v>https://dineout-media-assets.swiggy.com/swiggy/image/upload/fl_lossy,f_auto,q_auto/v1660793737/fdqxvxcxg1wtdwvyv45v.jpg</v>
      </c>
    </row>
    <row r="3587" spans="1:13" x14ac:dyDescent="0.3">
      <c r="A3587" t="s">
        <v>3617</v>
      </c>
      <c r="B3587" s="1">
        <v>45506</v>
      </c>
      <c r="C3587" t="s">
        <v>20</v>
      </c>
      <c r="D3587" t="s">
        <v>25</v>
      </c>
      <c r="E3587">
        <v>60</v>
      </c>
      <c r="F3587" t="s">
        <v>15</v>
      </c>
      <c r="G3587">
        <v>307.89</v>
      </c>
      <c r="H3587">
        <v>44</v>
      </c>
      <c r="I3587" t="s">
        <v>16</v>
      </c>
      <c r="J3587">
        <v>2.5</v>
      </c>
      <c r="K3587" t="s">
        <v>41</v>
      </c>
      <c r="L3587" t="s">
        <v>18</v>
      </c>
      <c r="M3587" t="str">
        <f>VLOOKUP(D3591,Restaurant_Master!A:B,2,FALSE)</f>
        <v>https://dineout-media-assets.swiggy.com/swiggy/image/upload/fl_lossy,f_auto,q_auto/v1660793737/fdqxvxcxg1wtdwvyv45v.jpg</v>
      </c>
    </row>
    <row r="3588" spans="1:13" x14ac:dyDescent="0.3">
      <c r="A3588" t="s">
        <v>3618</v>
      </c>
      <c r="B3588" s="1">
        <v>45465</v>
      </c>
      <c r="C3588" t="s">
        <v>13</v>
      </c>
      <c r="D3588" t="s">
        <v>25</v>
      </c>
      <c r="E3588">
        <v>44</v>
      </c>
      <c r="F3588" t="s">
        <v>28</v>
      </c>
      <c r="G3588">
        <v>638.52</v>
      </c>
      <c r="H3588">
        <v>20</v>
      </c>
      <c r="I3588" t="s">
        <v>22</v>
      </c>
      <c r="J3588">
        <v>4.9000000000000004</v>
      </c>
      <c r="K3588" t="s">
        <v>41</v>
      </c>
      <c r="L3588" t="s">
        <v>23</v>
      </c>
      <c r="M3588" t="str">
        <f>VLOOKUP(D3592,Restaurant_Master!A:B,2,FALSE)</f>
        <v>https://dynamic-media-cdn.tripadvisor.com/media/photo-o/1c/e7/04/0d/front-of-the-local-easily.jpg</v>
      </c>
    </row>
    <row r="3589" spans="1:13" x14ac:dyDescent="0.3">
      <c r="A3589" t="s">
        <v>3619</v>
      </c>
      <c r="B3589" s="1">
        <v>45544</v>
      </c>
      <c r="C3589" t="s">
        <v>36</v>
      </c>
      <c r="D3589" t="s">
        <v>25</v>
      </c>
      <c r="E3589">
        <v>60</v>
      </c>
      <c r="F3589" t="s">
        <v>28</v>
      </c>
      <c r="G3589">
        <v>760.88</v>
      </c>
      <c r="H3589">
        <v>38</v>
      </c>
      <c r="I3589" t="s">
        <v>22</v>
      </c>
      <c r="J3589">
        <v>3.6</v>
      </c>
      <c r="K3589" t="s">
        <v>41</v>
      </c>
      <c r="L3589" t="s">
        <v>18</v>
      </c>
      <c r="M3589" t="str">
        <f>VLOOKUP(D3593,Restaurant_Master!A:B,2,FALSE)</f>
        <v>https://dineout-media-assets.swiggy.com/swiggy/image/upload/fl_lossy,f_auto,q_auto/v1660793737/fdqxvxcxg1wtdwvyv45v.jpg</v>
      </c>
    </row>
    <row r="3590" spans="1:13" x14ac:dyDescent="0.3">
      <c r="A3590" t="s">
        <v>3620</v>
      </c>
      <c r="B3590" s="1">
        <v>45526</v>
      </c>
      <c r="C3590" t="s">
        <v>20</v>
      </c>
      <c r="D3590" t="s">
        <v>14</v>
      </c>
      <c r="E3590">
        <v>40</v>
      </c>
      <c r="F3590" t="s">
        <v>15</v>
      </c>
      <c r="G3590">
        <v>807.19</v>
      </c>
      <c r="H3590">
        <v>32</v>
      </c>
      <c r="I3590" t="s">
        <v>22</v>
      </c>
      <c r="J3590">
        <v>3.2</v>
      </c>
      <c r="K3590" t="s">
        <v>17</v>
      </c>
      <c r="L3590" t="s">
        <v>23</v>
      </c>
      <c r="M3590" t="str">
        <f>VLOOKUP(D3594,Restaurant_Master!A:B,2,FALSE)</f>
        <v>https://www.chatswoodinterchange.com/storages/2018/08/Sushi-World_666x448.jpg</v>
      </c>
    </row>
    <row r="3591" spans="1:13" x14ac:dyDescent="0.3">
      <c r="A3591" t="s">
        <v>3621</v>
      </c>
      <c r="B3591" s="1">
        <v>45308</v>
      </c>
      <c r="C3591" t="s">
        <v>13</v>
      </c>
      <c r="D3591" t="s">
        <v>14</v>
      </c>
      <c r="E3591">
        <v>27</v>
      </c>
      <c r="F3591" t="s">
        <v>15</v>
      </c>
      <c r="G3591">
        <v>730.31</v>
      </c>
      <c r="H3591">
        <v>27</v>
      </c>
      <c r="I3591" t="s">
        <v>22</v>
      </c>
      <c r="J3591">
        <v>3.4</v>
      </c>
      <c r="K3591" t="s">
        <v>17</v>
      </c>
      <c r="L3591" t="s">
        <v>23</v>
      </c>
      <c r="M3591" t="str">
        <f>VLOOKUP(D3595,Restaurant_Master!A:B,2,FALSE)</f>
        <v>https://media-cdn.tripadvisor.com/media/photo-s/1c/c7/97/b6/photo6jpg.jpg</v>
      </c>
    </row>
    <row r="3592" spans="1:13" x14ac:dyDescent="0.3">
      <c r="A3592" t="s">
        <v>3622</v>
      </c>
      <c r="B3592" s="1">
        <v>45330</v>
      </c>
      <c r="C3592" t="s">
        <v>20</v>
      </c>
      <c r="D3592" t="s">
        <v>21</v>
      </c>
      <c r="E3592">
        <v>44</v>
      </c>
      <c r="F3592" t="s">
        <v>28</v>
      </c>
      <c r="G3592">
        <v>657.35</v>
      </c>
      <c r="H3592">
        <v>42</v>
      </c>
      <c r="I3592" t="s">
        <v>16</v>
      </c>
      <c r="J3592">
        <v>5</v>
      </c>
      <c r="K3592" t="s">
        <v>41</v>
      </c>
      <c r="L3592" t="s">
        <v>18</v>
      </c>
      <c r="M3592" t="str">
        <f>VLOOKUP(D3596,Restaurant_Master!A:B,2,FALSE)</f>
        <v>https://dineout-media-assets.swiggy.com/swiggy/image/upload/fl_lossy,f_auto,q_auto/v1660793737/fdqxvxcxg1wtdwvyv45v.jpg</v>
      </c>
    </row>
    <row r="3593" spans="1:13" x14ac:dyDescent="0.3">
      <c r="A3593" t="s">
        <v>3623</v>
      </c>
      <c r="B3593" s="1">
        <v>45525</v>
      </c>
      <c r="C3593" t="s">
        <v>43</v>
      </c>
      <c r="D3593" t="s">
        <v>14</v>
      </c>
      <c r="E3593">
        <v>41</v>
      </c>
      <c r="F3593" t="s">
        <v>15</v>
      </c>
      <c r="G3593">
        <v>186.36</v>
      </c>
      <c r="H3593">
        <v>33</v>
      </c>
      <c r="I3593" t="s">
        <v>22</v>
      </c>
      <c r="J3593">
        <v>3.2</v>
      </c>
      <c r="K3593" t="s">
        <v>29</v>
      </c>
      <c r="L3593" t="s">
        <v>23</v>
      </c>
      <c r="M3593" t="str">
        <f>VLOOKUP(D3597,Restaurant_Master!A:B,2,FALSE)</f>
        <v>https://media-cdn.tripadvisor.com/media/photo-s/1c/c7/97/b6/photo6jpg.jpg</v>
      </c>
    </row>
    <row r="3594" spans="1:13" x14ac:dyDescent="0.3">
      <c r="A3594" t="s">
        <v>3624</v>
      </c>
      <c r="B3594" s="1">
        <v>45566</v>
      </c>
      <c r="C3594" t="s">
        <v>36</v>
      </c>
      <c r="D3594" t="s">
        <v>38</v>
      </c>
      <c r="E3594">
        <v>26</v>
      </c>
      <c r="F3594" t="s">
        <v>15</v>
      </c>
      <c r="G3594">
        <v>234.26</v>
      </c>
      <c r="H3594">
        <v>33</v>
      </c>
      <c r="I3594" t="s">
        <v>22</v>
      </c>
      <c r="J3594">
        <v>4.5</v>
      </c>
      <c r="K3594" t="s">
        <v>29</v>
      </c>
      <c r="L3594" t="s">
        <v>18</v>
      </c>
      <c r="M3594" t="str">
        <f>VLOOKUP(D3598,Restaurant_Master!A:B,2,FALSE)</f>
        <v>https://media-cdn.tripadvisor.com/media/photo-s/1c/c7/97/b6/photo6jpg.jpg</v>
      </c>
    </row>
    <row r="3595" spans="1:13" x14ac:dyDescent="0.3">
      <c r="A3595" t="s">
        <v>3625</v>
      </c>
      <c r="B3595" s="1">
        <v>45489</v>
      </c>
      <c r="C3595" t="s">
        <v>36</v>
      </c>
      <c r="D3595" t="s">
        <v>25</v>
      </c>
      <c r="E3595">
        <v>35</v>
      </c>
      <c r="F3595" t="s">
        <v>15</v>
      </c>
      <c r="G3595">
        <v>383.43</v>
      </c>
      <c r="H3595">
        <v>39</v>
      </c>
      <c r="I3595" t="s">
        <v>22</v>
      </c>
      <c r="J3595">
        <v>3.7</v>
      </c>
      <c r="K3595" t="s">
        <v>29</v>
      </c>
      <c r="L3595" t="s">
        <v>18</v>
      </c>
      <c r="M3595" t="str">
        <f>VLOOKUP(D3599,Restaurant_Master!A:B,2,FALSE)</f>
        <v>https://dynamic-media-cdn.tripadvisor.com/media/photo-o/1c/e7/04/0d/front-of-the-local-easily.jpg</v>
      </c>
    </row>
    <row r="3596" spans="1:13" x14ac:dyDescent="0.3">
      <c r="A3596" t="s">
        <v>3626</v>
      </c>
      <c r="B3596" s="1">
        <v>45502</v>
      </c>
      <c r="C3596" t="s">
        <v>34</v>
      </c>
      <c r="D3596" t="s">
        <v>14</v>
      </c>
      <c r="E3596">
        <v>25</v>
      </c>
      <c r="F3596" t="s">
        <v>15</v>
      </c>
      <c r="G3596">
        <v>1028.81</v>
      </c>
      <c r="H3596">
        <v>21</v>
      </c>
      <c r="I3596" t="s">
        <v>22</v>
      </c>
      <c r="J3596">
        <v>3.4</v>
      </c>
      <c r="K3596" t="s">
        <v>29</v>
      </c>
      <c r="L3596" t="s">
        <v>23</v>
      </c>
      <c r="M3596" t="str">
        <f>VLOOKUP(D3600,Restaurant_Master!A:B,2,FALSE)</f>
        <v>https://media-cdn.tripadvisor.com/media/photo-s/1c/c7/97/b6/photo6jpg.jpg</v>
      </c>
    </row>
    <row r="3597" spans="1:13" x14ac:dyDescent="0.3">
      <c r="A3597" t="s">
        <v>3627</v>
      </c>
      <c r="B3597" s="1">
        <v>45476</v>
      </c>
      <c r="C3597" t="s">
        <v>34</v>
      </c>
      <c r="D3597" t="s">
        <v>25</v>
      </c>
      <c r="E3597">
        <v>40</v>
      </c>
      <c r="F3597" t="s">
        <v>28</v>
      </c>
      <c r="G3597">
        <v>875.42</v>
      </c>
      <c r="H3597">
        <v>22</v>
      </c>
      <c r="I3597" t="s">
        <v>22</v>
      </c>
      <c r="J3597">
        <v>4.5999999999999996</v>
      </c>
      <c r="K3597" t="s">
        <v>26</v>
      </c>
      <c r="L3597" t="s">
        <v>18</v>
      </c>
      <c r="M3597" t="str">
        <f>VLOOKUP(D3601,Restaurant_Master!A:B,2,FALSE)</f>
        <v>https://www.chatswoodinterchange.com/storages/2018/08/Sushi-World_666x448.jpg</v>
      </c>
    </row>
    <row r="3598" spans="1:13" x14ac:dyDescent="0.3">
      <c r="A3598" t="s">
        <v>3628</v>
      </c>
      <c r="B3598" s="1">
        <v>45604</v>
      </c>
      <c r="C3598" t="s">
        <v>13</v>
      </c>
      <c r="D3598" t="s">
        <v>25</v>
      </c>
      <c r="E3598">
        <v>36</v>
      </c>
      <c r="F3598" t="s">
        <v>28</v>
      </c>
      <c r="G3598">
        <v>187.61</v>
      </c>
      <c r="H3598">
        <v>38</v>
      </c>
      <c r="I3598" t="s">
        <v>22</v>
      </c>
      <c r="J3598">
        <v>3</v>
      </c>
      <c r="K3598" t="s">
        <v>41</v>
      </c>
      <c r="L3598" t="s">
        <v>18</v>
      </c>
      <c r="M3598" t="str">
        <f>VLOOKUP(D3602,Restaurant_Master!A:B,2,FALSE)</f>
        <v>https://content.jdmagicbox.com/comp/deoria/g6/9999p5568.5568.200119143033.m4g6/catalogue/biryani-house-deoria-ho-deoria-mktc2xph0o.jpg</v>
      </c>
    </row>
    <row r="3599" spans="1:13" x14ac:dyDescent="0.3">
      <c r="A3599" t="s">
        <v>3629</v>
      </c>
      <c r="B3599" s="1">
        <v>45365</v>
      </c>
      <c r="C3599" t="s">
        <v>13</v>
      </c>
      <c r="D3599" t="s">
        <v>21</v>
      </c>
      <c r="E3599">
        <v>18</v>
      </c>
      <c r="F3599" t="s">
        <v>28</v>
      </c>
      <c r="G3599">
        <v>1171.25</v>
      </c>
      <c r="H3599">
        <v>22</v>
      </c>
      <c r="I3599" t="s">
        <v>22</v>
      </c>
      <c r="J3599">
        <v>2.9</v>
      </c>
      <c r="K3599" t="s">
        <v>29</v>
      </c>
      <c r="L3599" t="s">
        <v>23</v>
      </c>
      <c r="M3599" t="str">
        <f>VLOOKUP(D3603,Restaurant_Master!A:B,2,FALSE)</f>
        <v>https://media-cdn.tripadvisor.com/media/photo-s/1c/c7/97/b6/photo6jpg.jpg</v>
      </c>
    </row>
    <row r="3600" spans="1:13" x14ac:dyDescent="0.3">
      <c r="A3600" t="s">
        <v>3630</v>
      </c>
      <c r="B3600" s="1">
        <v>45514</v>
      </c>
      <c r="C3600" t="s">
        <v>34</v>
      </c>
      <c r="D3600" t="s">
        <v>25</v>
      </c>
      <c r="E3600">
        <v>36</v>
      </c>
      <c r="F3600" t="s">
        <v>15</v>
      </c>
      <c r="G3600">
        <v>579.02</v>
      </c>
      <c r="H3600">
        <v>37</v>
      </c>
      <c r="I3600" t="s">
        <v>22</v>
      </c>
      <c r="J3600">
        <v>4.4000000000000004</v>
      </c>
      <c r="K3600" t="s">
        <v>29</v>
      </c>
      <c r="L3600" t="s">
        <v>18</v>
      </c>
      <c r="M3600" t="str">
        <f>VLOOKUP(D3604,Restaurant_Master!A:B,2,FALSE)</f>
        <v>https://dineout-media-assets.swiggy.com/swiggy/image/upload/fl_lossy,f_auto,q_auto/v1660793737/fdqxvxcxg1wtdwvyv45v.jpg</v>
      </c>
    </row>
    <row r="3601" spans="1:13" x14ac:dyDescent="0.3">
      <c r="A3601" t="s">
        <v>3631</v>
      </c>
      <c r="B3601" s="1">
        <v>45388</v>
      </c>
      <c r="C3601" t="s">
        <v>43</v>
      </c>
      <c r="D3601" t="s">
        <v>38</v>
      </c>
      <c r="E3601">
        <v>23</v>
      </c>
      <c r="F3601" t="s">
        <v>28</v>
      </c>
      <c r="G3601">
        <v>474.64</v>
      </c>
      <c r="H3601">
        <v>31</v>
      </c>
      <c r="I3601" t="s">
        <v>22</v>
      </c>
      <c r="J3601">
        <v>4</v>
      </c>
      <c r="K3601" t="s">
        <v>41</v>
      </c>
      <c r="L3601" t="s">
        <v>18</v>
      </c>
      <c r="M3601" t="str">
        <f>VLOOKUP(D3605,Restaurant_Master!A:B,2,FALSE)</f>
        <v>https://www.chatswoodinterchange.com/storages/2018/08/Sushi-World_666x448.jpg</v>
      </c>
    </row>
    <row r="3602" spans="1:13" x14ac:dyDescent="0.3">
      <c r="A3602" t="s">
        <v>3632</v>
      </c>
      <c r="B3602" s="1">
        <v>45312</v>
      </c>
      <c r="C3602" t="s">
        <v>13</v>
      </c>
      <c r="D3602" t="s">
        <v>32</v>
      </c>
      <c r="E3602">
        <v>41</v>
      </c>
      <c r="F3602" t="s">
        <v>28</v>
      </c>
      <c r="G3602">
        <v>153.41999999999999</v>
      </c>
      <c r="H3602">
        <v>23</v>
      </c>
      <c r="I3602" t="s">
        <v>22</v>
      </c>
      <c r="J3602">
        <v>4</v>
      </c>
      <c r="K3602" t="s">
        <v>17</v>
      </c>
      <c r="L3602" t="s">
        <v>18</v>
      </c>
      <c r="M3602" t="str">
        <f>VLOOKUP(D3606,Restaurant_Master!A:B,2,FALSE)</f>
        <v>https://media-cdn.tripadvisor.com/media/photo-s/1c/c7/97/b6/photo6jpg.jpg</v>
      </c>
    </row>
    <row r="3603" spans="1:13" x14ac:dyDescent="0.3">
      <c r="A3603" t="s">
        <v>3633</v>
      </c>
      <c r="B3603" s="1">
        <v>45384</v>
      </c>
      <c r="C3603" t="s">
        <v>34</v>
      </c>
      <c r="D3603" t="s">
        <v>25</v>
      </c>
      <c r="E3603">
        <v>33</v>
      </c>
      <c r="F3603" t="s">
        <v>15</v>
      </c>
      <c r="G3603">
        <v>1116.51</v>
      </c>
      <c r="H3603">
        <v>60</v>
      </c>
      <c r="I3603" t="s">
        <v>16</v>
      </c>
      <c r="J3603">
        <v>3.2</v>
      </c>
      <c r="K3603" t="s">
        <v>41</v>
      </c>
      <c r="L3603" t="s">
        <v>23</v>
      </c>
      <c r="M3603" t="str">
        <f>VLOOKUP(D3607,Restaurant_Master!A:B,2,FALSE)</f>
        <v>https://media-cdn.tripadvisor.com/media/photo-s/1c/c7/97/b6/photo6jpg.jpg</v>
      </c>
    </row>
    <row r="3604" spans="1:13" x14ac:dyDescent="0.3">
      <c r="A3604" t="s">
        <v>3634</v>
      </c>
      <c r="B3604" s="1">
        <v>45362</v>
      </c>
      <c r="C3604" t="s">
        <v>20</v>
      </c>
      <c r="D3604" t="s">
        <v>14</v>
      </c>
      <c r="E3604">
        <v>53</v>
      </c>
      <c r="F3604" t="s">
        <v>28</v>
      </c>
      <c r="G3604">
        <v>170.08</v>
      </c>
      <c r="H3604">
        <v>59</v>
      </c>
      <c r="I3604" t="s">
        <v>16</v>
      </c>
      <c r="J3604">
        <v>4</v>
      </c>
      <c r="K3604" t="s">
        <v>26</v>
      </c>
      <c r="L3604" t="s">
        <v>18</v>
      </c>
      <c r="M3604" t="str">
        <f>VLOOKUP(D3608,Restaurant_Master!A:B,2,FALSE)</f>
        <v>https://dynamic-media-cdn.tripadvisor.com/media/photo-o/1c/e7/04/0d/front-of-the-local-easily.jpg</v>
      </c>
    </row>
    <row r="3605" spans="1:13" x14ac:dyDescent="0.3">
      <c r="A3605" t="s">
        <v>3635</v>
      </c>
      <c r="B3605" s="1">
        <v>45388</v>
      </c>
      <c r="C3605" t="s">
        <v>20</v>
      </c>
      <c r="D3605" t="s">
        <v>38</v>
      </c>
      <c r="E3605">
        <v>24</v>
      </c>
      <c r="F3605" t="s">
        <v>28</v>
      </c>
      <c r="G3605">
        <v>1156.0899999999999</v>
      </c>
      <c r="H3605">
        <v>51</v>
      </c>
      <c r="I3605" t="s">
        <v>16</v>
      </c>
      <c r="J3605">
        <v>3.2</v>
      </c>
      <c r="K3605" t="s">
        <v>26</v>
      </c>
      <c r="L3605" t="s">
        <v>18</v>
      </c>
      <c r="M3605" t="str">
        <f>VLOOKUP(D3609,Restaurant_Master!A:B,2,FALSE)</f>
        <v>https://dynamic-media-cdn.tripadvisor.com/media/photo-o/1c/e7/04/0d/front-of-the-local-easily.jpg</v>
      </c>
    </row>
    <row r="3606" spans="1:13" x14ac:dyDescent="0.3">
      <c r="A3606" t="s">
        <v>3636</v>
      </c>
      <c r="B3606" s="1">
        <v>45595</v>
      </c>
      <c r="C3606" t="s">
        <v>20</v>
      </c>
      <c r="D3606" t="s">
        <v>25</v>
      </c>
      <c r="E3606">
        <v>59</v>
      </c>
      <c r="F3606" t="s">
        <v>15</v>
      </c>
      <c r="G3606">
        <v>438.7</v>
      </c>
      <c r="H3606">
        <v>58</v>
      </c>
      <c r="I3606" t="s">
        <v>16</v>
      </c>
      <c r="J3606">
        <v>3.2</v>
      </c>
      <c r="K3606" t="s">
        <v>29</v>
      </c>
      <c r="L3606" t="s">
        <v>18</v>
      </c>
      <c r="M3606" t="str">
        <f>VLOOKUP(D3610,Restaurant_Master!A:B,2,FALSE)</f>
        <v>https://dineout-media-assets.swiggy.com/swiggy/image/upload/fl_lossy,f_auto,q_auto/v1660793737/fdqxvxcxg1wtdwvyv45v.jpg</v>
      </c>
    </row>
    <row r="3607" spans="1:13" x14ac:dyDescent="0.3">
      <c r="A3607" t="s">
        <v>3637</v>
      </c>
      <c r="B3607" s="1">
        <v>45404</v>
      </c>
      <c r="C3607" t="s">
        <v>43</v>
      </c>
      <c r="D3607" t="s">
        <v>25</v>
      </c>
      <c r="E3607">
        <v>45</v>
      </c>
      <c r="F3607" t="s">
        <v>15</v>
      </c>
      <c r="G3607">
        <v>427.64</v>
      </c>
      <c r="H3607">
        <v>43</v>
      </c>
      <c r="I3607" t="s">
        <v>16</v>
      </c>
      <c r="J3607">
        <v>4.4000000000000004</v>
      </c>
      <c r="K3607" t="s">
        <v>26</v>
      </c>
      <c r="L3607" t="s">
        <v>18</v>
      </c>
      <c r="M3607" t="str">
        <f>VLOOKUP(D3611,Restaurant_Master!A:B,2,FALSE)</f>
        <v>https://dineout-media-assets.swiggy.com/swiggy/image/upload/fl_lossy,f_auto,q_auto/v1660793737/fdqxvxcxg1wtdwvyv45v.jpg</v>
      </c>
    </row>
    <row r="3608" spans="1:13" x14ac:dyDescent="0.3">
      <c r="A3608" t="s">
        <v>3638</v>
      </c>
      <c r="B3608" s="1">
        <v>45397</v>
      </c>
      <c r="C3608" t="s">
        <v>13</v>
      </c>
      <c r="D3608" t="s">
        <v>21</v>
      </c>
      <c r="E3608">
        <v>44</v>
      </c>
      <c r="F3608" t="s">
        <v>15</v>
      </c>
      <c r="G3608">
        <v>940.02</v>
      </c>
      <c r="H3608">
        <v>41</v>
      </c>
      <c r="I3608" t="s">
        <v>16</v>
      </c>
      <c r="J3608">
        <v>4.4000000000000004</v>
      </c>
      <c r="K3608" t="s">
        <v>41</v>
      </c>
      <c r="L3608" t="s">
        <v>18</v>
      </c>
      <c r="M3608" t="str">
        <f>VLOOKUP(D3612,Restaurant_Master!A:B,2,FALSE)</f>
        <v>https://media-cdn.tripadvisor.com/media/photo-s/1c/c7/97/b6/photo6jpg.jpg</v>
      </c>
    </row>
    <row r="3609" spans="1:13" x14ac:dyDescent="0.3">
      <c r="A3609" t="s">
        <v>3639</v>
      </c>
      <c r="B3609" s="1">
        <v>45427</v>
      </c>
      <c r="C3609" t="s">
        <v>36</v>
      </c>
      <c r="D3609" t="s">
        <v>21</v>
      </c>
      <c r="E3609">
        <v>34</v>
      </c>
      <c r="F3609" t="s">
        <v>28</v>
      </c>
      <c r="G3609">
        <v>469.61</v>
      </c>
      <c r="H3609">
        <v>42</v>
      </c>
      <c r="I3609" t="s">
        <v>16</v>
      </c>
      <c r="J3609">
        <v>4.9000000000000004</v>
      </c>
      <c r="K3609" t="s">
        <v>41</v>
      </c>
      <c r="L3609" t="s">
        <v>23</v>
      </c>
      <c r="M3609" t="str">
        <f>VLOOKUP(D3613,Restaurant_Master!A:B,2,FALSE)</f>
        <v>https://media-cdn.tripadvisor.com/media/photo-s/1c/c7/97/b6/photo6jpg.jpg</v>
      </c>
    </row>
    <row r="3610" spans="1:13" x14ac:dyDescent="0.3">
      <c r="A3610" t="s">
        <v>3640</v>
      </c>
      <c r="B3610" s="1">
        <v>45609</v>
      </c>
      <c r="C3610" t="s">
        <v>36</v>
      </c>
      <c r="D3610" t="s">
        <v>14</v>
      </c>
      <c r="E3610">
        <v>52</v>
      </c>
      <c r="F3610" t="s">
        <v>15</v>
      </c>
      <c r="G3610">
        <v>573.51</v>
      </c>
      <c r="H3610">
        <v>38</v>
      </c>
      <c r="I3610" t="s">
        <v>22</v>
      </c>
      <c r="J3610">
        <v>2.6</v>
      </c>
      <c r="K3610" t="s">
        <v>26</v>
      </c>
      <c r="L3610" t="s">
        <v>18</v>
      </c>
      <c r="M3610" t="str">
        <f>VLOOKUP(D3614,Restaurant_Master!A:B,2,FALSE)</f>
        <v>https://www.chatswoodinterchange.com/storages/2018/08/Sushi-World_666x448.jpg</v>
      </c>
    </row>
    <row r="3611" spans="1:13" x14ac:dyDescent="0.3">
      <c r="A3611" t="s">
        <v>3641</v>
      </c>
      <c r="B3611" s="1">
        <v>45599</v>
      </c>
      <c r="C3611" t="s">
        <v>36</v>
      </c>
      <c r="D3611" t="s">
        <v>14</v>
      </c>
      <c r="E3611">
        <v>43</v>
      </c>
      <c r="F3611" t="s">
        <v>15</v>
      </c>
      <c r="G3611">
        <v>691.85</v>
      </c>
      <c r="H3611">
        <v>33</v>
      </c>
      <c r="I3611" t="s">
        <v>22</v>
      </c>
      <c r="J3611">
        <v>3</v>
      </c>
      <c r="K3611" t="s">
        <v>26</v>
      </c>
      <c r="L3611" t="s">
        <v>18</v>
      </c>
      <c r="M3611" t="str">
        <f>VLOOKUP(D3615,Restaurant_Master!A:B,2,FALSE)</f>
        <v>https://content.jdmagicbox.com/comp/deoria/g6/9999p5568.5568.200119143033.m4g6/catalogue/biryani-house-deoria-ho-deoria-mktc2xph0o.jpg</v>
      </c>
    </row>
    <row r="3612" spans="1:13" x14ac:dyDescent="0.3">
      <c r="A3612" t="s">
        <v>3642</v>
      </c>
      <c r="B3612" s="1">
        <v>45606</v>
      </c>
      <c r="C3612" t="s">
        <v>34</v>
      </c>
      <c r="D3612" t="s">
        <v>25</v>
      </c>
      <c r="E3612">
        <v>32</v>
      </c>
      <c r="F3612" t="s">
        <v>15</v>
      </c>
      <c r="G3612">
        <v>350</v>
      </c>
      <c r="H3612">
        <v>20</v>
      </c>
      <c r="I3612" t="s">
        <v>22</v>
      </c>
      <c r="J3612">
        <v>3.9</v>
      </c>
      <c r="K3612" t="s">
        <v>17</v>
      </c>
      <c r="L3612" t="s">
        <v>18</v>
      </c>
      <c r="M3612" t="str">
        <f>VLOOKUP(D3616,Restaurant_Master!A:B,2,FALSE)</f>
        <v>https://content.jdmagicbox.com/comp/deoria/g6/9999p5568.5568.200119143033.m4g6/catalogue/biryani-house-deoria-ho-deoria-mktc2xph0o.jpg</v>
      </c>
    </row>
    <row r="3613" spans="1:13" x14ac:dyDescent="0.3">
      <c r="A3613" t="s">
        <v>3643</v>
      </c>
      <c r="B3613" s="1">
        <v>45545</v>
      </c>
      <c r="C3613" t="s">
        <v>43</v>
      </c>
      <c r="D3613" t="s">
        <v>25</v>
      </c>
      <c r="E3613">
        <v>49</v>
      </c>
      <c r="F3613" t="s">
        <v>28</v>
      </c>
      <c r="G3613">
        <v>191.09</v>
      </c>
      <c r="H3613">
        <v>59</v>
      </c>
      <c r="I3613" t="s">
        <v>16</v>
      </c>
      <c r="J3613">
        <v>4.4000000000000004</v>
      </c>
      <c r="K3613" t="s">
        <v>29</v>
      </c>
      <c r="L3613" t="s">
        <v>18</v>
      </c>
      <c r="M3613" t="str">
        <f>VLOOKUP(D3617,Restaurant_Master!A:B,2,FALSE)</f>
        <v>https://www.chatswoodinterchange.com/storages/2018/08/Sushi-World_666x448.jpg</v>
      </c>
    </row>
    <row r="3614" spans="1:13" x14ac:dyDescent="0.3">
      <c r="A3614" t="s">
        <v>3644</v>
      </c>
      <c r="B3614" s="1">
        <v>45504</v>
      </c>
      <c r="C3614" t="s">
        <v>43</v>
      </c>
      <c r="D3614" t="s">
        <v>38</v>
      </c>
      <c r="E3614">
        <v>46</v>
      </c>
      <c r="F3614" t="s">
        <v>15</v>
      </c>
      <c r="G3614">
        <v>1019.29</v>
      </c>
      <c r="H3614">
        <v>30</v>
      </c>
      <c r="I3614" t="s">
        <v>22</v>
      </c>
      <c r="J3614">
        <v>3.9</v>
      </c>
      <c r="K3614" t="s">
        <v>41</v>
      </c>
      <c r="L3614" t="s">
        <v>18</v>
      </c>
      <c r="M3614" t="str">
        <f>VLOOKUP(D3618,Restaurant_Master!A:B,2,FALSE)</f>
        <v>https://content.jdmagicbox.com/comp/deoria/g6/9999p5568.5568.200119143033.m4g6/catalogue/biryani-house-deoria-ho-deoria-mktc2xph0o.jpg</v>
      </c>
    </row>
    <row r="3615" spans="1:13" x14ac:dyDescent="0.3">
      <c r="A3615" t="s">
        <v>3645</v>
      </c>
      <c r="B3615" s="1">
        <v>45411</v>
      </c>
      <c r="C3615" t="s">
        <v>36</v>
      </c>
      <c r="D3615" t="s">
        <v>32</v>
      </c>
      <c r="E3615">
        <v>34</v>
      </c>
      <c r="F3615" t="s">
        <v>28</v>
      </c>
      <c r="G3615">
        <v>222.94</v>
      </c>
      <c r="H3615">
        <v>55</v>
      </c>
      <c r="I3615" t="s">
        <v>16</v>
      </c>
      <c r="J3615">
        <v>4.5999999999999996</v>
      </c>
      <c r="K3615" t="s">
        <v>29</v>
      </c>
      <c r="L3615" t="s">
        <v>23</v>
      </c>
      <c r="M3615" t="str">
        <f>VLOOKUP(D3619,Restaurant_Master!A:B,2,FALSE)</f>
        <v>https://www.chatswoodinterchange.com/storages/2018/08/Sushi-World_666x448.jpg</v>
      </c>
    </row>
    <row r="3616" spans="1:13" x14ac:dyDescent="0.3">
      <c r="A3616" t="s">
        <v>3646</v>
      </c>
      <c r="B3616" s="1">
        <v>45614</v>
      </c>
      <c r="C3616" t="s">
        <v>34</v>
      </c>
      <c r="D3616" t="s">
        <v>32</v>
      </c>
      <c r="E3616">
        <v>37</v>
      </c>
      <c r="F3616" t="s">
        <v>28</v>
      </c>
      <c r="G3616">
        <v>669.62</v>
      </c>
      <c r="H3616">
        <v>59</v>
      </c>
      <c r="I3616" t="s">
        <v>16</v>
      </c>
      <c r="J3616">
        <v>4.2</v>
      </c>
      <c r="K3616" t="s">
        <v>29</v>
      </c>
      <c r="L3616" t="s">
        <v>23</v>
      </c>
      <c r="M3616" t="str">
        <f>VLOOKUP(D3620,Restaurant_Master!A:B,2,FALSE)</f>
        <v>https://www.chatswoodinterchange.com/storages/2018/08/Sushi-World_666x448.jpg</v>
      </c>
    </row>
    <row r="3617" spans="1:13" x14ac:dyDescent="0.3">
      <c r="A3617" t="s">
        <v>3647</v>
      </c>
      <c r="B3617" s="1">
        <v>45589</v>
      </c>
      <c r="C3617" t="s">
        <v>36</v>
      </c>
      <c r="D3617" t="s">
        <v>38</v>
      </c>
      <c r="E3617">
        <v>27</v>
      </c>
      <c r="F3617" t="s">
        <v>15</v>
      </c>
      <c r="G3617">
        <v>358.98</v>
      </c>
      <c r="H3617">
        <v>35</v>
      </c>
      <c r="I3617" t="s">
        <v>22</v>
      </c>
      <c r="J3617">
        <v>4.0999999999999996</v>
      </c>
      <c r="K3617" t="s">
        <v>26</v>
      </c>
      <c r="L3617" t="s">
        <v>23</v>
      </c>
      <c r="M3617" t="str">
        <f>VLOOKUP(D3621,Restaurant_Master!A:B,2,FALSE)</f>
        <v>https://dynamic-media-cdn.tripadvisor.com/media/photo-o/1c/e7/04/0d/front-of-the-local-easily.jpg</v>
      </c>
    </row>
    <row r="3618" spans="1:13" x14ac:dyDescent="0.3">
      <c r="A3618" t="s">
        <v>3648</v>
      </c>
      <c r="B3618" s="1">
        <v>45535</v>
      </c>
      <c r="C3618" t="s">
        <v>36</v>
      </c>
      <c r="D3618" t="s">
        <v>32</v>
      </c>
      <c r="E3618">
        <v>22</v>
      </c>
      <c r="F3618" t="s">
        <v>15</v>
      </c>
      <c r="G3618">
        <v>718.09</v>
      </c>
      <c r="H3618">
        <v>57</v>
      </c>
      <c r="I3618" t="s">
        <v>16</v>
      </c>
      <c r="J3618">
        <v>2.6</v>
      </c>
      <c r="K3618" t="s">
        <v>29</v>
      </c>
      <c r="L3618" t="s">
        <v>23</v>
      </c>
      <c r="M3618" t="str">
        <f>VLOOKUP(D3622,Restaurant_Master!A:B,2,FALSE)</f>
        <v>https://media-cdn.tripadvisor.com/media/photo-s/1c/c7/97/b6/photo6jpg.jpg</v>
      </c>
    </row>
    <row r="3619" spans="1:13" x14ac:dyDescent="0.3">
      <c r="A3619" t="s">
        <v>3649</v>
      </c>
      <c r="B3619" s="1">
        <v>45316</v>
      </c>
      <c r="C3619" t="s">
        <v>34</v>
      </c>
      <c r="D3619" t="s">
        <v>38</v>
      </c>
      <c r="E3619">
        <v>24</v>
      </c>
      <c r="F3619" t="s">
        <v>28</v>
      </c>
      <c r="G3619">
        <v>350.37</v>
      </c>
      <c r="H3619">
        <v>23</v>
      </c>
      <c r="I3619" t="s">
        <v>22</v>
      </c>
      <c r="J3619">
        <v>4.7</v>
      </c>
      <c r="K3619" t="s">
        <v>29</v>
      </c>
      <c r="L3619" t="s">
        <v>23</v>
      </c>
      <c r="M3619" t="str">
        <f>VLOOKUP(D3623,Restaurant_Master!A:B,2,FALSE)</f>
        <v>https://content.jdmagicbox.com/comp/deoria/g6/9999p5568.5568.200119143033.m4g6/catalogue/biryani-house-deoria-ho-deoria-mktc2xph0o.jpg</v>
      </c>
    </row>
    <row r="3620" spans="1:13" x14ac:dyDescent="0.3">
      <c r="A3620" t="s">
        <v>3650</v>
      </c>
      <c r="B3620" s="1">
        <v>45369</v>
      </c>
      <c r="C3620" t="s">
        <v>20</v>
      </c>
      <c r="D3620" t="s">
        <v>38</v>
      </c>
      <c r="E3620">
        <v>53</v>
      </c>
      <c r="F3620" t="s">
        <v>28</v>
      </c>
      <c r="G3620">
        <v>746.46</v>
      </c>
      <c r="H3620">
        <v>60</v>
      </c>
      <c r="I3620" t="s">
        <v>16</v>
      </c>
      <c r="J3620">
        <v>3.4</v>
      </c>
      <c r="K3620" t="s">
        <v>17</v>
      </c>
      <c r="L3620" t="s">
        <v>23</v>
      </c>
      <c r="M3620" t="str">
        <f>VLOOKUP(D3624,Restaurant_Master!A:B,2,FALSE)</f>
        <v>https://www.chatswoodinterchange.com/storages/2018/08/Sushi-World_666x448.jpg</v>
      </c>
    </row>
    <row r="3621" spans="1:13" x14ac:dyDescent="0.3">
      <c r="A3621" t="s">
        <v>3651</v>
      </c>
      <c r="B3621" s="1">
        <v>45571</v>
      </c>
      <c r="C3621" t="s">
        <v>36</v>
      </c>
      <c r="D3621" t="s">
        <v>21</v>
      </c>
      <c r="E3621">
        <v>24</v>
      </c>
      <c r="F3621" t="s">
        <v>28</v>
      </c>
      <c r="G3621">
        <v>634.83000000000004</v>
      </c>
      <c r="H3621">
        <v>39</v>
      </c>
      <c r="I3621" t="s">
        <v>22</v>
      </c>
      <c r="J3621">
        <v>4.3</v>
      </c>
      <c r="K3621" t="s">
        <v>17</v>
      </c>
      <c r="L3621" t="s">
        <v>18</v>
      </c>
      <c r="M3621" t="str">
        <f>VLOOKUP(D3625,Restaurant_Master!A:B,2,FALSE)</f>
        <v>https://media-cdn.tripadvisor.com/media/photo-s/1c/c7/97/b6/photo6jpg.jpg</v>
      </c>
    </row>
    <row r="3622" spans="1:13" x14ac:dyDescent="0.3">
      <c r="A3622" t="s">
        <v>3652</v>
      </c>
      <c r="B3622" s="1">
        <v>45483</v>
      </c>
      <c r="C3622" t="s">
        <v>20</v>
      </c>
      <c r="D3622" t="s">
        <v>25</v>
      </c>
      <c r="E3622">
        <v>47</v>
      </c>
      <c r="F3622" t="s">
        <v>28</v>
      </c>
      <c r="G3622">
        <v>822.54</v>
      </c>
      <c r="H3622">
        <v>39</v>
      </c>
      <c r="I3622" t="s">
        <v>22</v>
      </c>
      <c r="J3622">
        <v>4.7</v>
      </c>
      <c r="K3622" t="s">
        <v>29</v>
      </c>
      <c r="L3622" t="s">
        <v>18</v>
      </c>
      <c r="M3622" t="str">
        <f>VLOOKUP(D3626,Restaurant_Master!A:B,2,FALSE)</f>
        <v>https://dineout-media-assets.swiggy.com/swiggy/image/upload/fl_lossy,f_auto,q_auto/v1660793737/fdqxvxcxg1wtdwvyv45v.jpg</v>
      </c>
    </row>
    <row r="3623" spans="1:13" x14ac:dyDescent="0.3">
      <c r="A3623" t="s">
        <v>3653</v>
      </c>
      <c r="B3623" s="1">
        <v>45613</v>
      </c>
      <c r="C3623" t="s">
        <v>20</v>
      </c>
      <c r="D3623" t="s">
        <v>32</v>
      </c>
      <c r="E3623">
        <v>40</v>
      </c>
      <c r="F3623" t="s">
        <v>28</v>
      </c>
      <c r="G3623">
        <v>804.37</v>
      </c>
      <c r="H3623">
        <v>36</v>
      </c>
      <c r="I3623" t="s">
        <v>22</v>
      </c>
      <c r="J3623">
        <v>3.2</v>
      </c>
      <c r="K3623" t="s">
        <v>41</v>
      </c>
      <c r="L3623" t="s">
        <v>18</v>
      </c>
      <c r="M3623" t="str">
        <f>VLOOKUP(D3627,Restaurant_Master!A:B,2,FALSE)</f>
        <v>https://content.jdmagicbox.com/comp/deoria/g6/9999p5568.5568.200119143033.m4g6/catalogue/biryani-house-deoria-ho-deoria-mktc2xph0o.jpg</v>
      </c>
    </row>
    <row r="3624" spans="1:13" x14ac:dyDescent="0.3">
      <c r="A3624" t="s">
        <v>3654</v>
      </c>
      <c r="B3624" s="1">
        <v>45414</v>
      </c>
      <c r="C3624" t="s">
        <v>36</v>
      </c>
      <c r="D3624" t="s">
        <v>38</v>
      </c>
      <c r="E3624">
        <v>38</v>
      </c>
      <c r="F3624" t="s">
        <v>15</v>
      </c>
      <c r="G3624">
        <v>712.8</v>
      </c>
      <c r="H3624">
        <v>42</v>
      </c>
      <c r="I3624" t="s">
        <v>16</v>
      </c>
      <c r="J3624">
        <v>4.8</v>
      </c>
      <c r="K3624" t="s">
        <v>26</v>
      </c>
      <c r="L3624" t="s">
        <v>18</v>
      </c>
      <c r="M3624" t="str">
        <f>VLOOKUP(D3628,Restaurant_Master!A:B,2,FALSE)</f>
        <v>https://dineout-media-assets.swiggy.com/swiggy/image/upload/fl_lossy,f_auto,q_auto/v1660793737/fdqxvxcxg1wtdwvyv45v.jpg</v>
      </c>
    </row>
    <row r="3625" spans="1:13" x14ac:dyDescent="0.3">
      <c r="A3625" t="s">
        <v>3655</v>
      </c>
      <c r="B3625" s="1">
        <v>45544</v>
      </c>
      <c r="C3625" t="s">
        <v>20</v>
      </c>
      <c r="D3625" t="s">
        <v>25</v>
      </c>
      <c r="E3625">
        <v>27</v>
      </c>
      <c r="F3625" t="s">
        <v>15</v>
      </c>
      <c r="G3625">
        <v>695.87</v>
      </c>
      <c r="H3625">
        <v>53</v>
      </c>
      <c r="I3625" t="s">
        <v>16</v>
      </c>
      <c r="J3625">
        <v>4.7</v>
      </c>
      <c r="K3625" t="s">
        <v>26</v>
      </c>
      <c r="L3625" t="s">
        <v>18</v>
      </c>
      <c r="M3625" t="str">
        <f>VLOOKUP(D3629,Restaurant_Master!A:B,2,FALSE)</f>
        <v>https://media-cdn.tripadvisor.com/media/photo-s/1c/c7/97/b6/photo6jpg.jpg</v>
      </c>
    </row>
    <row r="3626" spans="1:13" x14ac:dyDescent="0.3">
      <c r="A3626" t="s">
        <v>3656</v>
      </c>
      <c r="B3626" s="1">
        <v>45327</v>
      </c>
      <c r="C3626" t="s">
        <v>34</v>
      </c>
      <c r="D3626" t="s">
        <v>14</v>
      </c>
      <c r="E3626">
        <v>50</v>
      </c>
      <c r="F3626" t="s">
        <v>28</v>
      </c>
      <c r="G3626">
        <v>1089.98</v>
      </c>
      <c r="H3626">
        <v>53</v>
      </c>
      <c r="I3626" t="s">
        <v>16</v>
      </c>
      <c r="J3626">
        <v>3.7</v>
      </c>
      <c r="K3626" t="s">
        <v>26</v>
      </c>
      <c r="L3626" t="s">
        <v>18</v>
      </c>
      <c r="M3626" t="str">
        <f>VLOOKUP(D3630,Restaurant_Master!A:B,2,FALSE)</f>
        <v>https://dineout-media-assets.swiggy.com/swiggy/image/upload/fl_lossy,f_auto,q_auto/v1660793737/fdqxvxcxg1wtdwvyv45v.jpg</v>
      </c>
    </row>
    <row r="3627" spans="1:13" x14ac:dyDescent="0.3">
      <c r="A3627" t="s">
        <v>3657</v>
      </c>
      <c r="B3627" s="1">
        <v>45656</v>
      </c>
      <c r="C3627" t="s">
        <v>43</v>
      </c>
      <c r="D3627" t="s">
        <v>32</v>
      </c>
      <c r="E3627">
        <v>20</v>
      </c>
      <c r="F3627" t="s">
        <v>15</v>
      </c>
      <c r="G3627">
        <v>569.52</v>
      </c>
      <c r="H3627">
        <v>27</v>
      </c>
      <c r="I3627" t="s">
        <v>22</v>
      </c>
      <c r="J3627">
        <v>4.4000000000000004</v>
      </c>
      <c r="K3627" t="s">
        <v>41</v>
      </c>
      <c r="L3627" t="s">
        <v>18</v>
      </c>
      <c r="M3627" t="str">
        <f>VLOOKUP(D3631,Restaurant_Master!A:B,2,FALSE)</f>
        <v>https://media-cdn.tripadvisor.com/media/photo-s/1c/c7/97/b6/photo6jpg.jpg</v>
      </c>
    </row>
    <row r="3628" spans="1:13" x14ac:dyDescent="0.3">
      <c r="A3628" t="s">
        <v>3658</v>
      </c>
      <c r="B3628" s="1">
        <v>45365</v>
      </c>
      <c r="C3628" t="s">
        <v>20</v>
      </c>
      <c r="D3628" t="s">
        <v>14</v>
      </c>
      <c r="E3628">
        <v>44</v>
      </c>
      <c r="F3628" t="s">
        <v>28</v>
      </c>
      <c r="G3628">
        <v>278.58</v>
      </c>
      <c r="H3628">
        <v>25</v>
      </c>
      <c r="I3628" t="s">
        <v>22</v>
      </c>
      <c r="J3628">
        <v>4.7</v>
      </c>
      <c r="K3628" t="s">
        <v>26</v>
      </c>
      <c r="L3628" t="s">
        <v>23</v>
      </c>
      <c r="M3628" t="str">
        <f>VLOOKUP(D3632,Restaurant_Master!A:B,2,FALSE)</f>
        <v>https://dynamic-media-cdn.tripadvisor.com/media/photo-o/1c/e7/04/0d/front-of-the-local-easily.jpg</v>
      </c>
    </row>
    <row r="3629" spans="1:13" x14ac:dyDescent="0.3">
      <c r="A3629" t="s">
        <v>3659</v>
      </c>
      <c r="B3629" s="1">
        <v>45376</v>
      </c>
      <c r="C3629" t="s">
        <v>43</v>
      </c>
      <c r="D3629" t="s">
        <v>25</v>
      </c>
      <c r="E3629">
        <v>46</v>
      </c>
      <c r="F3629" t="s">
        <v>15</v>
      </c>
      <c r="G3629">
        <v>1017.21</v>
      </c>
      <c r="H3629">
        <v>41</v>
      </c>
      <c r="I3629" t="s">
        <v>16</v>
      </c>
      <c r="J3629">
        <v>3.2</v>
      </c>
      <c r="K3629" t="s">
        <v>41</v>
      </c>
      <c r="L3629" t="s">
        <v>18</v>
      </c>
      <c r="M3629" t="str">
        <f>VLOOKUP(D3633,Restaurant_Master!A:B,2,FALSE)</f>
        <v>https://media-cdn.tripadvisor.com/media/photo-s/1c/c7/97/b6/photo6jpg.jpg</v>
      </c>
    </row>
    <row r="3630" spans="1:13" x14ac:dyDescent="0.3">
      <c r="A3630" t="s">
        <v>3660</v>
      </c>
      <c r="B3630" s="1">
        <v>45563</v>
      </c>
      <c r="C3630" t="s">
        <v>13</v>
      </c>
      <c r="D3630" t="s">
        <v>14</v>
      </c>
      <c r="E3630">
        <v>55</v>
      </c>
      <c r="F3630" t="s">
        <v>28</v>
      </c>
      <c r="G3630">
        <v>1070.83</v>
      </c>
      <c r="H3630">
        <v>21</v>
      </c>
      <c r="I3630" t="s">
        <v>22</v>
      </c>
      <c r="J3630">
        <v>4.2</v>
      </c>
      <c r="K3630" t="s">
        <v>26</v>
      </c>
      <c r="L3630" t="s">
        <v>18</v>
      </c>
      <c r="M3630" t="str">
        <f>VLOOKUP(D3634,Restaurant_Master!A:B,2,FALSE)</f>
        <v>https://dynamic-media-cdn.tripadvisor.com/media/photo-o/1c/e7/04/0d/front-of-the-local-easily.jpg</v>
      </c>
    </row>
    <row r="3631" spans="1:13" x14ac:dyDescent="0.3">
      <c r="A3631" t="s">
        <v>3661</v>
      </c>
      <c r="B3631" s="1">
        <v>45475</v>
      </c>
      <c r="C3631" t="s">
        <v>34</v>
      </c>
      <c r="D3631" t="s">
        <v>25</v>
      </c>
      <c r="E3631">
        <v>25</v>
      </c>
      <c r="F3631" t="s">
        <v>28</v>
      </c>
      <c r="G3631">
        <v>815.52</v>
      </c>
      <c r="H3631">
        <v>57</v>
      </c>
      <c r="I3631" t="s">
        <v>16</v>
      </c>
      <c r="J3631">
        <v>2.7</v>
      </c>
      <c r="K3631" t="s">
        <v>29</v>
      </c>
      <c r="L3631" t="s">
        <v>23</v>
      </c>
      <c r="M3631" t="str">
        <f>VLOOKUP(D3635,Restaurant_Master!A:B,2,FALSE)</f>
        <v>https://content.jdmagicbox.com/comp/deoria/g6/9999p5568.5568.200119143033.m4g6/catalogue/biryani-house-deoria-ho-deoria-mktc2xph0o.jpg</v>
      </c>
    </row>
    <row r="3632" spans="1:13" x14ac:dyDescent="0.3">
      <c r="A3632" t="s">
        <v>3662</v>
      </c>
      <c r="B3632" s="1">
        <v>45632</v>
      </c>
      <c r="C3632" t="s">
        <v>20</v>
      </c>
      <c r="D3632" t="s">
        <v>21</v>
      </c>
      <c r="E3632">
        <v>57</v>
      </c>
      <c r="F3632" t="s">
        <v>28</v>
      </c>
      <c r="G3632">
        <v>1152.77</v>
      </c>
      <c r="H3632">
        <v>31</v>
      </c>
      <c r="I3632" t="s">
        <v>22</v>
      </c>
      <c r="J3632">
        <v>3.8</v>
      </c>
      <c r="K3632" t="s">
        <v>41</v>
      </c>
      <c r="L3632" t="s">
        <v>23</v>
      </c>
      <c r="M3632" t="str">
        <f>VLOOKUP(D3636,Restaurant_Master!A:B,2,FALSE)</f>
        <v>https://dynamic-media-cdn.tripadvisor.com/media/photo-o/1c/e7/04/0d/front-of-the-local-easily.jpg</v>
      </c>
    </row>
    <row r="3633" spans="1:13" x14ac:dyDescent="0.3">
      <c r="A3633" t="s">
        <v>3663</v>
      </c>
      <c r="B3633" s="1">
        <v>45515</v>
      </c>
      <c r="C3633" t="s">
        <v>34</v>
      </c>
      <c r="D3633" t="s">
        <v>25</v>
      </c>
      <c r="E3633">
        <v>44</v>
      </c>
      <c r="F3633" t="s">
        <v>28</v>
      </c>
      <c r="G3633">
        <v>595.9</v>
      </c>
      <c r="H3633">
        <v>23</v>
      </c>
      <c r="I3633" t="s">
        <v>22</v>
      </c>
      <c r="J3633">
        <v>3</v>
      </c>
      <c r="K3633" t="s">
        <v>17</v>
      </c>
      <c r="L3633" t="s">
        <v>18</v>
      </c>
      <c r="M3633" t="str">
        <f>VLOOKUP(D3637,Restaurant_Master!A:B,2,FALSE)</f>
        <v>https://dineout-media-assets.swiggy.com/swiggy/image/upload/fl_lossy,f_auto,q_auto/v1660793737/fdqxvxcxg1wtdwvyv45v.jpg</v>
      </c>
    </row>
    <row r="3634" spans="1:13" x14ac:dyDescent="0.3">
      <c r="A3634" t="s">
        <v>3664</v>
      </c>
      <c r="B3634" s="1">
        <v>45343</v>
      </c>
      <c r="C3634" t="s">
        <v>13</v>
      </c>
      <c r="D3634" t="s">
        <v>21</v>
      </c>
      <c r="E3634">
        <v>53</v>
      </c>
      <c r="F3634" t="s">
        <v>15</v>
      </c>
      <c r="G3634">
        <v>1181.5999999999999</v>
      </c>
      <c r="H3634">
        <v>43</v>
      </c>
      <c r="I3634" t="s">
        <v>16</v>
      </c>
      <c r="J3634">
        <v>3.2</v>
      </c>
      <c r="K3634" t="s">
        <v>17</v>
      </c>
      <c r="L3634" t="s">
        <v>23</v>
      </c>
      <c r="M3634" t="str">
        <f>VLOOKUP(D3638,Restaurant_Master!A:B,2,FALSE)</f>
        <v>https://media-cdn.tripadvisor.com/media/photo-s/1c/c7/97/b6/photo6jpg.jpg</v>
      </c>
    </row>
    <row r="3635" spans="1:13" x14ac:dyDescent="0.3">
      <c r="A3635" t="s">
        <v>3665</v>
      </c>
      <c r="B3635" s="1">
        <v>45468</v>
      </c>
      <c r="C3635" t="s">
        <v>43</v>
      </c>
      <c r="D3635" t="s">
        <v>32</v>
      </c>
      <c r="E3635">
        <v>40</v>
      </c>
      <c r="F3635" t="s">
        <v>28</v>
      </c>
      <c r="G3635">
        <v>559.94000000000005</v>
      </c>
      <c r="H3635">
        <v>28</v>
      </c>
      <c r="I3635" t="s">
        <v>22</v>
      </c>
      <c r="J3635">
        <v>4.3</v>
      </c>
      <c r="K3635" t="s">
        <v>29</v>
      </c>
      <c r="L3635" t="s">
        <v>18</v>
      </c>
      <c r="M3635" t="str">
        <f>VLOOKUP(D3639,Restaurant_Master!A:B,2,FALSE)</f>
        <v>https://dynamic-media-cdn.tripadvisor.com/media/photo-o/1c/e7/04/0d/front-of-the-local-easily.jpg</v>
      </c>
    </row>
    <row r="3636" spans="1:13" x14ac:dyDescent="0.3">
      <c r="A3636" t="s">
        <v>3666</v>
      </c>
      <c r="B3636" s="1">
        <v>45623</v>
      </c>
      <c r="C3636" t="s">
        <v>13</v>
      </c>
      <c r="D3636" t="s">
        <v>21</v>
      </c>
      <c r="E3636">
        <v>27</v>
      </c>
      <c r="F3636" t="s">
        <v>15</v>
      </c>
      <c r="G3636">
        <v>985.01</v>
      </c>
      <c r="H3636">
        <v>37</v>
      </c>
      <c r="I3636" t="s">
        <v>22</v>
      </c>
      <c r="J3636">
        <v>4.5</v>
      </c>
      <c r="K3636" t="s">
        <v>17</v>
      </c>
      <c r="L3636" t="s">
        <v>18</v>
      </c>
      <c r="M3636" t="str">
        <f>VLOOKUP(D3640,Restaurant_Master!A:B,2,FALSE)</f>
        <v>https://media-cdn.tripadvisor.com/media/photo-s/1c/c7/97/b6/photo6jpg.jpg</v>
      </c>
    </row>
    <row r="3637" spans="1:13" x14ac:dyDescent="0.3">
      <c r="A3637" t="s">
        <v>3667</v>
      </c>
      <c r="B3637" s="1">
        <v>45562</v>
      </c>
      <c r="C3637" t="s">
        <v>43</v>
      </c>
      <c r="D3637" t="s">
        <v>14</v>
      </c>
      <c r="E3637">
        <v>33</v>
      </c>
      <c r="F3637" t="s">
        <v>28</v>
      </c>
      <c r="G3637">
        <v>724.28</v>
      </c>
      <c r="H3637">
        <v>29</v>
      </c>
      <c r="I3637" t="s">
        <v>22</v>
      </c>
      <c r="J3637">
        <v>4.8</v>
      </c>
      <c r="K3637" t="s">
        <v>41</v>
      </c>
      <c r="L3637" t="s">
        <v>23</v>
      </c>
      <c r="M3637" t="str">
        <f>VLOOKUP(D3641,Restaurant_Master!A:B,2,FALSE)</f>
        <v>https://dineout-media-assets.swiggy.com/swiggy/image/upload/fl_lossy,f_auto,q_auto/v1660793737/fdqxvxcxg1wtdwvyv45v.jpg</v>
      </c>
    </row>
    <row r="3638" spans="1:13" x14ac:dyDescent="0.3">
      <c r="A3638" t="s">
        <v>3668</v>
      </c>
      <c r="B3638" s="1">
        <v>45371</v>
      </c>
      <c r="C3638" t="s">
        <v>13</v>
      </c>
      <c r="D3638" t="s">
        <v>25</v>
      </c>
      <c r="E3638">
        <v>53</v>
      </c>
      <c r="F3638" t="s">
        <v>28</v>
      </c>
      <c r="G3638">
        <v>830.29</v>
      </c>
      <c r="H3638">
        <v>33</v>
      </c>
      <c r="I3638" t="s">
        <v>22</v>
      </c>
      <c r="J3638">
        <v>3.5</v>
      </c>
      <c r="K3638" t="s">
        <v>17</v>
      </c>
      <c r="L3638" t="s">
        <v>23</v>
      </c>
      <c r="M3638" t="str">
        <f>VLOOKUP(D3642,Restaurant_Master!A:B,2,FALSE)</f>
        <v>https://media-cdn.tripadvisor.com/media/photo-s/1c/c7/97/b6/photo6jpg.jpg</v>
      </c>
    </row>
    <row r="3639" spans="1:13" x14ac:dyDescent="0.3">
      <c r="A3639" t="s">
        <v>3669</v>
      </c>
      <c r="B3639" s="1">
        <v>45565</v>
      </c>
      <c r="C3639" t="s">
        <v>13</v>
      </c>
      <c r="D3639" t="s">
        <v>21</v>
      </c>
      <c r="E3639">
        <v>44</v>
      </c>
      <c r="F3639" t="s">
        <v>28</v>
      </c>
      <c r="G3639">
        <v>409.09</v>
      </c>
      <c r="H3639">
        <v>40</v>
      </c>
      <c r="I3639" t="s">
        <v>22</v>
      </c>
      <c r="J3639">
        <v>4.0999999999999996</v>
      </c>
      <c r="K3639" t="s">
        <v>26</v>
      </c>
      <c r="L3639" t="s">
        <v>18</v>
      </c>
      <c r="M3639" t="str">
        <f>VLOOKUP(D3643,Restaurant_Master!A:B,2,FALSE)</f>
        <v>https://content.jdmagicbox.com/comp/deoria/g6/9999p5568.5568.200119143033.m4g6/catalogue/biryani-house-deoria-ho-deoria-mktc2xph0o.jpg</v>
      </c>
    </row>
    <row r="3640" spans="1:13" x14ac:dyDescent="0.3">
      <c r="A3640" t="s">
        <v>3670</v>
      </c>
      <c r="B3640" s="1">
        <v>45587</v>
      </c>
      <c r="C3640" t="s">
        <v>20</v>
      </c>
      <c r="D3640" t="s">
        <v>25</v>
      </c>
      <c r="E3640">
        <v>33</v>
      </c>
      <c r="F3640" t="s">
        <v>15</v>
      </c>
      <c r="G3640">
        <v>313.32</v>
      </c>
      <c r="H3640">
        <v>26</v>
      </c>
      <c r="I3640" t="s">
        <v>22</v>
      </c>
      <c r="J3640">
        <v>3.3</v>
      </c>
      <c r="K3640" t="s">
        <v>26</v>
      </c>
      <c r="L3640" t="s">
        <v>23</v>
      </c>
      <c r="M3640" t="str">
        <f>VLOOKUP(D3644,Restaurant_Master!A:B,2,FALSE)</f>
        <v>https://dynamic-media-cdn.tripadvisor.com/media/photo-o/1c/e7/04/0d/front-of-the-local-easily.jpg</v>
      </c>
    </row>
    <row r="3641" spans="1:13" x14ac:dyDescent="0.3">
      <c r="A3641" t="s">
        <v>3671</v>
      </c>
      <c r="B3641" s="1">
        <v>45419</v>
      </c>
      <c r="C3641" t="s">
        <v>36</v>
      </c>
      <c r="D3641" t="s">
        <v>14</v>
      </c>
      <c r="E3641">
        <v>42</v>
      </c>
      <c r="F3641" t="s">
        <v>15</v>
      </c>
      <c r="G3641">
        <v>1180.77</v>
      </c>
      <c r="H3641">
        <v>25</v>
      </c>
      <c r="I3641" t="s">
        <v>22</v>
      </c>
      <c r="J3641">
        <v>2.7</v>
      </c>
      <c r="K3641" t="s">
        <v>17</v>
      </c>
      <c r="L3641" t="s">
        <v>18</v>
      </c>
      <c r="M3641" t="str">
        <f>VLOOKUP(D3645,Restaurant_Master!A:B,2,FALSE)</f>
        <v>https://content.jdmagicbox.com/comp/deoria/g6/9999p5568.5568.200119143033.m4g6/catalogue/biryani-house-deoria-ho-deoria-mktc2xph0o.jpg</v>
      </c>
    </row>
    <row r="3642" spans="1:13" x14ac:dyDescent="0.3">
      <c r="A3642" t="s">
        <v>3672</v>
      </c>
      <c r="B3642" s="1">
        <v>45363</v>
      </c>
      <c r="C3642" t="s">
        <v>34</v>
      </c>
      <c r="D3642" t="s">
        <v>25</v>
      </c>
      <c r="E3642">
        <v>42</v>
      </c>
      <c r="F3642" t="s">
        <v>28</v>
      </c>
      <c r="G3642">
        <v>945.07</v>
      </c>
      <c r="H3642">
        <v>59</v>
      </c>
      <c r="I3642" t="s">
        <v>16</v>
      </c>
      <c r="J3642">
        <v>2.9</v>
      </c>
      <c r="K3642" t="s">
        <v>17</v>
      </c>
      <c r="L3642" t="s">
        <v>18</v>
      </c>
      <c r="M3642" t="str">
        <f>VLOOKUP(D3646,Restaurant_Master!A:B,2,FALSE)</f>
        <v>https://content.jdmagicbox.com/comp/deoria/g6/9999p5568.5568.200119143033.m4g6/catalogue/biryani-house-deoria-ho-deoria-mktc2xph0o.jpg</v>
      </c>
    </row>
    <row r="3643" spans="1:13" x14ac:dyDescent="0.3">
      <c r="A3643" t="s">
        <v>3673</v>
      </c>
      <c r="B3643" s="1">
        <v>45354</v>
      </c>
      <c r="C3643" t="s">
        <v>43</v>
      </c>
      <c r="D3643" t="s">
        <v>32</v>
      </c>
      <c r="E3643">
        <v>19</v>
      </c>
      <c r="F3643" t="s">
        <v>28</v>
      </c>
      <c r="G3643">
        <v>574.62</v>
      </c>
      <c r="H3643">
        <v>39</v>
      </c>
      <c r="I3643" t="s">
        <v>22</v>
      </c>
      <c r="J3643">
        <v>4.5999999999999996</v>
      </c>
      <c r="K3643" t="s">
        <v>17</v>
      </c>
      <c r="L3643" t="s">
        <v>18</v>
      </c>
      <c r="M3643" t="str">
        <f>VLOOKUP(D3647,Restaurant_Master!A:B,2,FALSE)</f>
        <v>https://dineout-media-assets.swiggy.com/swiggy/image/upload/fl_lossy,f_auto,q_auto/v1660793737/fdqxvxcxg1wtdwvyv45v.jpg</v>
      </c>
    </row>
    <row r="3644" spans="1:13" x14ac:dyDescent="0.3">
      <c r="A3644" t="s">
        <v>3674</v>
      </c>
      <c r="B3644" s="1">
        <v>45424</v>
      </c>
      <c r="C3644" t="s">
        <v>34</v>
      </c>
      <c r="D3644" t="s">
        <v>21</v>
      </c>
      <c r="E3644">
        <v>56</v>
      </c>
      <c r="F3644" t="s">
        <v>28</v>
      </c>
      <c r="G3644">
        <v>592.84</v>
      </c>
      <c r="H3644">
        <v>49</v>
      </c>
      <c r="I3644" t="s">
        <v>16</v>
      </c>
      <c r="J3644">
        <v>4.5</v>
      </c>
      <c r="K3644" t="s">
        <v>29</v>
      </c>
      <c r="L3644" t="s">
        <v>18</v>
      </c>
      <c r="M3644" t="str">
        <f>VLOOKUP(D3648,Restaurant_Master!A:B,2,FALSE)</f>
        <v>https://content.jdmagicbox.com/comp/deoria/g6/9999p5568.5568.200119143033.m4g6/catalogue/biryani-house-deoria-ho-deoria-mktc2xph0o.jpg</v>
      </c>
    </row>
    <row r="3645" spans="1:13" x14ac:dyDescent="0.3">
      <c r="A3645" t="s">
        <v>3675</v>
      </c>
      <c r="B3645" s="1">
        <v>45605</v>
      </c>
      <c r="C3645" t="s">
        <v>43</v>
      </c>
      <c r="D3645" t="s">
        <v>32</v>
      </c>
      <c r="E3645">
        <v>25</v>
      </c>
      <c r="F3645" t="s">
        <v>15</v>
      </c>
      <c r="G3645">
        <v>1005.24</v>
      </c>
      <c r="H3645">
        <v>59</v>
      </c>
      <c r="I3645" t="s">
        <v>16</v>
      </c>
      <c r="J3645">
        <v>4.3</v>
      </c>
      <c r="K3645" t="s">
        <v>29</v>
      </c>
      <c r="L3645" t="s">
        <v>23</v>
      </c>
      <c r="M3645" t="str">
        <f>VLOOKUP(D3649,Restaurant_Master!A:B,2,FALSE)</f>
        <v>https://media-cdn.tripadvisor.com/media/photo-s/1c/c7/97/b6/photo6jpg.jpg</v>
      </c>
    </row>
    <row r="3646" spans="1:13" x14ac:dyDescent="0.3">
      <c r="A3646" t="s">
        <v>3676</v>
      </c>
      <c r="B3646" s="1">
        <v>45461</v>
      </c>
      <c r="C3646" t="s">
        <v>43</v>
      </c>
      <c r="D3646" t="s">
        <v>32</v>
      </c>
      <c r="E3646">
        <v>44</v>
      </c>
      <c r="F3646" t="s">
        <v>28</v>
      </c>
      <c r="G3646">
        <v>1067.52</v>
      </c>
      <c r="H3646">
        <v>21</v>
      </c>
      <c r="I3646" t="s">
        <v>22</v>
      </c>
      <c r="J3646">
        <v>3.1</v>
      </c>
      <c r="K3646" t="s">
        <v>26</v>
      </c>
      <c r="L3646" t="s">
        <v>23</v>
      </c>
      <c r="M3646" t="str">
        <f>VLOOKUP(D3650,Restaurant_Master!A:B,2,FALSE)</f>
        <v>https://www.chatswoodinterchange.com/storages/2018/08/Sushi-World_666x448.jpg</v>
      </c>
    </row>
    <row r="3647" spans="1:13" x14ac:dyDescent="0.3">
      <c r="A3647" t="s">
        <v>3677</v>
      </c>
      <c r="B3647" s="1">
        <v>45490</v>
      </c>
      <c r="C3647" t="s">
        <v>43</v>
      </c>
      <c r="D3647" t="s">
        <v>14</v>
      </c>
      <c r="E3647">
        <v>34</v>
      </c>
      <c r="F3647" t="s">
        <v>28</v>
      </c>
      <c r="G3647">
        <v>849.05</v>
      </c>
      <c r="H3647">
        <v>35</v>
      </c>
      <c r="I3647" t="s">
        <v>22</v>
      </c>
      <c r="J3647">
        <v>4.2</v>
      </c>
      <c r="K3647" t="s">
        <v>26</v>
      </c>
      <c r="L3647" t="s">
        <v>23</v>
      </c>
      <c r="M3647" t="str">
        <f>VLOOKUP(D3651,Restaurant_Master!A:B,2,FALSE)</f>
        <v>https://content.jdmagicbox.com/comp/deoria/g6/9999p5568.5568.200119143033.m4g6/catalogue/biryani-house-deoria-ho-deoria-mktc2xph0o.jpg</v>
      </c>
    </row>
    <row r="3648" spans="1:13" x14ac:dyDescent="0.3">
      <c r="A3648" t="s">
        <v>3678</v>
      </c>
      <c r="B3648" s="1">
        <v>45617</v>
      </c>
      <c r="C3648" t="s">
        <v>43</v>
      </c>
      <c r="D3648" t="s">
        <v>32</v>
      </c>
      <c r="E3648">
        <v>24</v>
      </c>
      <c r="F3648" t="s">
        <v>15</v>
      </c>
      <c r="G3648">
        <v>239.68</v>
      </c>
      <c r="H3648">
        <v>57</v>
      </c>
      <c r="I3648" t="s">
        <v>16</v>
      </c>
      <c r="J3648">
        <v>3</v>
      </c>
      <c r="K3648" t="s">
        <v>29</v>
      </c>
      <c r="L3648" t="s">
        <v>18</v>
      </c>
      <c r="M3648" t="str">
        <f>VLOOKUP(D3652,Restaurant_Master!A:B,2,FALSE)</f>
        <v>https://dineout-media-assets.swiggy.com/swiggy/image/upload/fl_lossy,f_auto,q_auto/v1660793737/fdqxvxcxg1wtdwvyv45v.jpg</v>
      </c>
    </row>
    <row r="3649" spans="1:13" x14ac:dyDescent="0.3">
      <c r="A3649" t="s">
        <v>3679</v>
      </c>
      <c r="B3649" s="1">
        <v>45335</v>
      </c>
      <c r="C3649" t="s">
        <v>34</v>
      </c>
      <c r="D3649" t="s">
        <v>25</v>
      </c>
      <c r="E3649">
        <v>50</v>
      </c>
      <c r="F3649" t="s">
        <v>28</v>
      </c>
      <c r="G3649">
        <v>944.04</v>
      </c>
      <c r="H3649">
        <v>34</v>
      </c>
      <c r="I3649" t="s">
        <v>22</v>
      </c>
      <c r="J3649">
        <v>3.3</v>
      </c>
      <c r="K3649" t="s">
        <v>41</v>
      </c>
      <c r="L3649" t="s">
        <v>18</v>
      </c>
      <c r="M3649" t="str">
        <f>VLOOKUP(D3653,Restaurant_Master!A:B,2,FALSE)</f>
        <v>https://media-cdn.tripadvisor.com/media/photo-s/1c/c7/97/b6/photo6jpg.jpg</v>
      </c>
    </row>
    <row r="3650" spans="1:13" x14ac:dyDescent="0.3">
      <c r="A3650" t="s">
        <v>3680</v>
      </c>
      <c r="B3650" s="1">
        <v>45315</v>
      </c>
      <c r="C3650" t="s">
        <v>36</v>
      </c>
      <c r="D3650" t="s">
        <v>38</v>
      </c>
      <c r="E3650">
        <v>50</v>
      </c>
      <c r="F3650" t="s">
        <v>15</v>
      </c>
      <c r="G3650">
        <v>657.56</v>
      </c>
      <c r="H3650">
        <v>53</v>
      </c>
      <c r="I3650" t="s">
        <v>16</v>
      </c>
      <c r="J3650">
        <v>2.7</v>
      </c>
      <c r="K3650" t="s">
        <v>29</v>
      </c>
      <c r="L3650" t="s">
        <v>23</v>
      </c>
      <c r="M3650" t="str">
        <f>VLOOKUP(D3654,Restaurant_Master!A:B,2,FALSE)</f>
        <v>https://dynamic-media-cdn.tripadvisor.com/media/photo-o/1c/e7/04/0d/front-of-the-local-easily.jpg</v>
      </c>
    </row>
    <row r="3651" spans="1:13" x14ac:dyDescent="0.3">
      <c r="A3651" t="s">
        <v>3681</v>
      </c>
      <c r="B3651" s="1">
        <v>45554</v>
      </c>
      <c r="C3651" t="s">
        <v>20</v>
      </c>
      <c r="D3651" t="s">
        <v>32</v>
      </c>
      <c r="E3651">
        <v>39</v>
      </c>
      <c r="F3651" t="s">
        <v>15</v>
      </c>
      <c r="G3651">
        <v>1132.3699999999999</v>
      </c>
      <c r="H3651">
        <v>38</v>
      </c>
      <c r="I3651" t="s">
        <v>22</v>
      </c>
      <c r="J3651">
        <v>3.7</v>
      </c>
      <c r="K3651" t="s">
        <v>29</v>
      </c>
      <c r="L3651" t="s">
        <v>18</v>
      </c>
      <c r="M3651" t="str">
        <f>VLOOKUP(D3655,Restaurant_Master!A:B,2,FALSE)</f>
        <v>https://dineout-media-assets.swiggy.com/swiggy/image/upload/fl_lossy,f_auto,q_auto/v1660793737/fdqxvxcxg1wtdwvyv45v.jpg</v>
      </c>
    </row>
    <row r="3652" spans="1:13" x14ac:dyDescent="0.3">
      <c r="A3652" t="s">
        <v>3682</v>
      </c>
      <c r="B3652" s="1">
        <v>45643</v>
      </c>
      <c r="C3652" t="s">
        <v>36</v>
      </c>
      <c r="D3652" t="s">
        <v>14</v>
      </c>
      <c r="E3652">
        <v>27</v>
      </c>
      <c r="F3652" t="s">
        <v>15</v>
      </c>
      <c r="G3652">
        <v>1053.1400000000001</v>
      </c>
      <c r="H3652">
        <v>42</v>
      </c>
      <c r="I3652" t="s">
        <v>16</v>
      </c>
      <c r="J3652">
        <v>3</v>
      </c>
      <c r="K3652" t="s">
        <v>17</v>
      </c>
      <c r="L3652" t="s">
        <v>18</v>
      </c>
      <c r="M3652" t="str">
        <f>VLOOKUP(D3656,Restaurant_Master!A:B,2,FALSE)</f>
        <v>https://media-cdn.tripadvisor.com/media/photo-s/1c/c7/97/b6/photo6jpg.jpg</v>
      </c>
    </row>
    <row r="3653" spans="1:13" x14ac:dyDescent="0.3">
      <c r="A3653" t="s">
        <v>3683</v>
      </c>
      <c r="B3653" s="1">
        <v>45342</v>
      </c>
      <c r="C3653" t="s">
        <v>36</v>
      </c>
      <c r="D3653" t="s">
        <v>25</v>
      </c>
      <c r="E3653">
        <v>25</v>
      </c>
      <c r="F3653" t="s">
        <v>28</v>
      </c>
      <c r="G3653">
        <v>785.91</v>
      </c>
      <c r="H3653">
        <v>28</v>
      </c>
      <c r="I3653" t="s">
        <v>22</v>
      </c>
      <c r="J3653">
        <v>3.2</v>
      </c>
      <c r="K3653" t="s">
        <v>17</v>
      </c>
      <c r="L3653" t="s">
        <v>23</v>
      </c>
      <c r="M3653" t="str">
        <f>VLOOKUP(D3657,Restaurant_Master!A:B,2,FALSE)</f>
        <v>https://dineout-media-assets.swiggy.com/swiggy/image/upload/fl_lossy,f_auto,q_auto/v1660793737/fdqxvxcxg1wtdwvyv45v.jpg</v>
      </c>
    </row>
    <row r="3654" spans="1:13" x14ac:dyDescent="0.3">
      <c r="A3654" t="s">
        <v>3684</v>
      </c>
      <c r="B3654" s="1">
        <v>45604</v>
      </c>
      <c r="C3654" t="s">
        <v>36</v>
      </c>
      <c r="D3654" t="s">
        <v>21</v>
      </c>
      <c r="E3654">
        <v>21</v>
      </c>
      <c r="F3654" t="s">
        <v>28</v>
      </c>
      <c r="G3654">
        <v>250.61</v>
      </c>
      <c r="H3654">
        <v>24</v>
      </c>
      <c r="I3654" t="s">
        <v>22</v>
      </c>
      <c r="J3654">
        <v>4.0999999999999996</v>
      </c>
      <c r="K3654" t="s">
        <v>26</v>
      </c>
      <c r="L3654" t="s">
        <v>18</v>
      </c>
      <c r="M3654" t="str">
        <f>VLOOKUP(D3658,Restaurant_Master!A:B,2,FALSE)</f>
        <v>https://media-cdn.tripadvisor.com/media/photo-s/1c/c7/97/b6/photo6jpg.jpg</v>
      </c>
    </row>
    <row r="3655" spans="1:13" x14ac:dyDescent="0.3">
      <c r="A3655" t="s">
        <v>3685</v>
      </c>
      <c r="B3655" s="1">
        <v>45557</v>
      </c>
      <c r="C3655" t="s">
        <v>13</v>
      </c>
      <c r="D3655" t="s">
        <v>14</v>
      </c>
      <c r="E3655">
        <v>57</v>
      </c>
      <c r="F3655" t="s">
        <v>28</v>
      </c>
      <c r="G3655">
        <v>1003.36</v>
      </c>
      <c r="H3655">
        <v>40</v>
      </c>
      <c r="I3655" t="s">
        <v>22</v>
      </c>
      <c r="J3655">
        <v>2.7</v>
      </c>
      <c r="K3655" t="s">
        <v>41</v>
      </c>
      <c r="L3655" t="s">
        <v>23</v>
      </c>
      <c r="M3655" t="str">
        <f>VLOOKUP(D3659,Restaurant_Master!A:B,2,FALSE)</f>
        <v>https://media-cdn.tripadvisor.com/media/photo-s/1c/c7/97/b6/photo6jpg.jpg</v>
      </c>
    </row>
    <row r="3656" spans="1:13" x14ac:dyDescent="0.3">
      <c r="A3656" t="s">
        <v>3686</v>
      </c>
      <c r="B3656" s="1">
        <v>45643</v>
      </c>
      <c r="C3656" t="s">
        <v>34</v>
      </c>
      <c r="D3656" t="s">
        <v>25</v>
      </c>
      <c r="E3656">
        <v>42</v>
      </c>
      <c r="F3656" t="s">
        <v>15</v>
      </c>
      <c r="G3656">
        <v>887.25</v>
      </c>
      <c r="H3656">
        <v>52</v>
      </c>
      <c r="I3656" t="s">
        <v>16</v>
      </c>
      <c r="J3656">
        <v>2.7</v>
      </c>
      <c r="K3656" t="s">
        <v>17</v>
      </c>
      <c r="L3656" t="s">
        <v>18</v>
      </c>
      <c r="M3656" t="str">
        <f>VLOOKUP(D3660,Restaurant_Master!A:B,2,FALSE)</f>
        <v>https://dynamic-media-cdn.tripadvisor.com/media/photo-o/1c/e7/04/0d/front-of-the-local-easily.jpg</v>
      </c>
    </row>
    <row r="3657" spans="1:13" x14ac:dyDescent="0.3">
      <c r="A3657" t="s">
        <v>3687</v>
      </c>
      <c r="B3657" s="1">
        <v>45648</v>
      </c>
      <c r="C3657" t="s">
        <v>13</v>
      </c>
      <c r="D3657" t="s">
        <v>14</v>
      </c>
      <c r="E3657">
        <v>58</v>
      </c>
      <c r="F3657" t="s">
        <v>28</v>
      </c>
      <c r="G3657">
        <v>776.4</v>
      </c>
      <c r="H3657">
        <v>57</v>
      </c>
      <c r="I3657" t="s">
        <v>16</v>
      </c>
      <c r="J3657">
        <v>3.7</v>
      </c>
      <c r="K3657" t="s">
        <v>26</v>
      </c>
      <c r="L3657" t="s">
        <v>23</v>
      </c>
      <c r="M3657" t="str">
        <f>VLOOKUP(D3661,Restaurant_Master!A:B,2,FALSE)</f>
        <v>https://content.jdmagicbox.com/comp/deoria/g6/9999p5568.5568.200119143033.m4g6/catalogue/biryani-house-deoria-ho-deoria-mktc2xph0o.jpg</v>
      </c>
    </row>
    <row r="3658" spans="1:13" x14ac:dyDescent="0.3">
      <c r="A3658" t="s">
        <v>3688</v>
      </c>
      <c r="B3658" s="1">
        <v>45437</v>
      </c>
      <c r="C3658" t="s">
        <v>20</v>
      </c>
      <c r="D3658" t="s">
        <v>25</v>
      </c>
      <c r="E3658">
        <v>42</v>
      </c>
      <c r="F3658" t="s">
        <v>28</v>
      </c>
      <c r="G3658">
        <v>1016.76</v>
      </c>
      <c r="H3658">
        <v>39</v>
      </c>
      <c r="I3658" t="s">
        <v>22</v>
      </c>
      <c r="J3658">
        <v>3.6</v>
      </c>
      <c r="K3658" t="s">
        <v>17</v>
      </c>
      <c r="L3658" t="s">
        <v>23</v>
      </c>
      <c r="M3658" t="str">
        <f>VLOOKUP(D3662,Restaurant_Master!A:B,2,FALSE)</f>
        <v>https://content.jdmagicbox.com/comp/deoria/g6/9999p5568.5568.200119143033.m4g6/catalogue/biryani-house-deoria-ho-deoria-mktc2xph0o.jpg</v>
      </c>
    </row>
    <row r="3659" spans="1:13" x14ac:dyDescent="0.3">
      <c r="A3659" t="s">
        <v>3689</v>
      </c>
      <c r="B3659" s="1">
        <v>45636</v>
      </c>
      <c r="C3659" t="s">
        <v>34</v>
      </c>
      <c r="D3659" t="s">
        <v>25</v>
      </c>
      <c r="E3659">
        <v>25</v>
      </c>
      <c r="F3659" t="s">
        <v>28</v>
      </c>
      <c r="G3659">
        <v>200.14</v>
      </c>
      <c r="H3659">
        <v>49</v>
      </c>
      <c r="I3659" t="s">
        <v>16</v>
      </c>
      <c r="J3659">
        <v>3.9</v>
      </c>
      <c r="K3659" t="s">
        <v>41</v>
      </c>
      <c r="L3659" t="s">
        <v>23</v>
      </c>
      <c r="M3659" t="str">
        <f>VLOOKUP(D3663,Restaurant_Master!A:B,2,FALSE)</f>
        <v>https://www.chatswoodinterchange.com/storages/2018/08/Sushi-World_666x448.jpg</v>
      </c>
    </row>
    <row r="3660" spans="1:13" x14ac:dyDescent="0.3">
      <c r="A3660" t="s">
        <v>3690</v>
      </c>
      <c r="B3660" s="1">
        <v>45429</v>
      </c>
      <c r="C3660" t="s">
        <v>20</v>
      </c>
      <c r="D3660" t="s">
        <v>21</v>
      </c>
      <c r="E3660">
        <v>26</v>
      </c>
      <c r="F3660" t="s">
        <v>15</v>
      </c>
      <c r="G3660">
        <v>261.79000000000002</v>
      </c>
      <c r="H3660">
        <v>20</v>
      </c>
      <c r="I3660" t="s">
        <v>22</v>
      </c>
      <c r="J3660">
        <v>3.5</v>
      </c>
      <c r="K3660" t="s">
        <v>41</v>
      </c>
      <c r="L3660" t="s">
        <v>23</v>
      </c>
      <c r="M3660" t="str">
        <f>VLOOKUP(D3664,Restaurant_Master!A:B,2,FALSE)</f>
        <v>https://www.chatswoodinterchange.com/storages/2018/08/Sushi-World_666x448.jpg</v>
      </c>
    </row>
    <row r="3661" spans="1:13" x14ac:dyDescent="0.3">
      <c r="A3661" t="s">
        <v>3691</v>
      </c>
      <c r="B3661" s="1">
        <v>45642</v>
      </c>
      <c r="C3661" t="s">
        <v>43</v>
      </c>
      <c r="D3661" t="s">
        <v>32</v>
      </c>
      <c r="E3661">
        <v>32</v>
      </c>
      <c r="F3661" t="s">
        <v>15</v>
      </c>
      <c r="G3661">
        <v>1033.78</v>
      </c>
      <c r="H3661">
        <v>37</v>
      </c>
      <c r="I3661" t="s">
        <v>22</v>
      </c>
      <c r="J3661">
        <v>4.5999999999999996</v>
      </c>
      <c r="K3661" t="s">
        <v>29</v>
      </c>
      <c r="L3661" t="s">
        <v>23</v>
      </c>
      <c r="M3661" t="str">
        <f>VLOOKUP(D3665,Restaurant_Master!A:B,2,FALSE)</f>
        <v>https://content.jdmagicbox.com/comp/deoria/g6/9999p5568.5568.200119143033.m4g6/catalogue/biryani-house-deoria-ho-deoria-mktc2xph0o.jpg</v>
      </c>
    </row>
    <row r="3662" spans="1:13" x14ac:dyDescent="0.3">
      <c r="A3662" t="s">
        <v>3692</v>
      </c>
      <c r="B3662" s="1">
        <v>45492</v>
      </c>
      <c r="C3662" t="s">
        <v>43</v>
      </c>
      <c r="D3662" t="s">
        <v>32</v>
      </c>
      <c r="E3662">
        <v>18</v>
      </c>
      <c r="F3662" t="s">
        <v>15</v>
      </c>
      <c r="G3662">
        <v>810.14</v>
      </c>
      <c r="H3662">
        <v>38</v>
      </c>
      <c r="I3662" t="s">
        <v>22</v>
      </c>
      <c r="J3662">
        <v>4.5999999999999996</v>
      </c>
      <c r="K3662" t="s">
        <v>26</v>
      </c>
      <c r="L3662" t="s">
        <v>23</v>
      </c>
      <c r="M3662" t="str">
        <f>VLOOKUP(D3666,Restaurant_Master!A:B,2,FALSE)</f>
        <v>https://dineout-media-assets.swiggy.com/swiggy/image/upload/fl_lossy,f_auto,q_auto/v1660793737/fdqxvxcxg1wtdwvyv45v.jpg</v>
      </c>
    </row>
    <row r="3663" spans="1:13" x14ac:dyDescent="0.3">
      <c r="A3663" t="s">
        <v>3693</v>
      </c>
      <c r="B3663" s="1">
        <v>45501</v>
      </c>
      <c r="C3663" t="s">
        <v>20</v>
      </c>
      <c r="D3663" t="s">
        <v>38</v>
      </c>
      <c r="E3663">
        <v>19</v>
      </c>
      <c r="F3663" t="s">
        <v>15</v>
      </c>
      <c r="G3663">
        <v>384.14</v>
      </c>
      <c r="H3663">
        <v>55</v>
      </c>
      <c r="I3663" t="s">
        <v>16</v>
      </c>
      <c r="J3663">
        <v>4.9000000000000004</v>
      </c>
      <c r="K3663" t="s">
        <v>29</v>
      </c>
      <c r="L3663" t="s">
        <v>23</v>
      </c>
      <c r="M3663" t="str">
        <f>VLOOKUP(D3667,Restaurant_Master!A:B,2,FALSE)</f>
        <v>https://media-cdn.tripadvisor.com/media/photo-s/1c/c7/97/b6/photo6jpg.jpg</v>
      </c>
    </row>
    <row r="3664" spans="1:13" x14ac:dyDescent="0.3">
      <c r="A3664" t="s">
        <v>3694</v>
      </c>
      <c r="B3664" s="1">
        <v>45369</v>
      </c>
      <c r="C3664" t="s">
        <v>13</v>
      </c>
      <c r="D3664" t="s">
        <v>38</v>
      </c>
      <c r="E3664">
        <v>60</v>
      </c>
      <c r="F3664" t="s">
        <v>15</v>
      </c>
      <c r="G3664">
        <v>772.85</v>
      </c>
      <c r="H3664">
        <v>30</v>
      </c>
      <c r="I3664" t="s">
        <v>22</v>
      </c>
      <c r="J3664">
        <v>2.9</v>
      </c>
      <c r="K3664" t="s">
        <v>29</v>
      </c>
      <c r="L3664" t="s">
        <v>23</v>
      </c>
      <c r="M3664" t="str">
        <f>VLOOKUP(D3668,Restaurant_Master!A:B,2,FALSE)</f>
        <v>https://dineout-media-assets.swiggy.com/swiggy/image/upload/fl_lossy,f_auto,q_auto/v1660793737/fdqxvxcxg1wtdwvyv45v.jpg</v>
      </c>
    </row>
    <row r="3665" spans="1:13" x14ac:dyDescent="0.3">
      <c r="A3665" t="s">
        <v>3695</v>
      </c>
      <c r="B3665" s="1">
        <v>45384</v>
      </c>
      <c r="C3665" t="s">
        <v>13</v>
      </c>
      <c r="D3665" t="s">
        <v>32</v>
      </c>
      <c r="E3665">
        <v>34</v>
      </c>
      <c r="F3665" t="s">
        <v>28</v>
      </c>
      <c r="G3665">
        <v>523.77</v>
      </c>
      <c r="H3665">
        <v>24</v>
      </c>
      <c r="I3665" t="s">
        <v>22</v>
      </c>
      <c r="J3665">
        <v>2.9</v>
      </c>
      <c r="K3665" t="s">
        <v>29</v>
      </c>
      <c r="L3665" t="s">
        <v>18</v>
      </c>
      <c r="M3665" t="str">
        <f>VLOOKUP(D3669,Restaurant_Master!A:B,2,FALSE)</f>
        <v>https://media-cdn.tripadvisor.com/media/photo-s/1c/c7/97/b6/photo6jpg.jpg</v>
      </c>
    </row>
    <row r="3666" spans="1:13" x14ac:dyDescent="0.3">
      <c r="A3666" t="s">
        <v>3696</v>
      </c>
      <c r="B3666" s="1">
        <v>45369</v>
      </c>
      <c r="C3666" t="s">
        <v>20</v>
      </c>
      <c r="D3666" t="s">
        <v>14</v>
      </c>
      <c r="E3666">
        <v>45</v>
      </c>
      <c r="F3666" t="s">
        <v>28</v>
      </c>
      <c r="G3666">
        <v>818.91</v>
      </c>
      <c r="H3666">
        <v>35</v>
      </c>
      <c r="I3666" t="s">
        <v>22</v>
      </c>
      <c r="J3666">
        <v>3.6</v>
      </c>
      <c r="K3666" t="s">
        <v>17</v>
      </c>
      <c r="L3666" t="s">
        <v>23</v>
      </c>
      <c r="M3666" t="str">
        <f>VLOOKUP(D3670,Restaurant_Master!A:B,2,FALSE)</f>
        <v>https://content.jdmagicbox.com/comp/deoria/g6/9999p5568.5568.200119143033.m4g6/catalogue/biryani-house-deoria-ho-deoria-mktc2xph0o.jpg</v>
      </c>
    </row>
    <row r="3667" spans="1:13" x14ac:dyDescent="0.3">
      <c r="A3667" t="s">
        <v>3697</v>
      </c>
      <c r="B3667" s="1">
        <v>45367</v>
      </c>
      <c r="C3667" t="s">
        <v>20</v>
      </c>
      <c r="D3667" t="s">
        <v>25</v>
      </c>
      <c r="E3667">
        <v>59</v>
      </c>
      <c r="F3667" t="s">
        <v>28</v>
      </c>
      <c r="G3667">
        <v>719.38</v>
      </c>
      <c r="H3667">
        <v>20</v>
      </c>
      <c r="I3667" t="s">
        <v>22</v>
      </c>
      <c r="J3667">
        <v>4.3</v>
      </c>
      <c r="K3667" t="s">
        <v>17</v>
      </c>
      <c r="L3667" t="s">
        <v>23</v>
      </c>
      <c r="M3667" t="str">
        <f>VLOOKUP(D3671,Restaurant_Master!A:B,2,FALSE)</f>
        <v>https://dynamic-media-cdn.tripadvisor.com/media/photo-o/1c/e7/04/0d/front-of-the-local-easily.jpg</v>
      </c>
    </row>
    <row r="3668" spans="1:13" x14ac:dyDescent="0.3">
      <c r="A3668" t="s">
        <v>3698</v>
      </c>
      <c r="B3668" s="1">
        <v>45540</v>
      </c>
      <c r="C3668" t="s">
        <v>43</v>
      </c>
      <c r="D3668" t="s">
        <v>14</v>
      </c>
      <c r="E3668">
        <v>54</v>
      </c>
      <c r="F3668" t="s">
        <v>28</v>
      </c>
      <c r="G3668">
        <v>847.66</v>
      </c>
      <c r="H3668">
        <v>30</v>
      </c>
      <c r="I3668" t="s">
        <v>22</v>
      </c>
      <c r="J3668">
        <v>3.6</v>
      </c>
      <c r="K3668" t="s">
        <v>17</v>
      </c>
      <c r="L3668" t="s">
        <v>18</v>
      </c>
      <c r="M3668" t="str">
        <f>VLOOKUP(D3672,Restaurant_Master!A:B,2,FALSE)</f>
        <v>https://dineout-media-assets.swiggy.com/swiggy/image/upload/fl_lossy,f_auto,q_auto/v1660793737/fdqxvxcxg1wtdwvyv45v.jpg</v>
      </c>
    </row>
    <row r="3669" spans="1:13" x14ac:dyDescent="0.3">
      <c r="A3669" t="s">
        <v>3699</v>
      </c>
      <c r="B3669" s="1">
        <v>45597</v>
      </c>
      <c r="C3669" t="s">
        <v>36</v>
      </c>
      <c r="D3669" t="s">
        <v>25</v>
      </c>
      <c r="E3669">
        <v>48</v>
      </c>
      <c r="F3669" t="s">
        <v>28</v>
      </c>
      <c r="G3669">
        <v>473.11</v>
      </c>
      <c r="H3669">
        <v>40</v>
      </c>
      <c r="I3669" t="s">
        <v>22</v>
      </c>
      <c r="J3669">
        <v>3.6</v>
      </c>
      <c r="K3669" t="s">
        <v>26</v>
      </c>
      <c r="L3669" t="s">
        <v>18</v>
      </c>
      <c r="M3669" t="str">
        <f>VLOOKUP(D3673,Restaurant_Master!A:B,2,FALSE)</f>
        <v>https://media-cdn.tripadvisor.com/media/photo-s/1c/c7/97/b6/photo6jpg.jpg</v>
      </c>
    </row>
    <row r="3670" spans="1:13" x14ac:dyDescent="0.3">
      <c r="A3670" t="s">
        <v>3700</v>
      </c>
      <c r="B3670" s="1">
        <v>45657</v>
      </c>
      <c r="C3670" t="s">
        <v>36</v>
      </c>
      <c r="D3670" t="s">
        <v>32</v>
      </c>
      <c r="E3670">
        <v>28</v>
      </c>
      <c r="F3670" t="s">
        <v>28</v>
      </c>
      <c r="G3670">
        <v>749.24</v>
      </c>
      <c r="H3670">
        <v>30</v>
      </c>
      <c r="I3670" t="s">
        <v>22</v>
      </c>
      <c r="J3670">
        <v>3</v>
      </c>
      <c r="K3670" t="s">
        <v>29</v>
      </c>
      <c r="L3670" t="s">
        <v>18</v>
      </c>
      <c r="M3670" t="str">
        <f>VLOOKUP(D3674,Restaurant_Master!A:B,2,FALSE)</f>
        <v>https://www.chatswoodinterchange.com/storages/2018/08/Sushi-World_666x448.jpg</v>
      </c>
    </row>
    <row r="3671" spans="1:13" x14ac:dyDescent="0.3">
      <c r="A3671" t="s">
        <v>3701</v>
      </c>
      <c r="B3671" s="1">
        <v>45467</v>
      </c>
      <c r="C3671" t="s">
        <v>20</v>
      </c>
      <c r="D3671" t="s">
        <v>21</v>
      </c>
      <c r="E3671">
        <v>59</v>
      </c>
      <c r="F3671" t="s">
        <v>28</v>
      </c>
      <c r="G3671">
        <v>342.39</v>
      </c>
      <c r="H3671">
        <v>34</v>
      </c>
      <c r="I3671" t="s">
        <v>22</v>
      </c>
      <c r="J3671">
        <v>4.8</v>
      </c>
      <c r="K3671" t="s">
        <v>26</v>
      </c>
      <c r="L3671" t="s">
        <v>18</v>
      </c>
      <c r="M3671" t="str">
        <f>VLOOKUP(D3675,Restaurant_Master!A:B,2,FALSE)</f>
        <v>https://dineout-media-assets.swiggy.com/swiggy/image/upload/fl_lossy,f_auto,q_auto/v1660793737/fdqxvxcxg1wtdwvyv45v.jpg</v>
      </c>
    </row>
    <row r="3672" spans="1:13" x14ac:dyDescent="0.3">
      <c r="A3672" t="s">
        <v>3702</v>
      </c>
      <c r="B3672" s="1">
        <v>45627</v>
      </c>
      <c r="C3672" t="s">
        <v>13</v>
      </c>
      <c r="D3672" t="s">
        <v>14</v>
      </c>
      <c r="E3672">
        <v>24</v>
      </c>
      <c r="F3672" t="s">
        <v>28</v>
      </c>
      <c r="G3672">
        <v>745.38</v>
      </c>
      <c r="H3672">
        <v>57</v>
      </c>
      <c r="I3672" t="s">
        <v>16</v>
      </c>
      <c r="J3672">
        <v>2.9</v>
      </c>
      <c r="K3672" t="s">
        <v>26</v>
      </c>
      <c r="L3672" t="s">
        <v>18</v>
      </c>
      <c r="M3672" t="str">
        <f>VLOOKUP(D3676,Restaurant_Master!A:B,2,FALSE)</f>
        <v>https://media-cdn.tripadvisor.com/media/photo-s/1c/c7/97/b6/photo6jpg.jpg</v>
      </c>
    </row>
    <row r="3673" spans="1:13" x14ac:dyDescent="0.3">
      <c r="A3673" t="s">
        <v>3703</v>
      </c>
      <c r="B3673" s="1">
        <v>45445</v>
      </c>
      <c r="C3673" t="s">
        <v>36</v>
      </c>
      <c r="D3673" t="s">
        <v>25</v>
      </c>
      <c r="E3673">
        <v>21</v>
      </c>
      <c r="F3673" t="s">
        <v>15</v>
      </c>
      <c r="G3673">
        <v>392.85</v>
      </c>
      <c r="H3673">
        <v>48</v>
      </c>
      <c r="I3673" t="s">
        <v>16</v>
      </c>
      <c r="J3673">
        <v>3</v>
      </c>
      <c r="K3673" t="s">
        <v>17</v>
      </c>
      <c r="L3673" t="s">
        <v>23</v>
      </c>
      <c r="M3673" t="str">
        <f>VLOOKUP(D3677,Restaurant_Master!A:B,2,FALSE)</f>
        <v>https://dynamic-media-cdn.tripadvisor.com/media/photo-o/1c/e7/04/0d/front-of-the-local-easily.jpg</v>
      </c>
    </row>
    <row r="3674" spans="1:13" x14ac:dyDescent="0.3">
      <c r="A3674" t="s">
        <v>3704</v>
      </c>
      <c r="B3674" s="1">
        <v>45374</v>
      </c>
      <c r="C3674" t="s">
        <v>20</v>
      </c>
      <c r="D3674" t="s">
        <v>38</v>
      </c>
      <c r="E3674">
        <v>30</v>
      </c>
      <c r="F3674" t="s">
        <v>15</v>
      </c>
      <c r="G3674">
        <v>1162.47</v>
      </c>
      <c r="H3674">
        <v>28</v>
      </c>
      <c r="I3674" t="s">
        <v>22</v>
      </c>
      <c r="J3674">
        <v>4.7</v>
      </c>
      <c r="K3674" t="s">
        <v>29</v>
      </c>
      <c r="L3674" t="s">
        <v>18</v>
      </c>
      <c r="M3674" t="str">
        <f>VLOOKUP(D3678,Restaurant_Master!A:B,2,FALSE)</f>
        <v>https://www.chatswoodinterchange.com/storages/2018/08/Sushi-World_666x448.jpg</v>
      </c>
    </row>
    <row r="3675" spans="1:13" x14ac:dyDescent="0.3">
      <c r="A3675" t="s">
        <v>3705</v>
      </c>
      <c r="B3675" s="1">
        <v>45460</v>
      </c>
      <c r="C3675" t="s">
        <v>34</v>
      </c>
      <c r="D3675" t="s">
        <v>14</v>
      </c>
      <c r="E3675">
        <v>42</v>
      </c>
      <c r="F3675" t="s">
        <v>15</v>
      </c>
      <c r="G3675">
        <v>1005.65</v>
      </c>
      <c r="H3675">
        <v>21</v>
      </c>
      <c r="I3675" t="s">
        <v>22</v>
      </c>
      <c r="J3675">
        <v>4</v>
      </c>
      <c r="K3675" t="s">
        <v>29</v>
      </c>
      <c r="L3675" t="s">
        <v>18</v>
      </c>
      <c r="M3675" t="str">
        <f>VLOOKUP(D3679,Restaurant_Master!A:B,2,FALSE)</f>
        <v>https://dynamic-media-cdn.tripadvisor.com/media/photo-o/1c/e7/04/0d/front-of-the-local-easily.jpg</v>
      </c>
    </row>
    <row r="3676" spans="1:13" x14ac:dyDescent="0.3">
      <c r="A3676" t="s">
        <v>3706</v>
      </c>
      <c r="B3676" s="1">
        <v>45601</v>
      </c>
      <c r="C3676" t="s">
        <v>43</v>
      </c>
      <c r="D3676" t="s">
        <v>25</v>
      </c>
      <c r="E3676">
        <v>21</v>
      </c>
      <c r="F3676" t="s">
        <v>28</v>
      </c>
      <c r="G3676">
        <v>923.76</v>
      </c>
      <c r="H3676">
        <v>40</v>
      </c>
      <c r="I3676" t="s">
        <v>22</v>
      </c>
      <c r="J3676">
        <v>3.9</v>
      </c>
      <c r="K3676" t="s">
        <v>26</v>
      </c>
      <c r="L3676" t="s">
        <v>23</v>
      </c>
      <c r="M3676" t="str">
        <f>VLOOKUP(D3680,Restaurant_Master!A:B,2,FALSE)</f>
        <v>https://media-cdn.tripadvisor.com/media/photo-s/1c/c7/97/b6/photo6jpg.jpg</v>
      </c>
    </row>
    <row r="3677" spans="1:13" x14ac:dyDescent="0.3">
      <c r="A3677" t="s">
        <v>3707</v>
      </c>
      <c r="B3677" s="1">
        <v>45573</v>
      </c>
      <c r="C3677" t="s">
        <v>13</v>
      </c>
      <c r="D3677" t="s">
        <v>21</v>
      </c>
      <c r="E3677">
        <v>33</v>
      </c>
      <c r="F3677" t="s">
        <v>15</v>
      </c>
      <c r="G3677">
        <v>471.7</v>
      </c>
      <c r="H3677">
        <v>27</v>
      </c>
      <c r="I3677" t="s">
        <v>22</v>
      </c>
      <c r="J3677">
        <v>4.5</v>
      </c>
      <c r="K3677" t="s">
        <v>29</v>
      </c>
      <c r="L3677" t="s">
        <v>18</v>
      </c>
      <c r="M3677" t="str">
        <f>VLOOKUP(D3681,Restaurant_Master!A:B,2,FALSE)</f>
        <v>https://media-cdn.tripadvisor.com/media/photo-s/1c/c7/97/b6/photo6jpg.jpg</v>
      </c>
    </row>
    <row r="3678" spans="1:13" x14ac:dyDescent="0.3">
      <c r="A3678" t="s">
        <v>3708</v>
      </c>
      <c r="B3678" s="1">
        <v>45559</v>
      </c>
      <c r="C3678" t="s">
        <v>43</v>
      </c>
      <c r="D3678" t="s">
        <v>38</v>
      </c>
      <c r="E3678">
        <v>22</v>
      </c>
      <c r="F3678" t="s">
        <v>15</v>
      </c>
      <c r="G3678">
        <v>1010.3</v>
      </c>
      <c r="H3678">
        <v>45</v>
      </c>
      <c r="I3678" t="s">
        <v>16</v>
      </c>
      <c r="J3678">
        <v>3.1</v>
      </c>
      <c r="K3678" t="s">
        <v>29</v>
      </c>
      <c r="L3678" t="s">
        <v>18</v>
      </c>
      <c r="M3678" t="str">
        <f>VLOOKUP(D3682,Restaurant_Master!A:B,2,FALSE)</f>
        <v>https://media-cdn.tripadvisor.com/media/photo-s/1c/c7/97/b6/photo6jpg.jpg</v>
      </c>
    </row>
    <row r="3679" spans="1:13" x14ac:dyDescent="0.3">
      <c r="A3679" t="s">
        <v>3709</v>
      </c>
      <c r="B3679" s="1">
        <v>45496</v>
      </c>
      <c r="C3679" t="s">
        <v>13</v>
      </c>
      <c r="D3679" t="s">
        <v>21</v>
      </c>
      <c r="E3679">
        <v>24</v>
      </c>
      <c r="F3679" t="s">
        <v>28</v>
      </c>
      <c r="G3679">
        <v>1150.5899999999999</v>
      </c>
      <c r="H3679">
        <v>53</v>
      </c>
      <c r="I3679" t="s">
        <v>16</v>
      </c>
      <c r="J3679">
        <v>3.6</v>
      </c>
      <c r="K3679" t="s">
        <v>41</v>
      </c>
      <c r="L3679" t="s">
        <v>18</v>
      </c>
      <c r="M3679" t="str">
        <f>VLOOKUP(D3683,Restaurant_Master!A:B,2,FALSE)</f>
        <v>https://dineout-media-assets.swiggy.com/swiggy/image/upload/fl_lossy,f_auto,q_auto/v1660793737/fdqxvxcxg1wtdwvyv45v.jpg</v>
      </c>
    </row>
    <row r="3680" spans="1:13" x14ac:dyDescent="0.3">
      <c r="A3680" t="s">
        <v>3710</v>
      </c>
      <c r="B3680" s="1">
        <v>45509</v>
      </c>
      <c r="C3680" t="s">
        <v>20</v>
      </c>
      <c r="D3680" t="s">
        <v>25</v>
      </c>
      <c r="E3680">
        <v>36</v>
      </c>
      <c r="F3680" t="s">
        <v>28</v>
      </c>
      <c r="G3680">
        <v>513.02</v>
      </c>
      <c r="H3680">
        <v>29</v>
      </c>
      <c r="I3680" t="s">
        <v>22</v>
      </c>
      <c r="J3680">
        <v>4.4000000000000004</v>
      </c>
      <c r="K3680" t="s">
        <v>41</v>
      </c>
      <c r="L3680" t="s">
        <v>18</v>
      </c>
      <c r="M3680" t="str">
        <f>VLOOKUP(D3684,Restaurant_Master!A:B,2,FALSE)</f>
        <v>https://dynamic-media-cdn.tripadvisor.com/media/photo-o/1c/e7/04/0d/front-of-the-local-easily.jpg</v>
      </c>
    </row>
    <row r="3681" spans="1:13" x14ac:dyDescent="0.3">
      <c r="A3681" t="s">
        <v>3711</v>
      </c>
      <c r="B3681" s="1">
        <v>45645</v>
      </c>
      <c r="C3681" t="s">
        <v>36</v>
      </c>
      <c r="D3681" t="s">
        <v>25</v>
      </c>
      <c r="E3681">
        <v>34</v>
      </c>
      <c r="F3681" t="s">
        <v>28</v>
      </c>
      <c r="G3681">
        <v>539.78</v>
      </c>
      <c r="H3681">
        <v>22</v>
      </c>
      <c r="I3681" t="s">
        <v>22</v>
      </c>
      <c r="J3681">
        <v>3</v>
      </c>
      <c r="K3681" t="s">
        <v>29</v>
      </c>
      <c r="L3681" t="s">
        <v>23</v>
      </c>
      <c r="M3681" t="str">
        <f>VLOOKUP(D3685,Restaurant_Master!A:B,2,FALSE)</f>
        <v>https://dineout-media-assets.swiggy.com/swiggy/image/upload/fl_lossy,f_auto,q_auto/v1660793737/fdqxvxcxg1wtdwvyv45v.jpg</v>
      </c>
    </row>
    <row r="3682" spans="1:13" x14ac:dyDescent="0.3">
      <c r="A3682" t="s">
        <v>3712</v>
      </c>
      <c r="B3682" s="1">
        <v>45347</v>
      </c>
      <c r="C3682" t="s">
        <v>36</v>
      </c>
      <c r="D3682" t="s">
        <v>25</v>
      </c>
      <c r="E3682">
        <v>18</v>
      </c>
      <c r="F3682" t="s">
        <v>28</v>
      </c>
      <c r="G3682">
        <v>785.17</v>
      </c>
      <c r="H3682">
        <v>49</v>
      </c>
      <c r="I3682" t="s">
        <v>16</v>
      </c>
      <c r="J3682">
        <v>3.2</v>
      </c>
      <c r="K3682" t="s">
        <v>17</v>
      </c>
      <c r="L3682" t="s">
        <v>18</v>
      </c>
      <c r="M3682" t="str">
        <f>VLOOKUP(D3686,Restaurant_Master!A:B,2,FALSE)</f>
        <v>https://content.jdmagicbox.com/comp/deoria/g6/9999p5568.5568.200119143033.m4g6/catalogue/biryani-house-deoria-ho-deoria-mktc2xph0o.jpg</v>
      </c>
    </row>
    <row r="3683" spans="1:13" x14ac:dyDescent="0.3">
      <c r="A3683" t="s">
        <v>3713</v>
      </c>
      <c r="B3683" s="1">
        <v>45416</v>
      </c>
      <c r="C3683" t="s">
        <v>20</v>
      </c>
      <c r="D3683" t="s">
        <v>14</v>
      </c>
      <c r="E3683">
        <v>31</v>
      </c>
      <c r="F3683" t="s">
        <v>15</v>
      </c>
      <c r="G3683">
        <v>434.2</v>
      </c>
      <c r="H3683">
        <v>27</v>
      </c>
      <c r="I3683" t="s">
        <v>22</v>
      </c>
      <c r="J3683">
        <v>4</v>
      </c>
      <c r="K3683" t="s">
        <v>17</v>
      </c>
      <c r="L3683" t="s">
        <v>18</v>
      </c>
      <c r="M3683" t="str">
        <f>VLOOKUP(D3687,Restaurant_Master!A:B,2,FALSE)</f>
        <v>https://dynamic-media-cdn.tripadvisor.com/media/photo-o/1c/e7/04/0d/front-of-the-local-easily.jpg</v>
      </c>
    </row>
    <row r="3684" spans="1:13" x14ac:dyDescent="0.3">
      <c r="A3684" t="s">
        <v>3714</v>
      </c>
      <c r="B3684" s="1">
        <v>45323</v>
      </c>
      <c r="C3684" t="s">
        <v>20</v>
      </c>
      <c r="D3684" t="s">
        <v>21</v>
      </c>
      <c r="E3684">
        <v>60</v>
      </c>
      <c r="F3684" t="s">
        <v>28</v>
      </c>
      <c r="G3684">
        <v>974.28</v>
      </c>
      <c r="H3684">
        <v>56</v>
      </c>
      <c r="I3684" t="s">
        <v>16</v>
      </c>
      <c r="J3684">
        <v>2.7</v>
      </c>
      <c r="K3684" t="s">
        <v>29</v>
      </c>
      <c r="L3684" t="s">
        <v>23</v>
      </c>
      <c r="M3684" t="str">
        <f>VLOOKUP(D3688,Restaurant_Master!A:B,2,FALSE)</f>
        <v>https://media-cdn.tripadvisor.com/media/photo-s/1c/c7/97/b6/photo6jpg.jpg</v>
      </c>
    </row>
    <row r="3685" spans="1:13" x14ac:dyDescent="0.3">
      <c r="A3685" t="s">
        <v>3715</v>
      </c>
      <c r="B3685" s="1">
        <v>45293</v>
      </c>
      <c r="C3685" t="s">
        <v>43</v>
      </c>
      <c r="D3685" t="s">
        <v>14</v>
      </c>
      <c r="E3685">
        <v>48</v>
      </c>
      <c r="F3685" t="s">
        <v>28</v>
      </c>
      <c r="G3685">
        <v>1181.3900000000001</v>
      </c>
      <c r="H3685">
        <v>31</v>
      </c>
      <c r="I3685" t="s">
        <v>22</v>
      </c>
      <c r="J3685">
        <v>4.8</v>
      </c>
      <c r="K3685" t="s">
        <v>29</v>
      </c>
      <c r="L3685" t="s">
        <v>18</v>
      </c>
      <c r="M3685" t="str">
        <f>VLOOKUP(D3689,Restaurant_Master!A:B,2,FALSE)</f>
        <v>https://dynamic-media-cdn.tripadvisor.com/media/photo-o/1c/e7/04/0d/front-of-the-local-easily.jpg</v>
      </c>
    </row>
    <row r="3686" spans="1:13" x14ac:dyDescent="0.3">
      <c r="A3686" t="s">
        <v>3716</v>
      </c>
      <c r="B3686" s="1">
        <v>45627</v>
      </c>
      <c r="C3686" t="s">
        <v>20</v>
      </c>
      <c r="D3686" t="s">
        <v>32</v>
      </c>
      <c r="E3686">
        <v>41</v>
      </c>
      <c r="F3686" t="s">
        <v>28</v>
      </c>
      <c r="G3686">
        <v>735.6</v>
      </c>
      <c r="H3686">
        <v>57</v>
      </c>
      <c r="I3686" t="s">
        <v>16</v>
      </c>
      <c r="J3686">
        <v>3.5</v>
      </c>
      <c r="K3686" t="s">
        <v>17</v>
      </c>
      <c r="L3686" t="s">
        <v>23</v>
      </c>
      <c r="M3686" t="str">
        <f>VLOOKUP(D3690,Restaurant_Master!A:B,2,FALSE)</f>
        <v>https://dynamic-media-cdn.tripadvisor.com/media/photo-o/1c/e7/04/0d/front-of-the-local-easily.jpg</v>
      </c>
    </row>
    <row r="3687" spans="1:13" x14ac:dyDescent="0.3">
      <c r="A3687" t="s">
        <v>3717</v>
      </c>
      <c r="B3687" s="1">
        <v>45498</v>
      </c>
      <c r="C3687" t="s">
        <v>13</v>
      </c>
      <c r="D3687" t="s">
        <v>21</v>
      </c>
      <c r="E3687">
        <v>40</v>
      </c>
      <c r="F3687" t="s">
        <v>28</v>
      </c>
      <c r="G3687">
        <v>1153.72</v>
      </c>
      <c r="H3687">
        <v>20</v>
      </c>
      <c r="I3687" t="s">
        <v>22</v>
      </c>
      <c r="J3687">
        <v>3.3</v>
      </c>
      <c r="K3687" t="s">
        <v>29</v>
      </c>
      <c r="L3687" t="s">
        <v>18</v>
      </c>
      <c r="M3687" t="str">
        <f>VLOOKUP(D3691,Restaurant_Master!A:B,2,FALSE)</f>
        <v>https://dineout-media-assets.swiggy.com/swiggy/image/upload/fl_lossy,f_auto,q_auto/v1660793737/fdqxvxcxg1wtdwvyv45v.jpg</v>
      </c>
    </row>
    <row r="3688" spans="1:13" x14ac:dyDescent="0.3">
      <c r="A3688" t="s">
        <v>3718</v>
      </c>
      <c r="B3688" s="1">
        <v>45391</v>
      </c>
      <c r="C3688" t="s">
        <v>34</v>
      </c>
      <c r="D3688" t="s">
        <v>25</v>
      </c>
      <c r="E3688">
        <v>58</v>
      </c>
      <c r="F3688" t="s">
        <v>15</v>
      </c>
      <c r="G3688">
        <v>610.12</v>
      </c>
      <c r="H3688">
        <v>25</v>
      </c>
      <c r="I3688" t="s">
        <v>22</v>
      </c>
      <c r="J3688">
        <v>4.3</v>
      </c>
      <c r="K3688" t="s">
        <v>17</v>
      </c>
      <c r="L3688" t="s">
        <v>23</v>
      </c>
      <c r="M3688" t="str">
        <f>VLOOKUP(D3692,Restaurant_Master!A:B,2,FALSE)</f>
        <v>https://dynamic-media-cdn.tripadvisor.com/media/photo-o/1c/e7/04/0d/front-of-the-local-easily.jpg</v>
      </c>
    </row>
    <row r="3689" spans="1:13" x14ac:dyDescent="0.3">
      <c r="A3689" t="s">
        <v>3719</v>
      </c>
      <c r="B3689" s="1">
        <v>45630</v>
      </c>
      <c r="C3689" t="s">
        <v>43</v>
      </c>
      <c r="D3689" t="s">
        <v>21</v>
      </c>
      <c r="E3689">
        <v>60</v>
      </c>
      <c r="F3689" t="s">
        <v>28</v>
      </c>
      <c r="G3689">
        <v>715.36</v>
      </c>
      <c r="H3689">
        <v>51</v>
      </c>
      <c r="I3689" t="s">
        <v>16</v>
      </c>
      <c r="J3689">
        <v>3.9</v>
      </c>
      <c r="K3689" t="s">
        <v>26</v>
      </c>
      <c r="L3689" t="s">
        <v>23</v>
      </c>
      <c r="M3689" t="str">
        <f>VLOOKUP(D3693,Restaurant_Master!A:B,2,FALSE)</f>
        <v>https://dineout-media-assets.swiggy.com/swiggy/image/upload/fl_lossy,f_auto,q_auto/v1660793737/fdqxvxcxg1wtdwvyv45v.jpg</v>
      </c>
    </row>
    <row r="3690" spans="1:13" x14ac:dyDescent="0.3">
      <c r="A3690" t="s">
        <v>3720</v>
      </c>
      <c r="B3690" s="1">
        <v>45622</v>
      </c>
      <c r="C3690" t="s">
        <v>13</v>
      </c>
      <c r="D3690" t="s">
        <v>21</v>
      </c>
      <c r="E3690">
        <v>47</v>
      </c>
      <c r="F3690" t="s">
        <v>28</v>
      </c>
      <c r="G3690">
        <v>620.45000000000005</v>
      </c>
      <c r="H3690">
        <v>39</v>
      </c>
      <c r="I3690" t="s">
        <v>22</v>
      </c>
      <c r="J3690">
        <v>3.2</v>
      </c>
      <c r="K3690" t="s">
        <v>29</v>
      </c>
      <c r="L3690" t="s">
        <v>23</v>
      </c>
      <c r="M3690" t="str">
        <f>VLOOKUP(D3694,Restaurant_Master!A:B,2,FALSE)</f>
        <v>https://dynamic-media-cdn.tripadvisor.com/media/photo-o/1c/e7/04/0d/front-of-the-local-easily.jpg</v>
      </c>
    </row>
    <row r="3691" spans="1:13" x14ac:dyDescent="0.3">
      <c r="A3691" t="s">
        <v>3721</v>
      </c>
      <c r="B3691" s="1">
        <v>45540</v>
      </c>
      <c r="C3691" t="s">
        <v>43</v>
      </c>
      <c r="D3691" t="s">
        <v>14</v>
      </c>
      <c r="E3691">
        <v>26</v>
      </c>
      <c r="F3691" t="s">
        <v>28</v>
      </c>
      <c r="G3691">
        <v>274.27999999999997</v>
      </c>
      <c r="H3691">
        <v>34</v>
      </c>
      <c r="I3691" t="s">
        <v>22</v>
      </c>
      <c r="J3691">
        <v>5</v>
      </c>
      <c r="K3691" t="s">
        <v>41</v>
      </c>
      <c r="L3691" t="s">
        <v>18</v>
      </c>
      <c r="M3691" t="str">
        <f>VLOOKUP(D3695,Restaurant_Master!A:B,2,FALSE)</f>
        <v>https://dynamic-media-cdn.tripadvisor.com/media/photo-o/1c/e7/04/0d/front-of-the-local-easily.jpg</v>
      </c>
    </row>
    <row r="3692" spans="1:13" x14ac:dyDescent="0.3">
      <c r="A3692" t="s">
        <v>3722</v>
      </c>
      <c r="B3692" s="1">
        <v>45452</v>
      </c>
      <c r="C3692" t="s">
        <v>34</v>
      </c>
      <c r="D3692" t="s">
        <v>21</v>
      </c>
      <c r="E3692">
        <v>44</v>
      </c>
      <c r="F3692" t="s">
        <v>15</v>
      </c>
      <c r="G3692">
        <v>654.96</v>
      </c>
      <c r="H3692">
        <v>37</v>
      </c>
      <c r="I3692" t="s">
        <v>22</v>
      </c>
      <c r="J3692">
        <v>4.5</v>
      </c>
      <c r="K3692" t="s">
        <v>26</v>
      </c>
      <c r="L3692" t="s">
        <v>23</v>
      </c>
      <c r="M3692" t="str">
        <f>VLOOKUP(D3696,Restaurant_Master!A:B,2,FALSE)</f>
        <v>https://dineout-media-assets.swiggy.com/swiggy/image/upload/fl_lossy,f_auto,q_auto/v1660793737/fdqxvxcxg1wtdwvyv45v.jpg</v>
      </c>
    </row>
    <row r="3693" spans="1:13" x14ac:dyDescent="0.3">
      <c r="A3693" t="s">
        <v>3723</v>
      </c>
      <c r="B3693" s="1">
        <v>45653</v>
      </c>
      <c r="C3693" t="s">
        <v>43</v>
      </c>
      <c r="D3693" t="s">
        <v>14</v>
      </c>
      <c r="E3693">
        <v>46</v>
      </c>
      <c r="F3693" t="s">
        <v>28</v>
      </c>
      <c r="G3693">
        <v>175.79</v>
      </c>
      <c r="H3693">
        <v>55</v>
      </c>
      <c r="I3693" t="s">
        <v>16</v>
      </c>
      <c r="J3693">
        <v>3.1</v>
      </c>
      <c r="K3693" t="s">
        <v>17</v>
      </c>
      <c r="L3693" t="s">
        <v>23</v>
      </c>
      <c r="M3693" t="str">
        <f>VLOOKUP(D3697,Restaurant_Master!A:B,2,FALSE)</f>
        <v>https://www.chatswoodinterchange.com/storages/2018/08/Sushi-World_666x448.jpg</v>
      </c>
    </row>
    <row r="3694" spans="1:13" x14ac:dyDescent="0.3">
      <c r="A3694" t="s">
        <v>3724</v>
      </c>
      <c r="B3694" s="1">
        <v>45379</v>
      </c>
      <c r="C3694" t="s">
        <v>36</v>
      </c>
      <c r="D3694" t="s">
        <v>21</v>
      </c>
      <c r="E3694">
        <v>33</v>
      </c>
      <c r="F3694" t="s">
        <v>15</v>
      </c>
      <c r="G3694">
        <v>920.68</v>
      </c>
      <c r="H3694">
        <v>33</v>
      </c>
      <c r="I3694" t="s">
        <v>22</v>
      </c>
      <c r="J3694">
        <v>4.5</v>
      </c>
      <c r="K3694" t="s">
        <v>17</v>
      </c>
      <c r="L3694" t="s">
        <v>23</v>
      </c>
      <c r="M3694" t="str">
        <f>VLOOKUP(D3698,Restaurant_Master!A:B,2,FALSE)</f>
        <v>https://www.chatswoodinterchange.com/storages/2018/08/Sushi-World_666x448.jpg</v>
      </c>
    </row>
    <row r="3695" spans="1:13" x14ac:dyDescent="0.3">
      <c r="A3695" t="s">
        <v>3725</v>
      </c>
      <c r="B3695" s="1">
        <v>45350</v>
      </c>
      <c r="C3695" t="s">
        <v>13</v>
      </c>
      <c r="D3695" t="s">
        <v>21</v>
      </c>
      <c r="E3695">
        <v>44</v>
      </c>
      <c r="F3695" t="s">
        <v>15</v>
      </c>
      <c r="G3695">
        <v>1075.6099999999999</v>
      </c>
      <c r="H3695">
        <v>20</v>
      </c>
      <c r="I3695" t="s">
        <v>22</v>
      </c>
      <c r="J3695">
        <v>4.2</v>
      </c>
      <c r="K3695" t="s">
        <v>17</v>
      </c>
      <c r="L3695" t="s">
        <v>23</v>
      </c>
      <c r="M3695" t="str">
        <f>VLOOKUP(D3699,Restaurant_Master!A:B,2,FALSE)</f>
        <v>https://dineout-media-assets.swiggy.com/swiggy/image/upload/fl_lossy,f_auto,q_auto/v1660793737/fdqxvxcxg1wtdwvyv45v.jpg</v>
      </c>
    </row>
    <row r="3696" spans="1:13" x14ac:dyDescent="0.3">
      <c r="A3696" t="s">
        <v>3726</v>
      </c>
      <c r="B3696" s="1">
        <v>45553</v>
      </c>
      <c r="C3696" t="s">
        <v>43</v>
      </c>
      <c r="D3696" t="s">
        <v>14</v>
      </c>
      <c r="E3696">
        <v>55</v>
      </c>
      <c r="F3696" t="s">
        <v>15</v>
      </c>
      <c r="G3696">
        <v>506.82</v>
      </c>
      <c r="H3696">
        <v>29</v>
      </c>
      <c r="I3696" t="s">
        <v>22</v>
      </c>
      <c r="J3696">
        <v>4.3</v>
      </c>
      <c r="K3696" t="s">
        <v>41</v>
      </c>
      <c r="L3696" t="s">
        <v>23</v>
      </c>
      <c r="M3696" t="str">
        <f>VLOOKUP(D3700,Restaurant_Master!A:B,2,FALSE)</f>
        <v>https://media-cdn.tripadvisor.com/media/photo-s/1c/c7/97/b6/photo6jpg.jpg</v>
      </c>
    </row>
    <row r="3697" spans="1:13" x14ac:dyDescent="0.3">
      <c r="A3697" t="s">
        <v>3727</v>
      </c>
      <c r="B3697" s="1">
        <v>45416</v>
      </c>
      <c r="C3697" t="s">
        <v>20</v>
      </c>
      <c r="D3697" t="s">
        <v>38</v>
      </c>
      <c r="E3697">
        <v>55</v>
      </c>
      <c r="F3697" t="s">
        <v>28</v>
      </c>
      <c r="G3697">
        <v>880.11</v>
      </c>
      <c r="H3697">
        <v>52</v>
      </c>
      <c r="I3697" t="s">
        <v>16</v>
      </c>
      <c r="J3697">
        <v>3.1</v>
      </c>
      <c r="K3697" t="s">
        <v>29</v>
      </c>
      <c r="L3697" t="s">
        <v>23</v>
      </c>
      <c r="M3697" t="str">
        <f>VLOOKUP(D3701,Restaurant_Master!A:B,2,FALSE)</f>
        <v>https://dineout-media-assets.swiggy.com/swiggy/image/upload/fl_lossy,f_auto,q_auto/v1660793737/fdqxvxcxg1wtdwvyv45v.jpg</v>
      </c>
    </row>
    <row r="3698" spans="1:13" x14ac:dyDescent="0.3">
      <c r="A3698" t="s">
        <v>3728</v>
      </c>
      <c r="B3698" s="1">
        <v>45508</v>
      </c>
      <c r="C3698" t="s">
        <v>36</v>
      </c>
      <c r="D3698" t="s">
        <v>38</v>
      </c>
      <c r="E3698">
        <v>37</v>
      </c>
      <c r="F3698" t="s">
        <v>28</v>
      </c>
      <c r="G3698">
        <v>490.11</v>
      </c>
      <c r="H3698">
        <v>26</v>
      </c>
      <c r="I3698" t="s">
        <v>22</v>
      </c>
      <c r="J3698">
        <v>3.2</v>
      </c>
      <c r="K3698" t="s">
        <v>17</v>
      </c>
      <c r="L3698" t="s">
        <v>23</v>
      </c>
      <c r="M3698" t="str">
        <f>VLOOKUP(D3702,Restaurant_Master!A:B,2,FALSE)</f>
        <v>https://www.chatswoodinterchange.com/storages/2018/08/Sushi-World_666x448.jpg</v>
      </c>
    </row>
    <row r="3699" spans="1:13" x14ac:dyDescent="0.3">
      <c r="A3699" t="s">
        <v>3729</v>
      </c>
      <c r="B3699" s="1">
        <v>45504</v>
      </c>
      <c r="C3699" t="s">
        <v>34</v>
      </c>
      <c r="D3699" t="s">
        <v>14</v>
      </c>
      <c r="E3699">
        <v>53</v>
      </c>
      <c r="F3699" t="s">
        <v>28</v>
      </c>
      <c r="G3699">
        <v>857.51</v>
      </c>
      <c r="H3699">
        <v>37</v>
      </c>
      <c r="I3699" t="s">
        <v>22</v>
      </c>
      <c r="J3699">
        <v>2.9</v>
      </c>
      <c r="K3699" t="s">
        <v>26</v>
      </c>
      <c r="L3699" t="s">
        <v>23</v>
      </c>
      <c r="M3699" t="str">
        <f>VLOOKUP(D3703,Restaurant_Master!A:B,2,FALSE)</f>
        <v>https://dynamic-media-cdn.tripadvisor.com/media/photo-o/1c/e7/04/0d/front-of-the-local-easily.jpg</v>
      </c>
    </row>
    <row r="3700" spans="1:13" x14ac:dyDescent="0.3">
      <c r="A3700" t="s">
        <v>3730</v>
      </c>
      <c r="B3700" s="1">
        <v>45428</v>
      </c>
      <c r="C3700" t="s">
        <v>36</v>
      </c>
      <c r="D3700" t="s">
        <v>25</v>
      </c>
      <c r="E3700">
        <v>58</v>
      </c>
      <c r="F3700" t="s">
        <v>28</v>
      </c>
      <c r="G3700">
        <v>1124.8800000000001</v>
      </c>
      <c r="H3700">
        <v>43</v>
      </c>
      <c r="I3700" t="s">
        <v>16</v>
      </c>
      <c r="J3700">
        <v>3.7</v>
      </c>
      <c r="K3700" t="s">
        <v>41</v>
      </c>
      <c r="L3700" t="s">
        <v>18</v>
      </c>
      <c r="M3700" t="str">
        <f>VLOOKUP(D3704,Restaurant_Master!A:B,2,FALSE)</f>
        <v>https://dineout-media-assets.swiggy.com/swiggy/image/upload/fl_lossy,f_auto,q_auto/v1660793737/fdqxvxcxg1wtdwvyv45v.jpg</v>
      </c>
    </row>
    <row r="3701" spans="1:13" x14ac:dyDescent="0.3">
      <c r="A3701" t="s">
        <v>3731</v>
      </c>
      <c r="B3701" s="1">
        <v>45310</v>
      </c>
      <c r="C3701" t="s">
        <v>36</v>
      </c>
      <c r="D3701" t="s">
        <v>14</v>
      </c>
      <c r="E3701">
        <v>45</v>
      </c>
      <c r="F3701" t="s">
        <v>15</v>
      </c>
      <c r="G3701">
        <v>682.54</v>
      </c>
      <c r="H3701">
        <v>47</v>
      </c>
      <c r="I3701" t="s">
        <v>16</v>
      </c>
      <c r="J3701">
        <v>4.3</v>
      </c>
      <c r="K3701" t="s">
        <v>29</v>
      </c>
      <c r="L3701" t="s">
        <v>23</v>
      </c>
      <c r="M3701" t="str">
        <f>VLOOKUP(D3705,Restaurant_Master!A:B,2,FALSE)</f>
        <v>https://www.chatswoodinterchange.com/storages/2018/08/Sushi-World_666x448.jpg</v>
      </c>
    </row>
    <row r="3702" spans="1:13" x14ac:dyDescent="0.3">
      <c r="A3702" t="s">
        <v>3732</v>
      </c>
      <c r="B3702" s="1">
        <v>45634</v>
      </c>
      <c r="C3702" t="s">
        <v>13</v>
      </c>
      <c r="D3702" t="s">
        <v>38</v>
      </c>
      <c r="E3702">
        <v>20</v>
      </c>
      <c r="F3702" t="s">
        <v>28</v>
      </c>
      <c r="G3702">
        <v>481.59</v>
      </c>
      <c r="H3702">
        <v>39</v>
      </c>
      <c r="I3702" t="s">
        <v>22</v>
      </c>
      <c r="J3702">
        <v>3.1</v>
      </c>
      <c r="K3702" t="s">
        <v>26</v>
      </c>
      <c r="L3702" t="s">
        <v>23</v>
      </c>
      <c r="M3702" t="str">
        <f>VLOOKUP(D3706,Restaurant_Master!A:B,2,FALSE)</f>
        <v>https://dineout-media-assets.swiggy.com/swiggy/image/upload/fl_lossy,f_auto,q_auto/v1660793737/fdqxvxcxg1wtdwvyv45v.jpg</v>
      </c>
    </row>
    <row r="3703" spans="1:13" x14ac:dyDescent="0.3">
      <c r="A3703" t="s">
        <v>3733</v>
      </c>
      <c r="B3703" s="1">
        <v>45567</v>
      </c>
      <c r="C3703" t="s">
        <v>36</v>
      </c>
      <c r="D3703" t="s">
        <v>21</v>
      </c>
      <c r="E3703">
        <v>19</v>
      </c>
      <c r="F3703" t="s">
        <v>15</v>
      </c>
      <c r="G3703">
        <v>330.92</v>
      </c>
      <c r="H3703">
        <v>35</v>
      </c>
      <c r="I3703" t="s">
        <v>22</v>
      </c>
      <c r="J3703">
        <v>2.6</v>
      </c>
      <c r="K3703" t="s">
        <v>29</v>
      </c>
      <c r="L3703" t="s">
        <v>18</v>
      </c>
      <c r="M3703" t="str">
        <f>VLOOKUP(D3707,Restaurant_Master!A:B,2,FALSE)</f>
        <v>https://www.chatswoodinterchange.com/storages/2018/08/Sushi-World_666x448.jpg</v>
      </c>
    </row>
    <row r="3704" spans="1:13" x14ac:dyDescent="0.3">
      <c r="A3704" t="s">
        <v>3734</v>
      </c>
      <c r="B3704" s="1">
        <v>45427</v>
      </c>
      <c r="C3704" t="s">
        <v>43</v>
      </c>
      <c r="D3704" t="s">
        <v>14</v>
      </c>
      <c r="E3704">
        <v>26</v>
      </c>
      <c r="F3704" t="s">
        <v>15</v>
      </c>
      <c r="G3704">
        <v>1005.22</v>
      </c>
      <c r="H3704">
        <v>55</v>
      </c>
      <c r="I3704" t="s">
        <v>16</v>
      </c>
      <c r="J3704">
        <v>4.3</v>
      </c>
      <c r="K3704" t="s">
        <v>41</v>
      </c>
      <c r="L3704" t="s">
        <v>18</v>
      </c>
      <c r="M3704" t="str">
        <f>VLOOKUP(D3708,Restaurant_Master!A:B,2,FALSE)</f>
        <v>https://dynamic-media-cdn.tripadvisor.com/media/photo-o/1c/e7/04/0d/front-of-the-local-easily.jpg</v>
      </c>
    </row>
    <row r="3705" spans="1:13" x14ac:dyDescent="0.3">
      <c r="A3705" t="s">
        <v>3735</v>
      </c>
      <c r="B3705" s="1">
        <v>45516</v>
      </c>
      <c r="C3705" t="s">
        <v>13</v>
      </c>
      <c r="D3705" t="s">
        <v>38</v>
      </c>
      <c r="E3705">
        <v>27</v>
      </c>
      <c r="F3705" t="s">
        <v>28</v>
      </c>
      <c r="G3705">
        <v>640.35</v>
      </c>
      <c r="H3705">
        <v>56</v>
      </c>
      <c r="I3705" t="s">
        <v>16</v>
      </c>
      <c r="J3705">
        <v>4.8</v>
      </c>
      <c r="K3705" t="s">
        <v>41</v>
      </c>
      <c r="L3705" t="s">
        <v>23</v>
      </c>
      <c r="M3705" t="str">
        <f>VLOOKUP(D3709,Restaurant_Master!A:B,2,FALSE)</f>
        <v>https://dynamic-media-cdn.tripadvisor.com/media/photo-o/1c/e7/04/0d/front-of-the-local-easily.jpg</v>
      </c>
    </row>
    <row r="3706" spans="1:13" x14ac:dyDescent="0.3">
      <c r="A3706" t="s">
        <v>3736</v>
      </c>
      <c r="B3706" s="1">
        <v>45581</v>
      </c>
      <c r="C3706" t="s">
        <v>36</v>
      </c>
      <c r="D3706" t="s">
        <v>14</v>
      </c>
      <c r="E3706">
        <v>28</v>
      </c>
      <c r="F3706" t="s">
        <v>28</v>
      </c>
      <c r="G3706">
        <v>367.05</v>
      </c>
      <c r="H3706">
        <v>49</v>
      </c>
      <c r="I3706" t="s">
        <v>16</v>
      </c>
      <c r="J3706">
        <v>2.9</v>
      </c>
      <c r="K3706" t="s">
        <v>17</v>
      </c>
      <c r="L3706" t="s">
        <v>18</v>
      </c>
      <c r="M3706" t="str">
        <f>VLOOKUP(D3710,Restaurant_Master!A:B,2,FALSE)</f>
        <v>https://dynamic-media-cdn.tripadvisor.com/media/photo-o/1c/e7/04/0d/front-of-the-local-easily.jpg</v>
      </c>
    </row>
    <row r="3707" spans="1:13" x14ac:dyDescent="0.3">
      <c r="A3707" t="s">
        <v>3737</v>
      </c>
      <c r="B3707" s="1">
        <v>45409</v>
      </c>
      <c r="C3707" t="s">
        <v>20</v>
      </c>
      <c r="D3707" t="s">
        <v>38</v>
      </c>
      <c r="E3707">
        <v>34</v>
      </c>
      <c r="F3707" t="s">
        <v>15</v>
      </c>
      <c r="G3707">
        <v>310.33999999999997</v>
      </c>
      <c r="H3707">
        <v>42</v>
      </c>
      <c r="I3707" t="s">
        <v>16</v>
      </c>
      <c r="J3707">
        <v>4.5999999999999996</v>
      </c>
      <c r="K3707" t="s">
        <v>29</v>
      </c>
      <c r="L3707" t="s">
        <v>23</v>
      </c>
      <c r="M3707" t="str">
        <f>VLOOKUP(D3711,Restaurant_Master!A:B,2,FALSE)</f>
        <v>https://media-cdn.tripadvisor.com/media/photo-s/1c/c7/97/b6/photo6jpg.jpg</v>
      </c>
    </row>
    <row r="3708" spans="1:13" x14ac:dyDescent="0.3">
      <c r="A3708" t="s">
        <v>3738</v>
      </c>
      <c r="B3708" s="1">
        <v>45592</v>
      </c>
      <c r="C3708" t="s">
        <v>43</v>
      </c>
      <c r="D3708" t="s">
        <v>21</v>
      </c>
      <c r="E3708">
        <v>41</v>
      </c>
      <c r="F3708" t="s">
        <v>15</v>
      </c>
      <c r="G3708">
        <v>596.72</v>
      </c>
      <c r="H3708">
        <v>33</v>
      </c>
      <c r="I3708" t="s">
        <v>22</v>
      </c>
      <c r="J3708">
        <v>4.5999999999999996</v>
      </c>
      <c r="K3708" t="s">
        <v>17</v>
      </c>
      <c r="L3708" t="s">
        <v>23</v>
      </c>
      <c r="M3708" t="str">
        <f>VLOOKUP(D3712,Restaurant_Master!A:B,2,FALSE)</f>
        <v>https://media-cdn.tripadvisor.com/media/photo-s/1c/c7/97/b6/photo6jpg.jpg</v>
      </c>
    </row>
    <row r="3709" spans="1:13" x14ac:dyDescent="0.3">
      <c r="A3709" t="s">
        <v>3739</v>
      </c>
      <c r="B3709" s="1">
        <v>45462</v>
      </c>
      <c r="C3709" t="s">
        <v>43</v>
      </c>
      <c r="D3709" t="s">
        <v>21</v>
      </c>
      <c r="E3709">
        <v>54</v>
      </c>
      <c r="F3709" t="s">
        <v>15</v>
      </c>
      <c r="G3709">
        <v>461.51</v>
      </c>
      <c r="H3709">
        <v>56</v>
      </c>
      <c r="I3709" t="s">
        <v>16</v>
      </c>
      <c r="J3709">
        <v>3.5</v>
      </c>
      <c r="K3709" t="s">
        <v>17</v>
      </c>
      <c r="L3709" t="s">
        <v>18</v>
      </c>
      <c r="M3709" t="str">
        <f>VLOOKUP(D3713,Restaurant_Master!A:B,2,FALSE)</f>
        <v>https://media-cdn.tripadvisor.com/media/photo-s/1c/c7/97/b6/photo6jpg.jpg</v>
      </c>
    </row>
    <row r="3710" spans="1:13" x14ac:dyDescent="0.3">
      <c r="A3710" t="s">
        <v>3740</v>
      </c>
      <c r="B3710" s="1">
        <v>45493</v>
      </c>
      <c r="C3710" t="s">
        <v>34</v>
      </c>
      <c r="D3710" t="s">
        <v>21</v>
      </c>
      <c r="E3710">
        <v>56</v>
      </c>
      <c r="F3710" t="s">
        <v>15</v>
      </c>
      <c r="G3710">
        <v>185.23</v>
      </c>
      <c r="H3710">
        <v>23</v>
      </c>
      <c r="I3710" t="s">
        <v>22</v>
      </c>
      <c r="J3710">
        <v>2.8</v>
      </c>
      <c r="K3710" t="s">
        <v>26</v>
      </c>
      <c r="L3710" t="s">
        <v>18</v>
      </c>
      <c r="M3710" t="str">
        <f>VLOOKUP(D3714,Restaurant_Master!A:B,2,FALSE)</f>
        <v>https://dineout-media-assets.swiggy.com/swiggy/image/upload/fl_lossy,f_auto,q_auto/v1660793737/fdqxvxcxg1wtdwvyv45v.jpg</v>
      </c>
    </row>
    <row r="3711" spans="1:13" x14ac:dyDescent="0.3">
      <c r="A3711" t="s">
        <v>3741</v>
      </c>
      <c r="B3711" s="1">
        <v>45468</v>
      </c>
      <c r="C3711" t="s">
        <v>43</v>
      </c>
      <c r="D3711" t="s">
        <v>25</v>
      </c>
      <c r="E3711">
        <v>44</v>
      </c>
      <c r="F3711" t="s">
        <v>28</v>
      </c>
      <c r="G3711">
        <v>1010.99</v>
      </c>
      <c r="H3711">
        <v>21</v>
      </c>
      <c r="I3711" t="s">
        <v>22</v>
      </c>
      <c r="J3711">
        <v>4.3</v>
      </c>
      <c r="K3711" t="s">
        <v>26</v>
      </c>
      <c r="L3711" t="s">
        <v>18</v>
      </c>
      <c r="M3711" t="str">
        <f>VLOOKUP(D3715,Restaurant_Master!A:B,2,FALSE)</f>
        <v>https://www.chatswoodinterchange.com/storages/2018/08/Sushi-World_666x448.jpg</v>
      </c>
    </row>
    <row r="3712" spans="1:13" x14ac:dyDescent="0.3">
      <c r="A3712" t="s">
        <v>3742</v>
      </c>
      <c r="B3712" s="1">
        <v>45550</v>
      </c>
      <c r="C3712" t="s">
        <v>34</v>
      </c>
      <c r="D3712" t="s">
        <v>25</v>
      </c>
      <c r="E3712">
        <v>53</v>
      </c>
      <c r="F3712" t="s">
        <v>28</v>
      </c>
      <c r="G3712">
        <v>256.67</v>
      </c>
      <c r="H3712">
        <v>49</v>
      </c>
      <c r="I3712" t="s">
        <v>16</v>
      </c>
      <c r="J3712">
        <v>3.5</v>
      </c>
      <c r="K3712" t="s">
        <v>41</v>
      </c>
      <c r="L3712" t="s">
        <v>23</v>
      </c>
      <c r="M3712" t="str">
        <f>VLOOKUP(D3716,Restaurant_Master!A:B,2,FALSE)</f>
        <v>https://content.jdmagicbox.com/comp/deoria/g6/9999p5568.5568.200119143033.m4g6/catalogue/biryani-house-deoria-ho-deoria-mktc2xph0o.jpg</v>
      </c>
    </row>
    <row r="3713" spans="1:13" x14ac:dyDescent="0.3">
      <c r="A3713" t="s">
        <v>3743</v>
      </c>
      <c r="B3713" s="1">
        <v>45553</v>
      </c>
      <c r="C3713" t="s">
        <v>36</v>
      </c>
      <c r="D3713" t="s">
        <v>25</v>
      </c>
      <c r="E3713">
        <v>34</v>
      </c>
      <c r="F3713" t="s">
        <v>15</v>
      </c>
      <c r="G3713">
        <v>719.69</v>
      </c>
      <c r="H3713">
        <v>38</v>
      </c>
      <c r="I3713" t="s">
        <v>22</v>
      </c>
      <c r="J3713">
        <v>4.4000000000000004</v>
      </c>
      <c r="K3713" t="s">
        <v>41</v>
      </c>
      <c r="L3713" t="s">
        <v>18</v>
      </c>
      <c r="M3713" t="str">
        <f>VLOOKUP(D3717,Restaurant_Master!A:B,2,FALSE)</f>
        <v>https://media-cdn.tripadvisor.com/media/photo-s/1c/c7/97/b6/photo6jpg.jpg</v>
      </c>
    </row>
    <row r="3714" spans="1:13" x14ac:dyDescent="0.3">
      <c r="A3714" t="s">
        <v>3744</v>
      </c>
      <c r="B3714" s="1">
        <v>45380</v>
      </c>
      <c r="C3714" t="s">
        <v>36</v>
      </c>
      <c r="D3714" t="s">
        <v>14</v>
      </c>
      <c r="E3714">
        <v>60</v>
      </c>
      <c r="F3714" t="s">
        <v>28</v>
      </c>
      <c r="G3714">
        <v>485.84</v>
      </c>
      <c r="H3714">
        <v>57</v>
      </c>
      <c r="I3714" t="s">
        <v>16</v>
      </c>
      <c r="J3714">
        <v>4.4000000000000004</v>
      </c>
      <c r="K3714" t="s">
        <v>41</v>
      </c>
      <c r="L3714" t="s">
        <v>18</v>
      </c>
      <c r="M3714" t="str">
        <f>VLOOKUP(D3718,Restaurant_Master!A:B,2,FALSE)</f>
        <v>https://www.chatswoodinterchange.com/storages/2018/08/Sushi-World_666x448.jpg</v>
      </c>
    </row>
    <row r="3715" spans="1:13" x14ac:dyDescent="0.3">
      <c r="A3715" t="s">
        <v>3745</v>
      </c>
      <c r="B3715" s="1">
        <v>45602</v>
      </c>
      <c r="C3715" t="s">
        <v>34</v>
      </c>
      <c r="D3715" t="s">
        <v>38</v>
      </c>
      <c r="E3715">
        <v>28</v>
      </c>
      <c r="F3715" t="s">
        <v>28</v>
      </c>
      <c r="G3715">
        <v>726.07</v>
      </c>
      <c r="H3715">
        <v>36</v>
      </c>
      <c r="I3715" t="s">
        <v>22</v>
      </c>
      <c r="J3715">
        <v>3.3</v>
      </c>
      <c r="K3715" t="s">
        <v>26</v>
      </c>
      <c r="L3715" t="s">
        <v>18</v>
      </c>
      <c r="M3715" t="str">
        <f>VLOOKUP(D3719,Restaurant_Master!A:B,2,FALSE)</f>
        <v>https://dynamic-media-cdn.tripadvisor.com/media/photo-o/1c/e7/04/0d/front-of-the-local-easily.jpg</v>
      </c>
    </row>
    <row r="3716" spans="1:13" x14ac:dyDescent="0.3">
      <c r="A3716" t="s">
        <v>3746</v>
      </c>
      <c r="B3716" s="1">
        <v>45321</v>
      </c>
      <c r="C3716" t="s">
        <v>13</v>
      </c>
      <c r="D3716" t="s">
        <v>32</v>
      </c>
      <c r="E3716">
        <v>41</v>
      </c>
      <c r="F3716" t="s">
        <v>28</v>
      </c>
      <c r="G3716">
        <v>1078.0999999999999</v>
      </c>
      <c r="H3716">
        <v>53</v>
      </c>
      <c r="I3716" t="s">
        <v>16</v>
      </c>
      <c r="J3716">
        <v>2.9</v>
      </c>
      <c r="K3716" t="s">
        <v>41</v>
      </c>
      <c r="L3716" t="s">
        <v>23</v>
      </c>
      <c r="M3716" t="str">
        <f>VLOOKUP(D3720,Restaurant_Master!A:B,2,FALSE)</f>
        <v>https://dineout-media-assets.swiggy.com/swiggy/image/upload/fl_lossy,f_auto,q_auto/v1660793737/fdqxvxcxg1wtdwvyv45v.jpg</v>
      </c>
    </row>
    <row r="3717" spans="1:13" x14ac:dyDescent="0.3">
      <c r="A3717" t="s">
        <v>3747</v>
      </c>
      <c r="B3717" s="1">
        <v>45640</v>
      </c>
      <c r="C3717" t="s">
        <v>43</v>
      </c>
      <c r="D3717" t="s">
        <v>25</v>
      </c>
      <c r="E3717">
        <v>27</v>
      </c>
      <c r="F3717" t="s">
        <v>15</v>
      </c>
      <c r="G3717">
        <v>866.23</v>
      </c>
      <c r="H3717">
        <v>33</v>
      </c>
      <c r="I3717" t="s">
        <v>22</v>
      </c>
      <c r="J3717">
        <v>4.7</v>
      </c>
      <c r="K3717" t="s">
        <v>26</v>
      </c>
      <c r="L3717" t="s">
        <v>23</v>
      </c>
      <c r="M3717" t="str">
        <f>VLOOKUP(D3721,Restaurant_Master!A:B,2,FALSE)</f>
        <v>https://dynamic-media-cdn.tripadvisor.com/media/photo-o/1c/e7/04/0d/front-of-the-local-easily.jpg</v>
      </c>
    </row>
    <row r="3718" spans="1:13" x14ac:dyDescent="0.3">
      <c r="A3718" t="s">
        <v>3748</v>
      </c>
      <c r="B3718" s="1">
        <v>45573</v>
      </c>
      <c r="C3718" t="s">
        <v>34</v>
      </c>
      <c r="D3718" t="s">
        <v>38</v>
      </c>
      <c r="E3718">
        <v>22</v>
      </c>
      <c r="F3718" t="s">
        <v>28</v>
      </c>
      <c r="G3718">
        <v>610.21</v>
      </c>
      <c r="H3718">
        <v>33</v>
      </c>
      <c r="I3718" t="s">
        <v>22</v>
      </c>
      <c r="J3718">
        <v>2.7</v>
      </c>
      <c r="K3718" t="s">
        <v>26</v>
      </c>
      <c r="L3718" t="s">
        <v>23</v>
      </c>
      <c r="M3718" t="str">
        <f>VLOOKUP(D3722,Restaurant_Master!A:B,2,FALSE)</f>
        <v>https://www.chatswoodinterchange.com/storages/2018/08/Sushi-World_666x448.jpg</v>
      </c>
    </row>
    <row r="3719" spans="1:13" x14ac:dyDescent="0.3">
      <c r="A3719" t="s">
        <v>3749</v>
      </c>
      <c r="B3719" s="1">
        <v>45486</v>
      </c>
      <c r="C3719" t="s">
        <v>13</v>
      </c>
      <c r="D3719" t="s">
        <v>21</v>
      </c>
      <c r="E3719">
        <v>25</v>
      </c>
      <c r="F3719" t="s">
        <v>15</v>
      </c>
      <c r="G3719">
        <v>302.14999999999998</v>
      </c>
      <c r="H3719">
        <v>36</v>
      </c>
      <c r="I3719" t="s">
        <v>22</v>
      </c>
      <c r="J3719">
        <v>2.8</v>
      </c>
      <c r="K3719" t="s">
        <v>17</v>
      </c>
      <c r="L3719" t="s">
        <v>23</v>
      </c>
      <c r="M3719" t="str">
        <f>VLOOKUP(D3723,Restaurant_Master!A:B,2,FALSE)</f>
        <v>https://www.chatswoodinterchange.com/storages/2018/08/Sushi-World_666x448.jpg</v>
      </c>
    </row>
    <row r="3720" spans="1:13" x14ac:dyDescent="0.3">
      <c r="A3720" t="s">
        <v>3750</v>
      </c>
      <c r="B3720" s="1">
        <v>45304</v>
      </c>
      <c r="C3720" t="s">
        <v>43</v>
      </c>
      <c r="D3720" t="s">
        <v>14</v>
      </c>
      <c r="E3720">
        <v>37</v>
      </c>
      <c r="F3720" t="s">
        <v>28</v>
      </c>
      <c r="G3720">
        <v>842.37</v>
      </c>
      <c r="H3720">
        <v>52</v>
      </c>
      <c r="I3720" t="s">
        <v>16</v>
      </c>
      <c r="J3720">
        <v>3.9</v>
      </c>
      <c r="K3720" t="s">
        <v>29</v>
      </c>
      <c r="L3720" t="s">
        <v>18</v>
      </c>
      <c r="M3720" t="str">
        <f>VLOOKUP(D3724,Restaurant_Master!A:B,2,FALSE)</f>
        <v>https://media-cdn.tripadvisor.com/media/photo-s/1c/c7/97/b6/photo6jpg.jpg</v>
      </c>
    </row>
    <row r="3721" spans="1:13" x14ac:dyDescent="0.3">
      <c r="A3721" t="s">
        <v>3751</v>
      </c>
      <c r="B3721" s="1">
        <v>45303</v>
      </c>
      <c r="C3721" t="s">
        <v>13</v>
      </c>
      <c r="D3721" t="s">
        <v>21</v>
      </c>
      <c r="E3721">
        <v>38</v>
      </c>
      <c r="F3721" t="s">
        <v>28</v>
      </c>
      <c r="G3721">
        <v>174.89</v>
      </c>
      <c r="H3721">
        <v>50</v>
      </c>
      <c r="I3721" t="s">
        <v>16</v>
      </c>
      <c r="J3721">
        <v>3.5</v>
      </c>
      <c r="K3721" t="s">
        <v>29</v>
      </c>
      <c r="L3721" t="s">
        <v>23</v>
      </c>
      <c r="M3721" t="str">
        <f>VLOOKUP(D3725,Restaurant_Master!A:B,2,FALSE)</f>
        <v>https://content.jdmagicbox.com/comp/deoria/g6/9999p5568.5568.200119143033.m4g6/catalogue/biryani-house-deoria-ho-deoria-mktc2xph0o.jpg</v>
      </c>
    </row>
    <row r="3722" spans="1:13" x14ac:dyDescent="0.3">
      <c r="A3722" t="s">
        <v>3752</v>
      </c>
      <c r="B3722" s="1">
        <v>45350</v>
      </c>
      <c r="C3722" t="s">
        <v>20</v>
      </c>
      <c r="D3722" t="s">
        <v>38</v>
      </c>
      <c r="E3722">
        <v>42</v>
      </c>
      <c r="F3722" t="s">
        <v>15</v>
      </c>
      <c r="G3722">
        <v>976.02</v>
      </c>
      <c r="H3722">
        <v>31</v>
      </c>
      <c r="I3722" t="s">
        <v>22</v>
      </c>
      <c r="J3722">
        <v>4.5</v>
      </c>
      <c r="K3722" t="s">
        <v>17</v>
      </c>
      <c r="L3722" t="s">
        <v>23</v>
      </c>
      <c r="M3722" t="str">
        <f>VLOOKUP(D3726,Restaurant_Master!A:B,2,FALSE)</f>
        <v>https://www.chatswoodinterchange.com/storages/2018/08/Sushi-World_666x448.jpg</v>
      </c>
    </row>
    <row r="3723" spans="1:13" x14ac:dyDescent="0.3">
      <c r="A3723" t="s">
        <v>3753</v>
      </c>
      <c r="B3723" s="1">
        <v>45605</v>
      </c>
      <c r="C3723" t="s">
        <v>20</v>
      </c>
      <c r="D3723" t="s">
        <v>38</v>
      </c>
      <c r="E3723">
        <v>57</v>
      </c>
      <c r="F3723" t="s">
        <v>15</v>
      </c>
      <c r="G3723">
        <v>481.79</v>
      </c>
      <c r="H3723">
        <v>36</v>
      </c>
      <c r="I3723" t="s">
        <v>22</v>
      </c>
      <c r="J3723">
        <v>4.5</v>
      </c>
      <c r="K3723" t="s">
        <v>26</v>
      </c>
      <c r="L3723" t="s">
        <v>23</v>
      </c>
      <c r="M3723" t="str">
        <f>VLOOKUP(D3727,Restaurant_Master!A:B,2,FALSE)</f>
        <v>https://dynamic-media-cdn.tripadvisor.com/media/photo-o/1c/e7/04/0d/front-of-the-local-easily.jpg</v>
      </c>
    </row>
    <row r="3724" spans="1:13" x14ac:dyDescent="0.3">
      <c r="A3724" t="s">
        <v>3754</v>
      </c>
      <c r="B3724" s="1">
        <v>45371</v>
      </c>
      <c r="C3724" t="s">
        <v>43</v>
      </c>
      <c r="D3724" t="s">
        <v>25</v>
      </c>
      <c r="E3724">
        <v>30</v>
      </c>
      <c r="F3724" t="s">
        <v>15</v>
      </c>
      <c r="G3724">
        <v>372.2</v>
      </c>
      <c r="H3724">
        <v>51</v>
      </c>
      <c r="I3724" t="s">
        <v>16</v>
      </c>
      <c r="J3724">
        <v>3.7</v>
      </c>
      <c r="K3724" t="s">
        <v>26</v>
      </c>
      <c r="L3724" t="s">
        <v>18</v>
      </c>
      <c r="M3724" t="str">
        <f>VLOOKUP(D3728,Restaurant_Master!A:B,2,FALSE)</f>
        <v>https://media-cdn.tripadvisor.com/media/photo-s/1c/c7/97/b6/photo6jpg.jpg</v>
      </c>
    </row>
    <row r="3725" spans="1:13" x14ac:dyDescent="0.3">
      <c r="A3725" t="s">
        <v>3755</v>
      </c>
      <c r="B3725" s="1">
        <v>45631</v>
      </c>
      <c r="C3725" t="s">
        <v>36</v>
      </c>
      <c r="D3725" t="s">
        <v>32</v>
      </c>
      <c r="E3725">
        <v>42</v>
      </c>
      <c r="F3725" t="s">
        <v>15</v>
      </c>
      <c r="G3725">
        <v>516.80999999999995</v>
      </c>
      <c r="H3725">
        <v>31</v>
      </c>
      <c r="I3725" t="s">
        <v>22</v>
      </c>
      <c r="J3725">
        <v>3.8</v>
      </c>
      <c r="K3725" t="s">
        <v>29</v>
      </c>
      <c r="L3725" t="s">
        <v>18</v>
      </c>
      <c r="M3725" t="str">
        <f>VLOOKUP(D3729,Restaurant_Master!A:B,2,FALSE)</f>
        <v>https://media-cdn.tripadvisor.com/media/photo-s/1c/c7/97/b6/photo6jpg.jpg</v>
      </c>
    </row>
    <row r="3726" spans="1:13" x14ac:dyDescent="0.3">
      <c r="A3726" t="s">
        <v>3756</v>
      </c>
      <c r="B3726" s="1">
        <v>45589</v>
      </c>
      <c r="C3726" t="s">
        <v>43</v>
      </c>
      <c r="D3726" t="s">
        <v>38</v>
      </c>
      <c r="E3726">
        <v>54</v>
      </c>
      <c r="F3726" t="s">
        <v>28</v>
      </c>
      <c r="G3726">
        <v>1137.4100000000001</v>
      </c>
      <c r="H3726">
        <v>51</v>
      </c>
      <c r="I3726" t="s">
        <v>16</v>
      </c>
      <c r="J3726">
        <v>4.5</v>
      </c>
      <c r="K3726" t="s">
        <v>17</v>
      </c>
      <c r="L3726" t="s">
        <v>18</v>
      </c>
      <c r="M3726" t="str">
        <f>VLOOKUP(D3730,Restaurant_Master!A:B,2,FALSE)</f>
        <v>https://www.chatswoodinterchange.com/storages/2018/08/Sushi-World_666x448.jpg</v>
      </c>
    </row>
    <row r="3727" spans="1:13" x14ac:dyDescent="0.3">
      <c r="A3727" t="s">
        <v>3757</v>
      </c>
      <c r="B3727" s="1">
        <v>45523</v>
      </c>
      <c r="C3727" t="s">
        <v>43</v>
      </c>
      <c r="D3727" t="s">
        <v>21</v>
      </c>
      <c r="E3727">
        <v>54</v>
      </c>
      <c r="F3727" t="s">
        <v>28</v>
      </c>
      <c r="G3727">
        <v>550.61</v>
      </c>
      <c r="H3727">
        <v>36</v>
      </c>
      <c r="I3727" t="s">
        <v>22</v>
      </c>
      <c r="J3727">
        <v>4.4000000000000004</v>
      </c>
      <c r="K3727" t="s">
        <v>29</v>
      </c>
      <c r="L3727" t="s">
        <v>18</v>
      </c>
      <c r="M3727" t="str">
        <f>VLOOKUP(D3731,Restaurant_Master!A:B,2,FALSE)</f>
        <v>https://www.chatswoodinterchange.com/storages/2018/08/Sushi-World_666x448.jpg</v>
      </c>
    </row>
    <row r="3728" spans="1:13" x14ac:dyDescent="0.3">
      <c r="A3728" t="s">
        <v>3758</v>
      </c>
      <c r="B3728" s="1">
        <v>45622</v>
      </c>
      <c r="C3728" t="s">
        <v>36</v>
      </c>
      <c r="D3728" t="s">
        <v>25</v>
      </c>
      <c r="E3728">
        <v>48</v>
      </c>
      <c r="F3728" t="s">
        <v>15</v>
      </c>
      <c r="G3728">
        <v>643.51</v>
      </c>
      <c r="H3728">
        <v>52</v>
      </c>
      <c r="I3728" t="s">
        <v>16</v>
      </c>
      <c r="J3728">
        <v>3.4</v>
      </c>
      <c r="K3728" t="s">
        <v>17</v>
      </c>
      <c r="L3728" t="s">
        <v>23</v>
      </c>
      <c r="M3728" t="str">
        <f>VLOOKUP(D3732,Restaurant_Master!A:B,2,FALSE)</f>
        <v>https://www.chatswoodinterchange.com/storages/2018/08/Sushi-World_666x448.jpg</v>
      </c>
    </row>
    <row r="3729" spans="1:13" x14ac:dyDescent="0.3">
      <c r="A3729" t="s">
        <v>3759</v>
      </c>
      <c r="B3729" s="1">
        <v>45326</v>
      </c>
      <c r="C3729" t="s">
        <v>34</v>
      </c>
      <c r="D3729" t="s">
        <v>25</v>
      </c>
      <c r="E3729">
        <v>58</v>
      </c>
      <c r="F3729" t="s">
        <v>28</v>
      </c>
      <c r="G3729">
        <v>732.89</v>
      </c>
      <c r="H3729">
        <v>30</v>
      </c>
      <c r="I3729" t="s">
        <v>22</v>
      </c>
      <c r="J3729">
        <v>3</v>
      </c>
      <c r="K3729" t="s">
        <v>29</v>
      </c>
      <c r="L3729" t="s">
        <v>18</v>
      </c>
      <c r="M3729" t="str">
        <f>VLOOKUP(D3733,Restaurant_Master!A:B,2,FALSE)</f>
        <v>https://dineout-media-assets.swiggy.com/swiggy/image/upload/fl_lossy,f_auto,q_auto/v1660793737/fdqxvxcxg1wtdwvyv45v.jpg</v>
      </c>
    </row>
    <row r="3730" spans="1:13" x14ac:dyDescent="0.3">
      <c r="A3730" t="s">
        <v>3760</v>
      </c>
      <c r="B3730" s="1">
        <v>45540</v>
      </c>
      <c r="C3730" t="s">
        <v>34</v>
      </c>
      <c r="D3730" t="s">
        <v>38</v>
      </c>
      <c r="E3730">
        <v>39</v>
      </c>
      <c r="F3730" t="s">
        <v>15</v>
      </c>
      <c r="G3730">
        <v>422.35</v>
      </c>
      <c r="H3730">
        <v>51</v>
      </c>
      <c r="I3730" t="s">
        <v>16</v>
      </c>
      <c r="J3730">
        <v>3.5</v>
      </c>
      <c r="K3730" t="s">
        <v>26</v>
      </c>
      <c r="L3730" t="s">
        <v>23</v>
      </c>
      <c r="M3730" t="str">
        <f>VLOOKUP(D3734,Restaurant_Master!A:B,2,FALSE)</f>
        <v>https://www.chatswoodinterchange.com/storages/2018/08/Sushi-World_666x448.jpg</v>
      </c>
    </row>
    <row r="3731" spans="1:13" x14ac:dyDescent="0.3">
      <c r="A3731" t="s">
        <v>3761</v>
      </c>
      <c r="B3731" s="1">
        <v>45516</v>
      </c>
      <c r="C3731" t="s">
        <v>20</v>
      </c>
      <c r="D3731" t="s">
        <v>38</v>
      </c>
      <c r="E3731">
        <v>40</v>
      </c>
      <c r="F3731" t="s">
        <v>15</v>
      </c>
      <c r="G3731">
        <v>578.17999999999995</v>
      </c>
      <c r="H3731">
        <v>33</v>
      </c>
      <c r="I3731" t="s">
        <v>22</v>
      </c>
      <c r="J3731">
        <v>2.5</v>
      </c>
      <c r="K3731" t="s">
        <v>29</v>
      </c>
      <c r="L3731" t="s">
        <v>23</v>
      </c>
      <c r="M3731" t="str">
        <f>VLOOKUP(D3735,Restaurant_Master!A:B,2,FALSE)</f>
        <v>https://media-cdn.tripadvisor.com/media/photo-s/1c/c7/97/b6/photo6jpg.jpg</v>
      </c>
    </row>
    <row r="3732" spans="1:13" x14ac:dyDescent="0.3">
      <c r="A3732" t="s">
        <v>3762</v>
      </c>
      <c r="B3732" s="1">
        <v>45395</v>
      </c>
      <c r="C3732" t="s">
        <v>20</v>
      </c>
      <c r="D3732" t="s">
        <v>38</v>
      </c>
      <c r="E3732">
        <v>26</v>
      </c>
      <c r="F3732" t="s">
        <v>15</v>
      </c>
      <c r="G3732">
        <v>510.33</v>
      </c>
      <c r="H3732">
        <v>53</v>
      </c>
      <c r="I3732" t="s">
        <v>16</v>
      </c>
      <c r="J3732">
        <v>3.9</v>
      </c>
      <c r="K3732" t="s">
        <v>41</v>
      </c>
      <c r="L3732" t="s">
        <v>18</v>
      </c>
      <c r="M3732" t="str">
        <f>VLOOKUP(D3736,Restaurant_Master!A:B,2,FALSE)</f>
        <v>https://content.jdmagicbox.com/comp/deoria/g6/9999p5568.5568.200119143033.m4g6/catalogue/biryani-house-deoria-ho-deoria-mktc2xph0o.jpg</v>
      </c>
    </row>
    <row r="3733" spans="1:13" x14ac:dyDescent="0.3">
      <c r="A3733" t="s">
        <v>3763</v>
      </c>
      <c r="B3733" s="1">
        <v>45331</v>
      </c>
      <c r="C3733" t="s">
        <v>20</v>
      </c>
      <c r="D3733" t="s">
        <v>14</v>
      </c>
      <c r="E3733">
        <v>24</v>
      </c>
      <c r="F3733" t="s">
        <v>28</v>
      </c>
      <c r="G3733">
        <v>466.99</v>
      </c>
      <c r="H3733">
        <v>26</v>
      </c>
      <c r="I3733" t="s">
        <v>22</v>
      </c>
      <c r="J3733">
        <v>3.8</v>
      </c>
      <c r="K3733" t="s">
        <v>17</v>
      </c>
      <c r="L3733" t="s">
        <v>18</v>
      </c>
      <c r="M3733" t="str">
        <f>VLOOKUP(D3737,Restaurant_Master!A:B,2,FALSE)</f>
        <v>https://media-cdn.tripadvisor.com/media/photo-s/1c/c7/97/b6/photo6jpg.jpg</v>
      </c>
    </row>
    <row r="3734" spans="1:13" x14ac:dyDescent="0.3">
      <c r="A3734" t="s">
        <v>3764</v>
      </c>
      <c r="B3734" s="1">
        <v>45616</v>
      </c>
      <c r="C3734" t="s">
        <v>13</v>
      </c>
      <c r="D3734" t="s">
        <v>38</v>
      </c>
      <c r="E3734">
        <v>48</v>
      </c>
      <c r="F3734" t="s">
        <v>15</v>
      </c>
      <c r="G3734">
        <v>776.59</v>
      </c>
      <c r="H3734">
        <v>43</v>
      </c>
      <c r="I3734" t="s">
        <v>16</v>
      </c>
      <c r="J3734">
        <v>4.4000000000000004</v>
      </c>
      <c r="K3734" t="s">
        <v>17</v>
      </c>
      <c r="L3734" t="s">
        <v>18</v>
      </c>
      <c r="M3734" t="str">
        <f>VLOOKUP(D3738,Restaurant_Master!A:B,2,FALSE)</f>
        <v>https://dynamic-media-cdn.tripadvisor.com/media/photo-o/1c/e7/04/0d/front-of-the-local-easily.jpg</v>
      </c>
    </row>
    <row r="3735" spans="1:13" x14ac:dyDescent="0.3">
      <c r="A3735" t="s">
        <v>3765</v>
      </c>
      <c r="B3735" s="1">
        <v>45420</v>
      </c>
      <c r="C3735" t="s">
        <v>34</v>
      </c>
      <c r="D3735" t="s">
        <v>25</v>
      </c>
      <c r="E3735">
        <v>32</v>
      </c>
      <c r="F3735" t="s">
        <v>15</v>
      </c>
      <c r="G3735">
        <v>369.42</v>
      </c>
      <c r="H3735">
        <v>22</v>
      </c>
      <c r="I3735" t="s">
        <v>22</v>
      </c>
      <c r="J3735">
        <v>4.5999999999999996</v>
      </c>
      <c r="K3735" t="s">
        <v>29</v>
      </c>
      <c r="L3735" t="s">
        <v>23</v>
      </c>
      <c r="M3735" t="str">
        <f>VLOOKUP(D3739,Restaurant_Master!A:B,2,FALSE)</f>
        <v>https://content.jdmagicbox.com/comp/deoria/g6/9999p5568.5568.200119143033.m4g6/catalogue/biryani-house-deoria-ho-deoria-mktc2xph0o.jpg</v>
      </c>
    </row>
    <row r="3736" spans="1:13" x14ac:dyDescent="0.3">
      <c r="A3736" t="s">
        <v>3766</v>
      </c>
      <c r="B3736" s="1">
        <v>45522</v>
      </c>
      <c r="C3736" t="s">
        <v>43</v>
      </c>
      <c r="D3736" t="s">
        <v>32</v>
      </c>
      <c r="E3736">
        <v>39</v>
      </c>
      <c r="F3736" t="s">
        <v>28</v>
      </c>
      <c r="G3736">
        <v>420.79</v>
      </c>
      <c r="H3736">
        <v>23</v>
      </c>
      <c r="I3736" t="s">
        <v>22</v>
      </c>
      <c r="J3736">
        <v>3.7</v>
      </c>
      <c r="K3736" t="s">
        <v>17</v>
      </c>
      <c r="L3736" t="s">
        <v>18</v>
      </c>
      <c r="M3736" t="str">
        <f>VLOOKUP(D3740,Restaurant_Master!A:B,2,FALSE)</f>
        <v>https://media-cdn.tripadvisor.com/media/photo-s/1c/c7/97/b6/photo6jpg.jpg</v>
      </c>
    </row>
    <row r="3737" spans="1:13" x14ac:dyDescent="0.3">
      <c r="A3737" t="s">
        <v>3767</v>
      </c>
      <c r="B3737" s="1">
        <v>45366</v>
      </c>
      <c r="C3737" t="s">
        <v>13</v>
      </c>
      <c r="D3737" t="s">
        <v>25</v>
      </c>
      <c r="E3737">
        <v>32</v>
      </c>
      <c r="F3737" t="s">
        <v>28</v>
      </c>
      <c r="G3737">
        <v>615.07000000000005</v>
      </c>
      <c r="H3737">
        <v>52</v>
      </c>
      <c r="I3737" t="s">
        <v>16</v>
      </c>
      <c r="J3737">
        <v>4.7</v>
      </c>
      <c r="K3737" t="s">
        <v>26</v>
      </c>
      <c r="L3737" t="s">
        <v>23</v>
      </c>
      <c r="M3737" t="str">
        <f>VLOOKUP(D3741,Restaurant_Master!A:B,2,FALSE)</f>
        <v>https://content.jdmagicbox.com/comp/deoria/g6/9999p5568.5568.200119143033.m4g6/catalogue/biryani-house-deoria-ho-deoria-mktc2xph0o.jpg</v>
      </c>
    </row>
    <row r="3738" spans="1:13" x14ac:dyDescent="0.3">
      <c r="A3738" t="s">
        <v>3768</v>
      </c>
      <c r="B3738" s="1">
        <v>45387</v>
      </c>
      <c r="C3738" t="s">
        <v>20</v>
      </c>
      <c r="D3738" t="s">
        <v>21</v>
      </c>
      <c r="E3738">
        <v>59</v>
      </c>
      <c r="F3738" t="s">
        <v>15</v>
      </c>
      <c r="G3738">
        <v>420.2</v>
      </c>
      <c r="H3738">
        <v>36</v>
      </c>
      <c r="I3738" t="s">
        <v>22</v>
      </c>
      <c r="J3738">
        <v>3.2</v>
      </c>
      <c r="K3738" t="s">
        <v>29</v>
      </c>
      <c r="L3738" t="s">
        <v>18</v>
      </c>
      <c r="M3738" t="str">
        <f>VLOOKUP(D3742,Restaurant_Master!A:B,2,FALSE)</f>
        <v>https://www.chatswoodinterchange.com/storages/2018/08/Sushi-World_666x448.jpg</v>
      </c>
    </row>
    <row r="3739" spans="1:13" x14ac:dyDescent="0.3">
      <c r="A3739" t="s">
        <v>3769</v>
      </c>
      <c r="B3739" s="1">
        <v>45478</v>
      </c>
      <c r="C3739" t="s">
        <v>20</v>
      </c>
      <c r="D3739" t="s">
        <v>32</v>
      </c>
      <c r="E3739">
        <v>29</v>
      </c>
      <c r="F3739" t="s">
        <v>28</v>
      </c>
      <c r="G3739">
        <v>899.03</v>
      </c>
      <c r="H3739">
        <v>37</v>
      </c>
      <c r="I3739" t="s">
        <v>22</v>
      </c>
      <c r="J3739">
        <v>2.9</v>
      </c>
      <c r="K3739" t="s">
        <v>29</v>
      </c>
      <c r="L3739" t="s">
        <v>23</v>
      </c>
      <c r="M3739" t="str">
        <f>VLOOKUP(D3743,Restaurant_Master!A:B,2,FALSE)</f>
        <v>https://www.chatswoodinterchange.com/storages/2018/08/Sushi-World_666x448.jpg</v>
      </c>
    </row>
    <row r="3740" spans="1:13" x14ac:dyDescent="0.3">
      <c r="A3740" t="s">
        <v>3770</v>
      </c>
      <c r="B3740" s="1">
        <v>45335</v>
      </c>
      <c r="C3740" t="s">
        <v>20</v>
      </c>
      <c r="D3740" t="s">
        <v>25</v>
      </c>
      <c r="E3740">
        <v>25</v>
      </c>
      <c r="F3740" t="s">
        <v>28</v>
      </c>
      <c r="G3740">
        <v>1162.06</v>
      </c>
      <c r="H3740">
        <v>60</v>
      </c>
      <c r="I3740" t="s">
        <v>16</v>
      </c>
      <c r="J3740">
        <v>3.1</v>
      </c>
      <c r="K3740" t="s">
        <v>29</v>
      </c>
      <c r="L3740" t="s">
        <v>18</v>
      </c>
      <c r="M3740" t="str">
        <f>VLOOKUP(D3744,Restaurant_Master!A:B,2,FALSE)</f>
        <v>https://content.jdmagicbox.com/comp/deoria/g6/9999p5568.5568.200119143033.m4g6/catalogue/biryani-house-deoria-ho-deoria-mktc2xph0o.jpg</v>
      </c>
    </row>
    <row r="3741" spans="1:13" x14ac:dyDescent="0.3">
      <c r="A3741" t="s">
        <v>3771</v>
      </c>
      <c r="B3741" s="1">
        <v>45377</v>
      </c>
      <c r="C3741" t="s">
        <v>20</v>
      </c>
      <c r="D3741" t="s">
        <v>32</v>
      </c>
      <c r="E3741">
        <v>42</v>
      </c>
      <c r="F3741" t="s">
        <v>28</v>
      </c>
      <c r="G3741">
        <v>611.29</v>
      </c>
      <c r="H3741">
        <v>57</v>
      </c>
      <c r="I3741" t="s">
        <v>16</v>
      </c>
      <c r="J3741">
        <v>4</v>
      </c>
      <c r="K3741" t="s">
        <v>26</v>
      </c>
      <c r="L3741" t="s">
        <v>23</v>
      </c>
      <c r="M3741" t="str">
        <f>VLOOKUP(D3745,Restaurant_Master!A:B,2,FALSE)</f>
        <v>https://media-cdn.tripadvisor.com/media/photo-s/1c/c7/97/b6/photo6jpg.jpg</v>
      </c>
    </row>
    <row r="3742" spans="1:13" x14ac:dyDescent="0.3">
      <c r="A3742" t="s">
        <v>3772</v>
      </c>
      <c r="B3742" s="1">
        <v>45569</v>
      </c>
      <c r="C3742" t="s">
        <v>43</v>
      </c>
      <c r="D3742" t="s">
        <v>38</v>
      </c>
      <c r="E3742">
        <v>23</v>
      </c>
      <c r="F3742" t="s">
        <v>28</v>
      </c>
      <c r="G3742">
        <v>999.58</v>
      </c>
      <c r="H3742">
        <v>25</v>
      </c>
      <c r="I3742" t="s">
        <v>22</v>
      </c>
      <c r="J3742">
        <v>3.8</v>
      </c>
      <c r="K3742" t="s">
        <v>26</v>
      </c>
      <c r="L3742" t="s">
        <v>18</v>
      </c>
      <c r="M3742" t="str">
        <f>VLOOKUP(D3746,Restaurant_Master!A:B,2,FALSE)</f>
        <v>https://content.jdmagicbox.com/comp/deoria/g6/9999p5568.5568.200119143033.m4g6/catalogue/biryani-house-deoria-ho-deoria-mktc2xph0o.jpg</v>
      </c>
    </row>
    <row r="3743" spans="1:13" x14ac:dyDescent="0.3">
      <c r="A3743" t="s">
        <v>3773</v>
      </c>
      <c r="B3743" s="1">
        <v>45333</v>
      </c>
      <c r="C3743" t="s">
        <v>36</v>
      </c>
      <c r="D3743" t="s">
        <v>38</v>
      </c>
      <c r="E3743">
        <v>36</v>
      </c>
      <c r="F3743" t="s">
        <v>15</v>
      </c>
      <c r="G3743">
        <v>338.05</v>
      </c>
      <c r="H3743">
        <v>32</v>
      </c>
      <c r="I3743" t="s">
        <v>22</v>
      </c>
      <c r="J3743">
        <v>4.7</v>
      </c>
      <c r="K3743" t="s">
        <v>41</v>
      </c>
      <c r="L3743" t="s">
        <v>23</v>
      </c>
      <c r="M3743" t="str">
        <f>VLOOKUP(D3747,Restaurant_Master!A:B,2,FALSE)</f>
        <v>https://media-cdn.tripadvisor.com/media/photo-s/1c/c7/97/b6/photo6jpg.jpg</v>
      </c>
    </row>
    <row r="3744" spans="1:13" x14ac:dyDescent="0.3">
      <c r="A3744" t="s">
        <v>3774</v>
      </c>
      <c r="B3744" s="1">
        <v>45476</v>
      </c>
      <c r="C3744" t="s">
        <v>34</v>
      </c>
      <c r="D3744" t="s">
        <v>32</v>
      </c>
      <c r="E3744">
        <v>34</v>
      </c>
      <c r="F3744" t="s">
        <v>28</v>
      </c>
      <c r="G3744">
        <v>960.27</v>
      </c>
      <c r="H3744">
        <v>28</v>
      </c>
      <c r="I3744" t="s">
        <v>22</v>
      </c>
      <c r="J3744">
        <v>3.3</v>
      </c>
      <c r="K3744" t="s">
        <v>17</v>
      </c>
      <c r="L3744" t="s">
        <v>23</v>
      </c>
      <c r="M3744" t="str">
        <f>VLOOKUP(D3748,Restaurant_Master!A:B,2,FALSE)</f>
        <v>https://dineout-media-assets.swiggy.com/swiggy/image/upload/fl_lossy,f_auto,q_auto/v1660793737/fdqxvxcxg1wtdwvyv45v.jpg</v>
      </c>
    </row>
    <row r="3745" spans="1:13" x14ac:dyDescent="0.3">
      <c r="A3745" t="s">
        <v>3775</v>
      </c>
      <c r="B3745" s="1">
        <v>45378</v>
      </c>
      <c r="C3745" t="s">
        <v>43</v>
      </c>
      <c r="D3745" t="s">
        <v>25</v>
      </c>
      <c r="E3745">
        <v>40</v>
      </c>
      <c r="F3745" t="s">
        <v>15</v>
      </c>
      <c r="G3745">
        <v>1025.67</v>
      </c>
      <c r="H3745">
        <v>35</v>
      </c>
      <c r="I3745" t="s">
        <v>22</v>
      </c>
      <c r="J3745">
        <v>4.5999999999999996</v>
      </c>
      <c r="K3745" t="s">
        <v>29</v>
      </c>
      <c r="L3745" t="s">
        <v>23</v>
      </c>
      <c r="M3745" t="str">
        <f>VLOOKUP(D3749,Restaurant_Master!A:B,2,FALSE)</f>
        <v>https://dineout-media-assets.swiggy.com/swiggy/image/upload/fl_lossy,f_auto,q_auto/v1660793737/fdqxvxcxg1wtdwvyv45v.jpg</v>
      </c>
    </row>
    <row r="3746" spans="1:13" x14ac:dyDescent="0.3">
      <c r="A3746" t="s">
        <v>3776</v>
      </c>
      <c r="B3746" s="1">
        <v>45335</v>
      </c>
      <c r="C3746" t="s">
        <v>36</v>
      </c>
      <c r="D3746" t="s">
        <v>32</v>
      </c>
      <c r="E3746">
        <v>27</v>
      </c>
      <c r="F3746" t="s">
        <v>15</v>
      </c>
      <c r="G3746">
        <v>725.88</v>
      </c>
      <c r="H3746">
        <v>51</v>
      </c>
      <c r="I3746" t="s">
        <v>16</v>
      </c>
      <c r="J3746">
        <v>2.7</v>
      </c>
      <c r="K3746" t="s">
        <v>26</v>
      </c>
      <c r="L3746" t="s">
        <v>18</v>
      </c>
      <c r="M3746" t="str">
        <f>VLOOKUP(D3750,Restaurant_Master!A:B,2,FALSE)</f>
        <v>https://content.jdmagicbox.com/comp/deoria/g6/9999p5568.5568.200119143033.m4g6/catalogue/biryani-house-deoria-ho-deoria-mktc2xph0o.jpg</v>
      </c>
    </row>
    <row r="3747" spans="1:13" x14ac:dyDescent="0.3">
      <c r="A3747" t="s">
        <v>3777</v>
      </c>
      <c r="B3747" s="1">
        <v>45655</v>
      </c>
      <c r="C3747" t="s">
        <v>34</v>
      </c>
      <c r="D3747" t="s">
        <v>25</v>
      </c>
      <c r="E3747">
        <v>57</v>
      </c>
      <c r="F3747" t="s">
        <v>15</v>
      </c>
      <c r="G3747">
        <v>224.42</v>
      </c>
      <c r="H3747">
        <v>53</v>
      </c>
      <c r="I3747" t="s">
        <v>16</v>
      </c>
      <c r="J3747">
        <v>4.0999999999999996</v>
      </c>
      <c r="K3747" t="s">
        <v>17</v>
      </c>
      <c r="L3747" t="s">
        <v>23</v>
      </c>
      <c r="M3747" t="str">
        <f>VLOOKUP(D3751,Restaurant_Master!A:B,2,FALSE)</f>
        <v>https://dynamic-media-cdn.tripadvisor.com/media/photo-o/1c/e7/04/0d/front-of-the-local-easily.jpg</v>
      </c>
    </row>
    <row r="3748" spans="1:13" x14ac:dyDescent="0.3">
      <c r="A3748" t="s">
        <v>3778</v>
      </c>
      <c r="B3748" s="1">
        <v>45438</v>
      </c>
      <c r="C3748" t="s">
        <v>13</v>
      </c>
      <c r="D3748" t="s">
        <v>14</v>
      </c>
      <c r="E3748">
        <v>58</v>
      </c>
      <c r="F3748" t="s">
        <v>28</v>
      </c>
      <c r="G3748">
        <v>1135.1600000000001</v>
      </c>
      <c r="H3748">
        <v>44</v>
      </c>
      <c r="I3748" t="s">
        <v>16</v>
      </c>
      <c r="J3748">
        <v>4.3</v>
      </c>
      <c r="K3748" t="s">
        <v>26</v>
      </c>
      <c r="L3748" t="s">
        <v>23</v>
      </c>
      <c r="M3748" t="str">
        <f>VLOOKUP(D3752,Restaurant_Master!A:B,2,FALSE)</f>
        <v>https://media-cdn.tripadvisor.com/media/photo-s/1c/c7/97/b6/photo6jpg.jpg</v>
      </c>
    </row>
    <row r="3749" spans="1:13" x14ac:dyDescent="0.3">
      <c r="A3749" t="s">
        <v>3779</v>
      </c>
      <c r="B3749" s="1">
        <v>45606</v>
      </c>
      <c r="C3749" t="s">
        <v>34</v>
      </c>
      <c r="D3749" t="s">
        <v>14</v>
      </c>
      <c r="E3749">
        <v>34</v>
      </c>
      <c r="F3749" t="s">
        <v>28</v>
      </c>
      <c r="G3749">
        <v>1157.95</v>
      </c>
      <c r="H3749">
        <v>59</v>
      </c>
      <c r="I3749" t="s">
        <v>16</v>
      </c>
      <c r="J3749">
        <v>4.0999999999999996</v>
      </c>
      <c r="K3749" t="s">
        <v>17</v>
      </c>
      <c r="L3749" t="s">
        <v>23</v>
      </c>
      <c r="M3749" t="str">
        <f>VLOOKUP(D3753,Restaurant_Master!A:B,2,FALSE)</f>
        <v>https://dynamic-media-cdn.tripadvisor.com/media/photo-o/1c/e7/04/0d/front-of-the-local-easily.jpg</v>
      </c>
    </row>
    <row r="3750" spans="1:13" x14ac:dyDescent="0.3">
      <c r="A3750" t="s">
        <v>3780</v>
      </c>
      <c r="B3750" s="1">
        <v>45331</v>
      </c>
      <c r="C3750" t="s">
        <v>20</v>
      </c>
      <c r="D3750" t="s">
        <v>32</v>
      </c>
      <c r="E3750">
        <v>55</v>
      </c>
      <c r="F3750" t="s">
        <v>28</v>
      </c>
      <c r="G3750">
        <v>697.26</v>
      </c>
      <c r="H3750">
        <v>32</v>
      </c>
      <c r="I3750" t="s">
        <v>22</v>
      </c>
      <c r="J3750">
        <v>3.5</v>
      </c>
      <c r="K3750" t="s">
        <v>26</v>
      </c>
      <c r="L3750" t="s">
        <v>23</v>
      </c>
      <c r="M3750" t="str">
        <f>VLOOKUP(D3754,Restaurant_Master!A:B,2,FALSE)</f>
        <v>https://dineout-media-assets.swiggy.com/swiggy/image/upload/fl_lossy,f_auto,q_auto/v1660793737/fdqxvxcxg1wtdwvyv45v.jpg</v>
      </c>
    </row>
    <row r="3751" spans="1:13" x14ac:dyDescent="0.3">
      <c r="A3751" t="s">
        <v>3781</v>
      </c>
      <c r="B3751" s="1">
        <v>45640</v>
      </c>
      <c r="C3751" t="s">
        <v>36</v>
      </c>
      <c r="D3751" t="s">
        <v>21</v>
      </c>
      <c r="E3751">
        <v>60</v>
      </c>
      <c r="F3751" t="s">
        <v>28</v>
      </c>
      <c r="G3751">
        <v>1114.42</v>
      </c>
      <c r="H3751">
        <v>42</v>
      </c>
      <c r="I3751" t="s">
        <v>16</v>
      </c>
      <c r="J3751">
        <v>4.9000000000000004</v>
      </c>
      <c r="K3751" t="s">
        <v>17</v>
      </c>
      <c r="L3751" t="s">
        <v>18</v>
      </c>
      <c r="M3751" t="str">
        <f>VLOOKUP(D3755,Restaurant_Master!A:B,2,FALSE)</f>
        <v>https://dynamic-media-cdn.tripadvisor.com/media/photo-o/1c/e7/04/0d/front-of-the-local-easily.jpg</v>
      </c>
    </row>
    <row r="3752" spans="1:13" x14ac:dyDescent="0.3">
      <c r="A3752" t="s">
        <v>3782</v>
      </c>
      <c r="B3752" s="1">
        <v>45529</v>
      </c>
      <c r="C3752" t="s">
        <v>43</v>
      </c>
      <c r="D3752" t="s">
        <v>25</v>
      </c>
      <c r="E3752">
        <v>23</v>
      </c>
      <c r="F3752" t="s">
        <v>28</v>
      </c>
      <c r="G3752">
        <v>753.78</v>
      </c>
      <c r="H3752">
        <v>35</v>
      </c>
      <c r="I3752" t="s">
        <v>22</v>
      </c>
      <c r="J3752">
        <v>2.8</v>
      </c>
      <c r="K3752" t="s">
        <v>41</v>
      </c>
      <c r="L3752" t="s">
        <v>18</v>
      </c>
      <c r="M3752" t="str">
        <f>VLOOKUP(D3756,Restaurant_Master!A:B,2,FALSE)</f>
        <v>https://media-cdn.tripadvisor.com/media/photo-s/1c/c7/97/b6/photo6jpg.jpg</v>
      </c>
    </row>
    <row r="3753" spans="1:13" x14ac:dyDescent="0.3">
      <c r="A3753" t="s">
        <v>3783</v>
      </c>
      <c r="B3753" s="1">
        <v>45314</v>
      </c>
      <c r="C3753" t="s">
        <v>36</v>
      </c>
      <c r="D3753" t="s">
        <v>21</v>
      </c>
      <c r="E3753">
        <v>51</v>
      </c>
      <c r="F3753" t="s">
        <v>28</v>
      </c>
      <c r="G3753">
        <v>957.98</v>
      </c>
      <c r="H3753">
        <v>60</v>
      </c>
      <c r="I3753" t="s">
        <v>16</v>
      </c>
      <c r="J3753">
        <v>3.2</v>
      </c>
      <c r="K3753" t="s">
        <v>29</v>
      </c>
      <c r="L3753" t="s">
        <v>23</v>
      </c>
      <c r="M3753" t="str">
        <f>VLOOKUP(D3757,Restaurant_Master!A:B,2,FALSE)</f>
        <v>https://media-cdn.tripadvisor.com/media/photo-s/1c/c7/97/b6/photo6jpg.jpg</v>
      </c>
    </row>
    <row r="3754" spans="1:13" x14ac:dyDescent="0.3">
      <c r="A3754" t="s">
        <v>3784</v>
      </c>
      <c r="B3754" s="1">
        <v>45426</v>
      </c>
      <c r="C3754" t="s">
        <v>43</v>
      </c>
      <c r="D3754" t="s">
        <v>14</v>
      </c>
      <c r="E3754">
        <v>47</v>
      </c>
      <c r="F3754" t="s">
        <v>28</v>
      </c>
      <c r="G3754">
        <v>1183.83</v>
      </c>
      <c r="H3754">
        <v>38</v>
      </c>
      <c r="I3754" t="s">
        <v>22</v>
      </c>
      <c r="J3754">
        <v>3.6</v>
      </c>
      <c r="K3754" t="s">
        <v>41</v>
      </c>
      <c r="L3754" t="s">
        <v>18</v>
      </c>
      <c r="M3754" t="str">
        <f>VLOOKUP(D3758,Restaurant_Master!A:B,2,FALSE)</f>
        <v>https://media-cdn.tripadvisor.com/media/photo-s/1c/c7/97/b6/photo6jpg.jpg</v>
      </c>
    </row>
    <row r="3755" spans="1:13" x14ac:dyDescent="0.3">
      <c r="A3755" t="s">
        <v>3785</v>
      </c>
      <c r="B3755" s="1">
        <v>45507</v>
      </c>
      <c r="C3755" t="s">
        <v>13</v>
      </c>
      <c r="D3755" t="s">
        <v>21</v>
      </c>
      <c r="E3755">
        <v>43</v>
      </c>
      <c r="F3755" t="s">
        <v>15</v>
      </c>
      <c r="G3755">
        <v>478.62</v>
      </c>
      <c r="H3755">
        <v>40</v>
      </c>
      <c r="I3755" t="s">
        <v>22</v>
      </c>
      <c r="J3755">
        <v>3</v>
      </c>
      <c r="K3755" t="s">
        <v>17</v>
      </c>
      <c r="L3755" t="s">
        <v>23</v>
      </c>
      <c r="M3755" t="str">
        <f>VLOOKUP(D3759,Restaurant_Master!A:B,2,FALSE)</f>
        <v>https://www.chatswoodinterchange.com/storages/2018/08/Sushi-World_666x448.jpg</v>
      </c>
    </row>
    <row r="3756" spans="1:13" x14ac:dyDescent="0.3">
      <c r="A3756" t="s">
        <v>3786</v>
      </c>
      <c r="B3756" s="1">
        <v>45386</v>
      </c>
      <c r="C3756" t="s">
        <v>36</v>
      </c>
      <c r="D3756" t="s">
        <v>25</v>
      </c>
      <c r="E3756">
        <v>47</v>
      </c>
      <c r="F3756" t="s">
        <v>28</v>
      </c>
      <c r="G3756">
        <v>810.63</v>
      </c>
      <c r="H3756">
        <v>31</v>
      </c>
      <c r="I3756" t="s">
        <v>22</v>
      </c>
      <c r="J3756">
        <v>3.7</v>
      </c>
      <c r="K3756" t="s">
        <v>29</v>
      </c>
      <c r="L3756" t="s">
        <v>23</v>
      </c>
      <c r="M3756" t="str">
        <f>VLOOKUP(D3760,Restaurant_Master!A:B,2,FALSE)</f>
        <v>https://media-cdn.tripadvisor.com/media/photo-s/1c/c7/97/b6/photo6jpg.jpg</v>
      </c>
    </row>
    <row r="3757" spans="1:13" x14ac:dyDescent="0.3">
      <c r="A3757" t="s">
        <v>3787</v>
      </c>
      <c r="B3757" s="1">
        <v>45549</v>
      </c>
      <c r="C3757" t="s">
        <v>36</v>
      </c>
      <c r="D3757" t="s">
        <v>25</v>
      </c>
      <c r="E3757">
        <v>24</v>
      </c>
      <c r="F3757" t="s">
        <v>28</v>
      </c>
      <c r="G3757">
        <v>1144.17</v>
      </c>
      <c r="H3757">
        <v>40</v>
      </c>
      <c r="I3757" t="s">
        <v>22</v>
      </c>
      <c r="J3757">
        <v>4.5999999999999996</v>
      </c>
      <c r="K3757" t="s">
        <v>17</v>
      </c>
      <c r="L3757" t="s">
        <v>23</v>
      </c>
      <c r="M3757" t="str">
        <f>VLOOKUP(D3761,Restaurant_Master!A:B,2,FALSE)</f>
        <v>https://dynamic-media-cdn.tripadvisor.com/media/photo-o/1c/e7/04/0d/front-of-the-local-easily.jpg</v>
      </c>
    </row>
    <row r="3758" spans="1:13" x14ac:dyDescent="0.3">
      <c r="A3758" t="s">
        <v>3788</v>
      </c>
      <c r="B3758" s="1">
        <v>45608</v>
      </c>
      <c r="C3758" t="s">
        <v>36</v>
      </c>
      <c r="D3758" t="s">
        <v>25</v>
      </c>
      <c r="E3758">
        <v>50</v>
      </c>
      <c r="F3758" t="s">
        <v>15</v>
      </c>
      <c r="G3758">
        <v>915.91</v>
      </c>
      <c r="H3758">
        <v>46</v>
      </c>
      <c r="I3758" t="s">
        <v>16</v>
      </c>
      <c r="J3758">
        <v>2.5</v>
      </c>
      <c r="K3758" t="s">
        <v>29</v>
      </c>
      <c r="L3758" t="s">
        <v>23</v>
      </c>
      <c r="M3758" t="str">
        <f>VLOOKUP(D3762,Restaurant_Master!A:B,2,FALSE)</f>
        <v>https://www.chatswoodinterchange.com/storages/2018/08/Sushi-World_666x448.jpg</v>
      </c>
    </row>
    <row r="3759" spans="1:13" x14ac:dyDescent="0.3">
      <c r="A3759" t="s">
        <v>3789</v>
      </c>
      <c r="B3759" s="1">
        <v>45518</v>
      </c>
      <c r="C3759" t="s">
        <v>20</v>
      </c>
      <c r="D3759" t="s">
        <v>38</v>
      </c>
      <c r="E3759">
        <v>36</v>
      </c>
      <c r="F3759" t="s">
        <v>28</v>
      </c>
      <c r="G3759">
        <v>395.41</v>
      </c>
      <c r="H3759">
        <v>54</v>
      </c>
      <c r="I3759" t="s">
        <v>16</v>
      </c>
      <c r="J3759">
        <v>4.3</v>
      </c>
      <c r="K3759" t="s">
        <v>17</v>
      </c>
      <c r="L3759" t="s">
        <v>18</v>
      </c>
      <c r="M3759" t="str">
        <f>VLOOKUP(D3763,Restaurant_Master!A:B,2,FALSE)</f>
        <v>https://dineout-media-assets.swiggy.com/swiggy/image/upload/fl_lossy,f_auto,q_auto/v1660793737/fdqxvxcxg1wtdwvyv45v.jpg</v>
      </c>
    </row>
    <row r="3760" spans="1:13" x14ac:dyDescent="0.3">
      <c r="A3760" t="s">
        <v>3790</v>
      </c>
      <c r="B3760" s="1">
        <v>45643</v>
      </c>
      <c r="C3760" t="s">
        <v>34</v>
      </c>
      <c r="D3760" t="s">
        <v>25</v>
      </c>
      <c r="E3760">
        <v>44</v>
      </c>
      <c r="F3760" t="s">
        <v>15</v>
      </c>
      <c r="G3760">
        <v>334.24</v>
      </c>
      <c r="H3760">
        <v>29</v>
      </c>
      <c r="I3760" t="s">
        <v>22</v>
      </c>
      <c r="J3760">
        <v>3.5</v>
      </c>
      <c r="K3760" t="s">
        <v>26</v>
      </c>
      <c r="L3760" t="s">
        <v>23</v>
      </c>
      <c r="M3760" t="str">
        <f>VLOOKUP(D3764,Restaurant_Master!A:B,2,FALSE)</f>
        <v>https://www.chatswoodinterchange.com/storages/2018/08/Sushi-World_666x448.jpg</v>
      </c>
    </row>
    <row r="3761" spans="1:13" x14ac:dyDescent="0.3">
      <c r="A3761" t="s">
        <v>3791</v>
      </c>
      <c r="B3761" s="1">
        <v>45524</v>
      </c>
      <c r="C3761" t="s">
        <v>43</v>
      </c>
      <c r="D3761" t="s">
        <v>21</v>
      </c>
      <c r="E3761">
        <v>50</v>
      </c>
      <c r="F3761" t="s">
        <v>28</v>
      </c>
      <c r="G3761">
        <v>365.6</v>
      </c>
      <c r="H3761">
        <v>30</v>
      </c>
      <c r="I3761" t="s">
        <v>22</v>
      </c>
      <c r="J3761">
        <v>2.8</v>
      </c>
      <c r="K3761" t="s">
        <v>29</v>
      </c>
      <c r="L3761" t="s">
        <v>18</v>
      </c>
      <c r="M3761" t="str">
        <f>VLOOKUP(D3765,Restaurant_Master!A:B,2,FALSE)</f>
        <v>https://media-cdn.tripadvisor.com/media/photo-s/1c/c7/97/b6/photo6jpg.jpg</v>
      </c>
    </row>
    <row r="3762" spans="1:13" x14ac:dyDescent="0.3">
      <c r="A3762" t="s">
        <v>3792</v>
      </c>
      <c r="B3762" s="1">
        <v>45296</v>
      </c>
      <c r="C3762" t="s">
        <v>13</v>
      </c>
      <c r="D3762" t="s">
        <v>38</v>
      </c>
      <c r="E3762">
        <v>28</v>
      </c>
      <c r="F3762" t="s">
        <v>15</v>
      </c>
      <c r="G3762">
        <v>968.86</v>
      </c>
      <c r="H3762">
        <v>49</v>
      </c>
      <c r="I3762" t="s">
        <v>16</v>
      </c>
      <c r="J3762">
        <v>4.8</v>
      </c>
      <c r="K3762" t="s">
        <v>26</v>
      </c>
      <c r="L3762" t="s">
        <v>18</v>
      </c>
      <c r="M3762" t="str">
        <f>VLOOKUP(D3766,Restaurant_Master!A:B,2,FALSE)</f>
        <v>https://content.jdmagicbox.com/comp/deoria/g6/9999p5568.5568.200119143033.m4g6/catalogue/biryani-house-deoria-ho-deoria-mktc2xph0o.jpg</v>
      </c>
    </row>
    <row r="3763" spans="1:13" x14ac:dyDescent="0.3">
      <c r="A3763" t="s">
        <v>3793</v>
      </c>
      <c r="B3763" s="1">
        <v>45293</v>
      </c>
      <c r="C3763" t="s">
        <v>34</v>
      </c>
      <c r="D3763" t="s">
        <v>14</v>
      </c>
      <c r="E3763">
        <v>37</v>
      </c>
      <c r="F3763" t="s">
        <v>28</v>
      </c>
      <c r="G3763">
        <v>1019.04</v>
      </c>
      <c r="H3763">
        <v>34</v>
      </c>
      <c r="I3763" t="s">
        <v>22</v>
      </c>
      <c r="J3763">
        <v>2.6</v>
      </c>
      <c r="K3763" t="s">
        <v>29</v>
      </c>
      <c r="L3763" t="s">
        <v>23</v>
      </c>
      <c r="M3763" t="str">
        <f>VLOOKUP(D3767,Restaurant_Master!A:B,2,FALSE)</f>
        <v>https://media-cdn.tripadvisor.com/media/photo-s/1c/c7/97/b6/photo6jpg.jpg</v>
      </c>
    </row>
    <row r="3764" spans="1:13" x14ac:dyDescent="0.3">
      <c r="A3764" t="s">
        <v>3794</v>
      </c>
      <c r="B3764" s="1">
        <v>45589</v>
      </c>
      <c r="C3764" t="s">
        <v>36</v>
      </c>
      <c r="D3764" t="s">
        <v>38</v>
      </c>
      <c r="E3764">
        <v>53</v>
      </c>
      <c r="F3764" t="s">
        <v>15</v>
      </c>
      <c r="G3764">
        <v>160.32</v>
      </c>
      <c r="H3764">
        <v>41</v>
      </c>
      <c r="I3764" t="s">
        <v>16</v>
      </c>
      <c r="J3764">
        <v>4.4000000000000004</v>
      </c>
      <c r="K3764" t="s">
        <v>29</v>
      </c>
      <c r="L3764" t="s">
        <v>18</v>
      </c>
      <c r="M3764" t="str">
        <f>VLOOKUP(D3768,Restaurant_Master!A:B,2,FALSE)</f>
        <v>https://media-cdn.tripadvisor.com/media/photo-s/1c/c7/97/b6/photo6jpg.jpg</v>
      </c>
    </row>
    <row r="3765" spans="1:13" x14ac:dyDescent="0.3">
      <c r="A3765" t="s">
        <v>3795</v>
      </c>
      <c r="B3765" s="1">
        <v>45325</v>
      </c>
      <c r="C3765" t="s">
        <v>20</v>
      </c>
      <c r="D3765" t="s">
        <v>25</v>
      </c>
      <c r="E3765">
        <v>37</v>
      </c>
      <c r="F3765" t="s">
        <v>15</v>
      </c>
      <c r="G3765">
        <v>272.17</v>
      </c>
      <c r="H3765">
        <v>37</v>
      </c>
      <c r="I3765" t="s">
        <v>22</v>
      </c>
      <c r="J3765">
        <v>4.8</v>
      </c>
      <c r="K3765" t="s">
        <v>26</v>
      </c>
      <c r="L3765" t="s">
        <v>18</v>
      </c>
      <c r="M3765" t="str">
        <f>VLOOKUP(D3769,Restaurant_Master!A:B,2,FALSE)</f>
        <v>https://www.chatswoodinterchange.com/storages/2018/08/Sushi-World_666x448.jpg</v>
      </c>
    </row>
    <row r="3766" spans="1:13" x14ac:dyDescent="0.3">
      <c r="A3766" t="s">
        <v>3796</v>
      </c>
      <c r="B3766" s="1">
        <v>45309</v>
      </c>
      <c r="C3766" t="s">
        <v>13</v>
      </c>
      <c r="D3766" t="s">
        <v>32</v>
      </c>
      <c r="E3766">
        <v>31</v>
      </c>
      <c r="F3766" t="s">
        <v>28</v>
      </c>
      <c r="G3766">
        <v>1183.74</v>
      </c>
      <c r="H3766">
        <v>44</v>
      </c>
      <c r="I3766" t="s">
        <v>16</v>
      </c>
      <c r="J3766">
        <v>3.7</v>
      </c>
      <c r="K3766" t="s">
        <v>41</v>
      </c>
      <c r="L3766" t="s">
        <v>18</v>
      </c>
      <c r="M3766" t="str">
        <f>VLOOKUP(D3770,Restaurant_Master!A:B,2,FALSE)</f>
        <v>https://dineout-media-assets.swiggy.com/swiggy/image/upload/fl_lossy,f_auto,q_auto/v1660793737/fdqxvxcxg1wtdwvyv45v.jpg</v>
      </c>
    </row>
    <row r="3767" spans="1:13" x14ac:dyDescent="0.3">
      <c r="A3767" t="s">
        <v>3797</v>
      </c>
      <c r="B3767" s="1">
        <v>45643</v>
      </c>
      <c r="C3767" t="s">
        <v>36</v>
      </c>
      <c r="D3767" t="s">
        <v>25</v>
      </c>
      <c r="E3767">
        <v>58</v>
      </c>
      <c r="F3767" t="s">
        <v>28</v>
      </c>
      <c r="G3767">
        <v>163.33000000000001</v>
      </c>
      <c r="H3767">
        <v>45</v>
      </c>
      <c r="I3767" t="s">
        <v>16</v>
      </c>
      <c r="J3767">
        <v>4.3</v>
      </c>
      <c r="K3767" t="s">
        <v>17</v>
      </c>
      <c r="L3767" t="s">
        <v>18</v>
      </c>
      <c r="M3767" t="str">
        <f>VLOOKUP(D3771,Restaurant_Master!A:B,2,FALSE)</f>
        <v>https://media-cdn.tripadvisor.com/media/photo-s/1c/c7/97/b6/photo6jpg.jpg</v>
      </c>
    </row>
    <row r="3768" spans="1:13" x14ac:dyDescent="0.3">
      <c r="A3768" t="s">
        <v>3798</v>
      </c>
      <c r="B3768" s="1">
        <v>45583</v>
      </c>
      <c r="C3768" t="s">
        <v>13</v>
      </c>
      <c r="D3768" t="s">
        <v>25</v>
      </c>
      <c r="E3768">
        <v>45</v>
      </c>
      <c r="F3768" t="s">
        <v>15</v>
      </c>
      <c r="G3768">
        <v>217.4</v>
      </c>
      <c r="H3768">
        <v>38</v>
      </c>
      <c r="I3768" t="s">
        <v>22</v>
      </c>
      <c r="J3768">
        <v>3.6</v>
      </c>
      <c r="K3768" t="s">
        <v>26</v>
      </c>
      <c r="L3768" t="s">
        <v>23</v>
      </c>
      <c r="M3768" t="str">
        <f>VLOOKUP(D3772,Restaurant_Master!A:B,2,FALSE)</f>
        <v>https://media-cdn.tripadvisor.com/media/photo-s/1c/c7/97/b6/photo6jpg.jpg</v>
      </c>
    </row>
    <row r="3769" spans="1:13" x14ac:dyDescent="0.3">
      <c r="A3769" t="s">
        <v>3799</v>
      </c>
      <c r="B3769" s="1">
        <v>45489</v>
      </c>
      <c r="C3769" t="s">
        <v>36</v>
      </c>
      <c r="D3769" t="s">
        <v>38</v>
      </c>
      <c r="E3769">
        <v>57</v>
      </c>
      <c r="F3769" t="s">
        <v>28</v>
      </c>
      <c r="G3769">
        <v>736.23</v>
      </c>
      <c r="H3769">
        <v>43</v>
      </c>
      <c r="I3769" t="s">
        <v>16</v>
      </c>
      <c r="J3769">
        <v>4.3</v>
      </c>
      <c r="K3769" t="s">
        <v>41</v>
      </c>
      <c r="L3769" t="s">
        <v>18</v>
      </c>
      <c r="M3769" t="str">
        <f>VLOOKUP(D3773,Restaurant_Master!A:B,2,FALSE)</f>
        <v>https://content.jdmagicbox.com/comp/deoria/g6/9999p5568.5568.200119143033.m4g6/catalogue/biryani-house-deoria-ho-deoria-mktc2xph0o.jpg</v>
      </c>
    </row>
    <row r="3770" spans="1:13" x14ac:dyDescent="0.3">
      <c r="A3770" t="s">
        <v>3800</v>
      </c>
      <c r="B3770" s="1">
        <v>45356</v>
      </c>
      <c r="C3770" t="s">
        <v>13</v>
      </c>
      <c r="D3770" t="s">
        <v>14</v>
      </c>
      <c r="E3770">
        <v>29</v>
      </c>
      <c r="F3770" t="s">
        <v>15</v>
      </c>
      <c r="G3770">
        <v>808.79</v>
      </c>
      <c r="H3770">
        <v>32</v>
      </c>
      <c r="I3770" t="s">
        <v>22</v>
      </c>
      <c r="J3770">
        <v>2.5</v>
      </c>
      <c r="K3770" t="s">
        <v>29</v>
      </c>
      <c r="L3770" t="s">
        <v>18</v>
      </c>
      <c r="M3770" t="str">
        <f>VLOOKUP(D3774,Restaurant_Master!A:B,2,FALSE)</f>
        <v>https://media-cdn.tripadvisor.com/media/photo-s/1c/c7/97/b6/photo6jpg.jpg</v>
      </c>
    </row>
    <row r="3771" spans="1:13" x14ac:dyDescent="0.3">
      <c r="A3771" t="s">
        <v>3801</v>
      </c>
      <c r="B3771" s="1">
        <v>45452</v>
      </c>
      <c r="C3771" t="s">
        <v>13</v>
      </c>
      <c r="D3771" t="s">
        <v>25</v>
      </c>
      <c r="E3771">
        <v>43</v>
      </c>
      <c r="F3771" t="s">
        <v>15</v>
      </c>
      <c r="G3771">
        <v>756.79</v>
      </c>
      <c r="H3771">
        <v>24</v>
      </c>
      <c r="I3771" t="s">
        <v>22</v>
      </c>
      <c r="J3771">
        <v>2.6</v>
      </c>
      <c r="K3771" t="s">
        <v>41</v>
      </c>
      <c r="L3771" t="s">
        <v>18</v>
      </c>
      <c r="M3771" t="str">
        <f>VLOOKUP(D3775,Restaurant_Master!A:B,2,FALSE)</f>
        <v>https://dineout-media-assets.swiggy.com/swiggy/image/upload/fl_lossy,f_auto,q_auto/v1660793737/fdqxvxcxg1wtdwvyv45v.jpg</v>
      </c>
    </row>
    <row r="3772" spans="1:13" x14ac:dyDescent="0.3">
      <c r="A3772" t="s">
        <v>3802</v>
      </c>
      <c r="B3772" s="1">
        <v>45346</v>
      </c>
      <c r="C3772" t="s">
        <v>43</v>
      </c>
      <c r="D3772" t="s">
        <v>25</v>
      </c>
      <c r="E3772">
        <v>35</v>
      </c>
      <c r="F3772" t="s">
        <v>28</v>
      </c>
      <c r="G3772">
        <v>1014.21</v>
      </c>
      <c r="H3772">
        <v>57</v>
      </c>
      <c r="I3772" t="s">
        <v>16</v>
      </c>
      <c r="J3772">
        <v>3.2</v>
      </c>
      <c r="K3772" t="s">
        <v>41</v>
      </c>
      <c r="L3772" t="s">
        <v>23</v>
      </c>
      <c r="M3772" t="str">
        <f>VLOOKUP(D3776,Restaurant_Master!A:B,2,FALSE)</f>
        <v>https://www.chatswoodinterchange.com/storages/2018/08/Sushi-World_666x448.jpg</v>
      </c>
    </row>
    <row r="3773" spans="1:13" x14ac:dyDescent="0.3">
      <c r="A3773" t="s">
        <v>3803</v>
      </c>
      <c r="B3773" s="1">
        <v>45590</v>
      </c>
      <c r="C3773" t="s">
        <v>36</v>
      </c>
      <c r="D3773" t="s">
        <v>32</v>
      </c>
      <c r="E3773">
        <v>46</v>
      </c>
      <c r="F3773" t="s">
        <v>15</v>
      </c>
      <c r="G3773">
        <v>574.21</v>
      </c>
      <c r="H3773">
        <v>40</v>
      </c>
      <c r="I3773" t="s">
        <v>22</v>
      </c>
      <c r="J3773">
        <v>4.9000000000000004</v>
      </c>
      <c r="K3773" t="s">
        <v>29</v>
      </c>
      <c r="L3773" t="s">
        <v>18</v>
      </c>
      <c r="M3773" t="str">
        <f>VLOOKUP(D3777,Restaurant_Master!A:B,2,FALSE)</f>
        <v>https://content.jdmagicbox.com/comp/deoria/g6/9999p5568.5568.200119143033.m4g6/catalogue/biryani-house-deoria-ho-deoria-mktc2xph0o.jpg</v>
      </c>
    </row>
    <row r="3774" spans="1:13" x14ac:dyDescent="0.3">
      <c r="A3774" t="s">
        <v>3804</v>
      </c>
      <c r="B3774" s="1">
        <v>45641</v>
      </c>
      <c r="C3774" t="s">
        <v>34</v>
      </c>
      <c r="D3774" t="s">
        <v>25</v>
      </c>
      <c r="E3774">
        <v>24</v>
      </c>
      <c r="F3774" t="s">
        <v>15</v>
      </c>
      <c r="G3774">
        <v>353.14</v>
      </c>
      <c r="H3774">
        <v>25</v>
      </c>
      <c r="I3774" t="s">
        <v>22</v>
      </c>
      <c r="J3774">
        <v>4.3</v>
      </c>
      <c r="K3774" t="s">
        <v>17</v>
      </c>
      <c r="L3774" t="s">
        <v>18</v>
      </c>
      <c r="M3774" t="str">
        <f>VLOOKUP(D3778,Restaurant_Master!A:B,2,FALSE)</f>
        <v>https://media-cdn.tripadvisor.com/media/photo-s/1c/c7/97/b6/photo6jpg.jpg</v>
      </c>
    </row>
    <row r="3775" spans="1:13" x14ac:dyDescent="0.3">
      <c r="A3775" t="s">
        <v>3805</v>
      </c>
      <c r="B3775" s="1">
        <v>45523</v>
      </c>
      <c r="C3775" t="s">
        <v>43</v>
      </c>
      <c r="D3775" t="s">
        <v>14</v>
      </c>
      <c r="E3775">
        <v>56</v>
      </c>
      <c r="F3775" t="s">
        <v>15</v>
      </c>
      <c r="G3775">
        <v>545.38</v>
      </c>
      <c r="H3775">
        <v>52</v>
      </c>
      <c r="I3775" t="s">
        <v>16</v>
      </c>
      <c r="J3775">
        <v>3.5</v>
      </c>
      <c r="K3775" t="s">
        <v>41</v>
      </c>
      <c r="L3775" t="s">
        <v>18</v>
      </c>
      <c r="M3775" t="str">
        <f>VLOOKUP(D3779,Restaurant_Master!A:B,2,FALSE)</f>
        <v>https://media-cdn.tripadvisor.com/media/photo-s/1c/c7/97/b6/photo6jpg.jpg</v>
      </c>
    </row>
    <row r="3776" spans="1:13" x14ac:dyDescent="0.3">
      <c r="A3776" t="s">
        <v>3806</v>
      </c>
      <c r="B3776" s="1">
        <v>45482</v>
      </c>
      <c r="C3776" t="s">
        <v>13</v>
      </c>
      <c r="D3776" t="s">
        <v>38</v>
      </c>
      <c r="E3776">
        <v>39</v>
      </c>
      <c r="F3776" t="s">
        <v>28</v>
      </c>
      <c r="G3776">
        <v>900.41</v>
      </c>
      <c r="H3776">
        <v>22</v>
      </c>
      <c r="I3776" t="s">
        <v>22</v>
      </c>
      <c r="J3776">
        <v>2.9</v>
      </c>
      <c r="K3776" t="s">
        <v>26</v>
      </c>
      <c r="L3776" t="s">
        <v>18</v>
      </c>
      <c r="M3776" t="str">
        <f>VLOOKUP(D3780,Restaurant_Master!A:B,2,FALSE)</f>
        <v>https://content.jdmagicbox.com/comp/deoria/g6/9999p5568.5568.200119143033.m4g6/catalogue/biryani-house-deoria-ho-deoria-mktc2xph0o.jpg</v>
      </c>
    </row>
    <row r="3777" spans="1:13" x14ac:dyDescent="0.3">
      <c r="A3777" t="s">
        <v>3807</v>
      </c>
      <c r="B3777" s="1">
        <v>45521</v>
      </c>
      <c r="C3777" t="s">
        <v>36</v>
      </c>
      <c r="D3777" t="s">
        <v>32</v>
      </c>
      <c r="E3777">
        <v>58</v>
      </c>
      <c r="F3777" t="s">
        <v>15</v>
      </c>
      <c r="G3777">
        <v>494.79</v>
      </c>
      <c r="H3777">
        <v>59</v>
      </c>
      <c r="I3777" t="s">
        <v>16</v>
      </c>
      <c r="J3777">
        <v>4</v>
      </c>
      <c r="K3777" t="s">
        <v>41</v>
      </c>
      <c r="L3777" t="s">
        <v>18</v>
      </c>
      <c r="M3777" t="str">
        <f>VLOOKUP(D3781,Restaurant_Master!A:B,2,FALSE)</f>
        <v>https://content.jdmagicbox.com/comp/deoria/g6/9999p5568.5568.200119143033.m4g6/catalogue/biryani-house-deoria-ho-deoria-mktc2xph0o.jpg</v>
      </c>
    </row>
    <row r="3778" spans="1:13" x14ac:dyDescent="0.3">
      <c r="A3778" t="s">
        <v>3808</v>
      </c>
      <c r="B3778" s="1">
        <v>45616</v>
      </c>
      <c r="C3778" t="s">
        <v>43</v>
      </c>
      <c r="D3778" t="s">
        <v>25</v>
      </c>
      <c r="E3778">
        <v>37</v>
      </c>
      <c r="F3778" t="s">
        <v>28</v>
      </c>
      <c r="G3778">
        <v>1117.49</v>
      </c>
      <c r="H3778">
        <v>22</v>
      </c>
      <c r="I3778" t="s">
        <v>22</v>
      </c>
      <c r="J3778">
        <v>5</v>
      </c>
      <c r="K3778" t="s">
        <v>41</v>
      </c>
      <c r="L3778" t="s">
        <v>18</v>
      </c>
      <c r="M3778" t="str">
        <f>VLOOKUP(D3782,Restaurant_Master!A:B,2,FALSE)</f>
        <v>https://dineout-media-assets.swiggy.com/swiggy/image/upload/fl_lossy,f_auto,q_auto/v1660793737/fdqxvxcxg1wtdwvyv45v.jpg</v>
      </c>
    </row>
    <row r="3779" spans="1:13" x14ac:dyDescent="0.3">
      <c r="A3779" t="s">
        <v>3809</v>
      </c>
      <c r="B3779" s="1">
        <v>45435</v>
      </c>
      <c r="C3779" t="s">
        <v>43</v>
      </c>
      <c r="D3779" t="s">
        <v>25</v>
      </c>
      <c r="E3779">
        <v>38</v>
      </c>
      <c r="F3779" t="s">
        <v>28</v>
      </c>
      <c r="G3779">
        <v>1155.19</v>
      </c>
      <c r="H3779">
        <v>59</v>
      </c>
      <c r="I3779" t="s">
        <v>16</v>
      </c>
      <c r="J3779">
        <v>2.9</v>
      </c>
      <c r="K3779" t="s">
        <v>41</v>
      </c>
      <c r="L3779" t="s">
        <v>23</v>
      </c>
      <c r="M3779" t="str">
        <f>VLOOKUP(D3783,Restaurant_Master!A:B,2,FALSE)</f>
        <v>https://media-cdn.tripadvisor.com/media/photo-s/1c/c7/97/b6/photo6jpg.jpg</v>
      </c>
    </row>
    <row r="3780" spans="1:13" x14ac:dyDescent="0.3">
      <c r="A3780" t="s">
        <v>3810</v>
      </c>
      <c r="B3780" s="1">
        <v>45485</v>
      </c>
      <c r="C3780" t="s">
        <v>34</v>
      </c>
      <c r="D3780" t="s">
        <v>32</v>
      </c>
      <c r="E3780">
        <v>31</v>
      </c>
      <c r="F3780" t="s">
        <v>28</v>
      </c>
      <c r="G3780">
        <v>940.44</v>
      </c>
      <c r="H3780">
        <v>45</v>
      </c>
      <c r="I3780" t="s">
        <v>16</v>
      </c>
      <c r="J3780">
        <v>3.6</v>
      </c>
      <c r="K3780" t="s">
        <v>26</v>
      </c>
      <c r="L3780" t="s">
        <v>23</v>
      </c>
      <c r="M3780" t="str">
        <f>VLOOKUP(D3784,Restaurant_Master!A:B,2,FALSE)</f>
        <v>https://content.jdmagicbox.com/comp/deoria/g6/9999p5568.5568.200119143033.m4g6/catalogue/biryani-house-deoria-ho-deoria-mktc2xph0o.jpg</v>
      </c>
    </row>
    <row r="3781" spans="1:13" x14ac:dyDescent="0.3">
      <c r="A3781" t="s">
        <v>3811</v>
      </c>
      <c r="B3781" s="1">
        <v>45386</v>
      </c>
      <c r="C3781" t="s">
        <v>34</v>
      </c>
      <c r="D3781" t="s">
        <v>32</v>
      </c>
      <c r="E3781">
        <v>51</v>
      </c>
      <c r="F3781" t="s">
        <v>28</v>
      </c>
      <c r="G3781">
        <v>856.76</v>
      </c>
      <c r="H3781">
        <v>28</v>
      </c>
      <c r="I3781" t="s">
        <v>22</v>
      </c>
      <c r="J3781">
        <v>2.9</v>
      </c>
      <c r="K3781" t="s">
        <v>26</v>
      </c>
      <c r="L3781" t="s">
        <v>23</v>
      </c>
      <c r="M3781" t="str">
        <f>VLOOKUP(D3785,Restaurant_Master!A:B,2,FALSE)</f>
        <v>https://media-cdn.tripadvisor.com/media/photo-s/1c/c7/97/b6/photo6jpg.jpg</v>
      </c>
    </row>
    <row r="3782" spans="1:13" x14ac:dyDescent="0.3">
      <c r="A3782" t="s">
        <v>3812</v>
      </c>
      <c r="B3782" s="1">
        <v>45341</v>
      </c>
      <c r="C3782" t="s">
        <v>36</v>
      </c>
      <c r="D3782" t="s">
        <v>14</v>
      </c>
      <c r="E3782">
        <v>48</v>
      </c>
      <c r="F3782" t="s">
        <v>28</v>
      </c>
      <c r="G3782">
        <v>628</v>
      </c>
      <c r="H3782">
        <v>20</v>
      </c>
      <c r="I3782" t="s">
        <v>22</v>
      </c>
      <c r="J3782">
        <v>3.7</v>
      </c>
      <c r="K3782" t="s">
        <v>29</v>
      </c>
      <c r="L3782" t="s">
        <v>18</v>
      </c>
      <c r="M3782" t="str">
        <f>VLOOKUP(D3786,Restaurant_Master!A:B,2,FALSE)</f>
        <v>https://media-cdn.tripadvisor.com/media/photo-s/1c/c7/97/b6/photo6jpg.jpg</v>
      </c>
    </row>
    <row r="3783" spans="1:13" x14ac:dyDescent="0.3">
      <c r="A3783" t="s">
        <v>3813</v>
      </c>
      <c r="B3783" s="1">
        <v>45612</v>
      </c>
      <c r="C3783" t="s">
        <v>13</v>
      </c>
      <c r="D3783" t="s">
        <v>25</v>
      </c>
      <c r="E3783">
        <v>60</v>
      </c>
      <c r="F3783" t="s">
        <v>15</v>
      </c>
      <c r="G3783">
        <v>1020.46</v>
      </c>
      <c r="H3783">
        <v>32</v>
      </c>
      <c r="I3783" t="s">
        <v>22</v>
      </c>
      <c r="J3783">
        <v>4.5</v>
      </c>
      <c r="K3783" t="s">
        <v>29</v>
      </c>
      <c r="L3783" t="s">
        <v>18</v>
      </c>
      <c r="M3783" t="str">
        <f>VLOOKUP(D3787,Restaurant_Master!A:B,2,FALSE)</f>
        <v>https://dynamic-media-cdn.tripadvisor.com/media/photo-o/1c/e7/04/0d/front-of-the-local-easily.jpg</v>
      </c>
    </row>
    <row r="3784" spans="1:13" x14ac:dyDescent="0.3">
      <c r="A3784" t="s">
        <v>3814</v>
      </c>
      <c r="B3784" s="1">
        <v>45345</v>
      </c>
      <c r="C3784" t="s">
        <v>34</v>
      </c>
      <c r="D3784" t="s">
        <v>32</v>
      </c>
      <c r="E3784">
        <v>33</v>
      </c>
      <c r="F3784" t="s">
        <v>28</v>
      </c>
      <c r="G3784">
        <v>635.45000000000005</v>
      </c>
      <c r="H3784">
        <v>58</v>
      </c>
      <c r="I3784" t="s">
        <v>16</v>
      </c>
      <c r="J3784">
        <v>2.9</v>
      </c>
      <c r="K3784" t="s">
        <v>17</v>
      </c>
      <c r="L3784" t="s">
        <v>23</v>
      </c>
      <c r="M3784" t="str">
        <f>VLOOKUP(D3788,Restaurant_Master!A:B,2,FALSE)</f>
        <v>https://dineout-media-assets.swiggy.com/swiggy/image/upload/fl_lossy,f_auto,q_auto/v1660793737/fdqxvxcxg1wtdwvyv45v.jpg</v>
      </c>
    </row>
    <row r="3785" spans="1:13" x14ac:dyDescent="0.3">
      <c r="A3785" t="s">
        <v>3815</v>
      </c>
      <c r="B3785" s="1">
        <v>45537</v>
      </c>
      <c r="C3785" t="s">
        <v>43</v>
      </c>
      <c r="D3785" t="s">
        <v>25</v>
      </c>
      <c r="E3785">
        <v>52</v>
      </c>
      <c r="F3785" t="s">
        <v>15</v>
      </c>
      <c r="G3785">
        <v>397.37</v>
      </c>
      <c r="H3785">
        <v>23</v>
      </c>
      <c r="I3785" t="s">
        <v>22</v>
      </c>
      <c r="J3785">
        <v>3.6</v>
      </c>
      <c r="K3785" t="s">
        <v>29</v>
      </c>
      <c r="L3785" t="s">
        <v>18</v>
      </c>
      <c r="M3785" t="str">
        <f>VLOOKUP(D3789,Restaurant_Master!A:B,2,FALSE)</f>
        <v>https://media-cdn.tripadvisor.com/media/photo-s/1c/c7/97/b6/photo6jpg.jpg</v>
      </c>
    </row>
    <row r="3786" spans="1:13" x14ac:dyDescent="0.3">
      <c r="A3786" t="s">
        <v>3816</v>
      </c>
      <c r="B3786" s="1">
        <v>45324</v>
      </c>
      <c r="C3786" t="s">
        <v>43</v>
      </c>
      <c r="D3786" t="s">
        <v>25</v>
      </c>
      <c r="E3786">
        <v>26</v>
      </c>
      <c r="F3786" t="s">
        <v>15</v>
      </c>
      <c r="G3786">
        <v>671.23</v>
      </c>
      <c r="H3786">
        <v>32</v>
      </c>
      <c r="I3786" t="s">
        <v>22</v>
      </c>
      <c r="J3786">
        <v>3.5</v>
      </c>
      <c r="K3786" t="s">
        <v>41</v>
      </c>
      <c r="L3786" t="s">
        <v>23</v>
      </c>
      <c r="M3786" t="str">
        <f>VLOOKUP(D3790,Restaurant_Master!A:B,2,FALSE)</f>
        <v>https://dineout-media-assets.swiggy.com/swiggy/image/upload/fl_lossy,f_auto,q_auto/v1660793737/fdqxvxcxg1wtdwvyv45v.jpg</v>
      </c>
    </row>
    <row r="3787" spans="1:13" x14ac:dyDescent="0.3">
      <c r="A3787" t="s">
        <v>3817</v>
      </c>
      <c r="B3787" s="1">
        <v>45461</v>
      </c>
      <c r="C3787" t="s">
        <v>13</v>
      </c>
      <c r="D3787" t="s">
        <v>21</v>
      </c>
      <c r="E3787">
        <v>47</v>
      </c>
      <c r="F3787" t="s">
        <v>15</v>
      </c>
      <c r="G3787">
        <v>491.78</v>
      </c>
      <c r="H3787">
        <v>46</v>
      </c>
      <c r="I3787" t="s">
        <v>16</v>
      </c>
      <c r="J3787">
        <v>3</v>
      </c>
      <c r="K3787" t="s">
        <v>41</v>
      </c>
      <c r="L3787" t="s">
        <v>23</v>
      </c>
      <c r="M3787" t="str">
        <f>VLOOKUP(D3791,Restaurant_Master!A:B,2,FALSE)</f>
        <v>https://content.jdmagicbox.com/comp/deoria/g6/9999p5568.5568.200119143033.m4g6/catalogue/biryani-house-deoria-ho-deoria-mktc2xph0o.jpg</v>
      </c>
    </row>
    <row r="3788" spans="1:13" x14ac:dyDescent="0.3">
      <c r="A3788" t="s">
        <v>3818</v>
      </c>
      <c r="B3788" s="1">
        <v>45493</v>
      </c>
      <c r="C3788" t="s">
        <v>34</v>
      </c>
      <c r="D3788" t="s">
        <v>14</v>
      </c>
      <c r="E3788">
        <v>20</v>
      </c>
      <c r="F3788" t="s">
        <v>15</v>
      </c>
      <c r="G3788">
        <v>789.09</v>
      </c>
      <c r="H3788">
        <v>39</v>
      </c>
      <c r="I3788" t="s">
        <v>22</v>
      </c>
      <c r="J3788">
        <v>4.9000000000000004</v>
      </c>
      <c r="K3788" t="s">
        <v>17</v>
      </c>
      <c r="L3788" t="s">
        <v>23</v>
      </c>
      <c r="M3788" t="str">
        <f>VLOOKUP(D3792,Restaurant_Master!A:B,2,FALSE)</f>
        <v>https://www.chatswoodinterchange.com/storages/2018/08/Sushi-World_666x448.jpg</v>
      </c>
    </row>
    <row r="3789" spans="1:13" x14ac:dyDescent="0.3">
      <c r="A3789" t="s">
        <v>3819</v>
      </c>
      <c r="B3789" s="1">
        <v>45420</v>
      </c>
      <c r="C3789" t="s">
        <v>13</v>
      </c>
      <c r="D3789" t="s">
        <v>25</v>
      </c>
      <c r="E3789">
        <v>58</v>
      </c>
      <c r="F3789" t="s">
        <v>28</v>
      </c>
      <c r="G3789">
        <v>743.4</v>
      </c>
      <c r="H3789">
        <v>49</v>
      </c>
      <c r="I3789" t="s">
        <v>16</v>
      </c>
      <c r="J3789">
        <v>3.6</v>
      </c>
      <c r="K3789" t="s">
        <v>26</v>
      </c>
      <c r="L3789" t="s">
        <v>23</v>
      </c>
      <c r="M3789" t="str">
        <f>VLOOKUP(D3793,Restaurant_Master!A:B,2,FALSE)</f>
        <v>https://media-cdn.tripadvisor.com/media/photo-s/1c/c7/97/b6/photo6jpg.jpg</v>
      </c>
    </row>
    <row r="3790" spans="1:13" x14ac:dyDescent="0.3">
      <c r="A3790" t="s">
        <v>3820</v>
      </c>
      <c r="B3790" s="1">
        <v>45507</v>
      </c>
      <c r="C3790" t="s">
        <v>43</v>
      </c>
      <c r="D3790" t="s">
        <v>14</v>
      </c>
      <c r="E3790">
        <v>50</v>
      </c>
      <c r="F3790" t="s">
        <v>28</v>
      </c>
      <c r="G3790">
        <v>888.81</v>
      </c>
      <c r="H3790">
        <v>45</v>
      </c>
      <c r="I3790" t="s">
        <v>16</v>
      </c>
      <c r="J3790">
        <v>4.0999999999999996</v>
      </c>
      <c r="K3790" t="s">
        <v>17</v>
      </c>
      <c r="L3790" t="s">
        <v>23</v>
      </c>
      <c r="M3790" t="str">
        <f>VLOOKUP(D3794,Restaurant_Master!A:B,2,FALSE)</f>
        <v>https://dineout-media-assets.swiggy.com/swiggy/image/upload/fl_lossy,f_auto,q_auto/v1660793737/fdqxvxcxg1wtdwvyv45v.jpg</v>
      </c>
    </row>
    <row r="3791" spans="1:13" x14ac:dyDescent="0.3">
      <c r="A3791" t="s">
        <v>3821</v>
      </c>
      <c r="B3791" s="1">
        <v>45637</v>
      </c>
      <c r="C3791" t="s">
        <v>36</v>
      </c>
      <c r="D3791" t="s">
        <v>32</v>
      </c>
      <c r="E3791">
        <v>27</v>
      </c>
      <c r="F3791" t="s">
        <v>28</v>
      </c>
      <c r="G3791">
        <v>610.44000000000005</v>
      </c>
      <c r="H3791">
        <v>39</v>
      </c>
      <c r="I3791" t="s">
        <v>22</v>
      </c>
      <c r="J3791">
        <v>4.5999999999999996</v>
      </c>
      <c r="K3791" t="s">
        <v>17</v>
      </c>
      <c r="L3791" t="s">
        <v>23</v>
      </c>
      <c r="M3791" t="str">
        <f>VLOOKUP(D3795,Restaurant_Master!A:B,2,FALSE)</f>
        <v>https://www.chatswoodinterchange.com/storages/2018/08/Sushi-World_666x448.jpg</v>
      </c>
    </row>
    <row r="3792" spans="1:13" x14ac:dyDescent="0.3">
      <c r="A3792" t="s">
        <v>3822</v>
      </c>
      <c r="B3792" s="1">
        <v>45294</v>
      </c>
      <c r="C3792" t="s">
        <v>36</v>
      </c>
      <c r="D3792" t="s">
        <v>38</v>
      </c>
      <c r="E3792">
        <v>48</v>
      </c>
      <c r="F3792" t="s">
        <v>28</v>
      </c>
      <c r="G3792">
        <v>956.71</v>
      </c>
      <c r="H3792">
        <v>58</v>
      </c>
      <c r="I3792" t="s">
        <v>16</v>
      </c>
      <c r="J3792">
        <v>4.2</v>
      </c>
      <c r="K3792" t="s">
        <v>29</v>
      </c>
      <c r="L3792" t="s">
        <v>18</v>
      </c>
      <c r="M3792" t="str">
        <f>VLOOKUP(D3796,Restaurant_Master!A:B,2,FALSE)</f>
        <v>https://media-cdn.tripadvisor.com/media/photo-s/1c/c7/97/b6/photo6jpg.jpg</v>
      </c>
    </row>
    <row r="3793" spans="1:13" x14ac:dyDescent="0.3">
      <c r="A3793" t="s">
        <v>3823</v>
      </c>
      <c r="B3793" s="1">
        <v>45325</v>
      </c>
      <c r="C3793" t="s">
        <v>20</v>
      </c>
      <c r="D3793" t="s">
        <v>25</v>
      </c>
      <c r="E3793">
        <v>55</v>
      </c>
      <c r="F3793" t="s">
        <v>15</v>
      </c>
      <c r="G3793">
        <v>488.34</v>
      </c>
      <c r="H3793">
        <v>26</v>
      </c>
      <c r="I3793" t="s">
        <v>22</v>
      </c>
      <c r="J3793">
        <v>2.7</v>
      </c>
      <c r="K3793" t="s">
        <v>29</v>
      </c>
      <c r="L3793" t="s">
        <v>18</v>
      </c>
      <c r="M3793" t="str">
        <f>VLOOKUP(D3797,Restaurant_Master!A:B,2,FALSE)</f>
        <v>https://dineout-media-assets.swiggy.com/swiggy/image/upload/fl_lossy,f_auto,q_auto/v1660793737/fdqxvxcxg1wtdwvyv45v.jpg</v>
      </c>
    </row>
    <row r="3794" spans="1:13" x14ac:dyDescent="0.3">
      <c r="A3794" t="s">
        <v>3824</v>
      </c>
      <c r="B3794" s="1">
        <v>45475</v>
      </c>
      <c r="C3794" t="s">
        <v>13</v>
      </c>
      <c r="D3794" t="s">
        <v>14</v>
      </c>
      <c r="E3794">
        <v>58</v>
      </c>
      <c r="F3794" t="s">
        <v>15</v>
      </c>
      <c r="G3794">
        <v>702.29</v>
      </c>
      <c r="H3794">
        <v>56</v>
      </c>
      <c r="I3794" t="s">
        <v>16</v>
      </c>
      <c r="J3794">
        <v>2.6</v>
      </c>
      <c r="K3794" t="s">
        <v>41</v>
      </c>
      <c r="L3794" t="s">
        <v>18</v>
      </c>
      <c r="M3794" t="str">
        <f>VLOOKUP(D3798,Restaurant_Master!A:B,2,FALSE)</f>
        <v>https://dineout-media-assets.swiggy.com/swiggy/image/upload/fl_lossy,f_auto,q_auto/v1660793737/fdqxvxcxg1wtdwvyv45v.jpg</v>
      </c>
    </row>
    <row r="3795" spans="1:13" x14ac:dyDescent="0.3">
      <c r="A3795" t="s">
        <v>3825</v>
      </c>
      <c r="B3795" s="1">
        <v>45465</v>
      </c>
      <c r="C3795" t="s">
        <v>36</v>
      </c>
      <c r="D3795" t="s">
        <v>38</v>
      </c>
      <c r="E3795">
        <v>29</v>
      </c>
      <c r="F3795" t="s">
        <v>15</v>
      </c>
      <c r="G3795">
        <v>1117.44</v>
      </c>
      <c r="H3795">
        <v>34</v>
      </c>
      <c r="I3795" t="s">
        <v>22</v>
      </c>
      <c r="J3795">
        <v>4.8</v>
      </c>
      <c r="K3795" t="s">
        <v>41</v>
      </c>
      <c r="L3795" t="s">
        <v>18</v>
      </c>
      <c r="M3795" t="str">
        <f>VLOOKUP(D3799,Restaurant_Master!A:B,2,FALSE)</f>
        <v>https://media-cdn.tripadvisor.com/media/photo-s/1c/c7/97/b6/photo6jpg.jpg</v>
      </c>
    </row>
    <row r="3796" spans="1:13" x14ac:dyDescent="0.3">
      <c r="A3796" t="s">
        <v>3826</v>
      </c>
      <c r="B3796" s="1">
        <v>45459</v>
      </c>
      <c r="C3796" t="s">
        <v>36</v>
      </c>
      <c r="D3796" t="s">
        <v>25</v>
      </c>
      <c r="E3796">
        <v>27</v>
      </c>
      <c r="F3796" t="s">
        <v>15</v>
      </c>
      <c r="G3796">
        <v>663.51</v>
      </c>
      <c r="H3796">
        <v>29</v>
      </c>
      <c r="I3796" t="s">
        <v>22</v>
      </c>
      <c r="J3796">
        <v>2.8</v>
      </c>
      <c r="K3796" t="s">
        <v>26</v>
      </c>
      <c r="L3796" t="s">
        <v>18</v>
      </c>
      <c r="M3796" t="str">
        <f>VLOOKUP(D3800,Restaurant_Master!A:B,2,FALSE)</f>
        <v>https://www.chatswoodinterchange.com/storages/2018/08/Sushi-World_666x448.jpg</v>
      </c>
    </row>
    <row r="3797" spans="1:13" x14ac:dyDescent="0.3">
      <c r="A3797" t="s">
        <v>3827</v>
      </c>
      <c r="B3797" s="1">
        <v>45655</v>
      </c>
      <c r="C3797" t="s">
        <v>36</v>
      </c>
      <c r="D3797" t="s">
        <v>14</v>
      </c>
      <c r="E3797">
        <v>23</v>
      </c>
      <c r="F3797" t="s">
        <v>15</v>
      </c>
      <c r="G3797">
        <v>847.66</v>
      </c>
      <c r="H3797">
        <v>42</v>
      </c>
      <c r="I3797" t="s">
        <v>16</v>
      </c>
      <c r="J3797">
        <v>4.2</v>
      </c>
      <c r="K3797" t="s">
        <v>26</v>
      </c>
      <c r="L3797" t="s">
        <v>23</v>
      </c>
      <c r="M3797" t="str">
        <f>VLOOKUP(D3801,Restaurant_Master!A:B,2,FALSE)</f>
        <v>https://content.jdmagicbox.com/comp/deoria/g6/9999p5568.5568.200119143033.m4g6/catalogue/biryani-house-deoria-ho-deoria-mktc2xph0o.jpg</v>
      </c>
    </row>
    <row r="3798" spans="1:13" x14ac:dyDescent="0.3">
      <c r="A3798" t="s">
        <v>3828</v>
      </c>
      <c r="B3798" s="1">
        <v>45359</v>
      </c>
      <c r="C3798" t="s">
        <v>43</v>
      </c>
      <c r="D3798" t="s">
        <v>14</v>
      </c>
      <c r="E3798">
        <v>23</v>
      </c>
      <c r="F3798" t="s">
        <v>28</v>
      </c>
      <c r="G3798">
        <v>437.64</v>
      </c>
      <c r="H3798">
        <v>43</v>
      </c>
      <c r="I3798" t="s">
        <v>16</v>
      </c>
      <c r="J3798">
        <v>2.8</v>
      </c>
      <c r="K3798" t="s">
        <v>26</v>
      </c>
      <c r="L3798" t="s">
        <v>18</v>
      </c>
      <c r="M3798" t="str">
        <f>VLOOKUP(D3802,Restaurant_Master!A:B,2,FALSE)</f>
        <v>https://dineout-media-assets.swiggy.com/swiggy/image/upload/fl_lossy,f_auto,q_auto/v1660793737/fdqxvxcxg1wtdwvyv45v.jpg</v>
      </c>
    </row>
    <row r="3799" spans="1:13" x14ac:dyDescent="0.3">
      <c r="A3799" t="s">
        <v>3829</v>
      </c>
      <c r="B3799" s="1">
        <v>45552</v>
      </c>
      <c r="C3799" t="s">
        <v>20</v>
      </c>
      <c r="D3799" t="s">
        <v>25</v>
      </c>
      <c r="E3799">
        <v>30</v>
      </c>
      <c r="F3799" t="s">
        <v>28</v>
      </c>
      <c r="G3799">
        <v>1162.58</v>
      </c>
      <c r="H3799">
        <v>43</v>
      </c>
      <c r="I3799" t="s">
        <v>16</v>
      </c>
      <c r="J3799">
        <v>4.5999999999999996</v>
      </c>
      <c r="K3799" t="s">
        <v>17</v>
      </c>
      <c r="L3799" t="s">
        <v>18</v>
      </c>
      <c r="M3799" t="str">
        <f>VLOOKUP(D3803,Restaurant_Master!A:B,2,FALSE)</f>
        <v>https://dynamic-media-cdn.tripadvisor.com/media/photo-o/1c/e7/04/0d/front-of-the-local-easily.jpg</v>
      </c>
    </row>
    <row r="3800" spans="1:13" x14ac:dyDescent="0.3">
      <c r="A3800" t="s">
        <v>3830</v>
      </c>
      <c r="B3800" s="1">
        <v>45338</v>
      </c>
      <c r="C3800" t="s">
        <v>34</v>
      </c>
      <c r="D3800" t="s">
        <v>38</v>
      </c>
      <c r="E3800">
        <v>56</v>
      </c>
      <c r="F3800" t="s">
        <v>28</v>
      </c>
      <c r="G3800">
        <v>291.23</v>
      </c>
      <c r="H3800">
        <v>30</v>
      </c>
      <c r="I3800" t="s">
        <v>22</v>
      </c>
      <c r="J3800">
        <v>4</v>
      </c>
      <c r="K3800" t="s">
        <v>29</v>
      </c>
      <c r="L3800" t="s">
        <v>18</v>
      </c>
      <c r="M3800" t="str">
        <f>VLOOKUP(D3804,Restaurant_Master!A:B,2,FALSE)</f>
        <v>https://dynamic-media-cdn.tripadvisor.com/media/photo-o/1c/e7/04/0d/front-of-the-local-easily.jpg</v>
      </c>
    </row>
    <row r="3801" spans="1:13" x14ac:dyDescent="0.3">
      <c r="A3801" t="s">
        <v>3831</v>
      </c>
      <c r="B3801" s="1">
        <v>45647</v>
      </c>
      <c r="C3801" t="s">
        <v>36</v>
      </c>
      <c r="D3801" t="s">
        <v>32</v>
      </c>
      <c r="E3801">
        <v>47</v>
      </c>
      <c r="F3801" t="s">
        <v>28</v>
      </c>
      <c r="G3801">
        <v>1150.24</v>
      </c>
      <c r="H3801">
        <v>55</v>
      </c>
      <c r="I3801" t="s">
        <v>16</v>
      </c>
      <c r="J3801">
        <v>4.8</v>
      </c>
      <c r="K3801" t="s">
        <v>29</v>
      </c>
      <c r="L3801" t="s">
        <v>18</v>
      </c>
      <c r="M3801" t="str">
        <f>VLOOKUP(D3805,Restaurant_Master!A:B,2,FALSE)</f>
        <v>https://www.chatswoodinterchange.com/storages/2018/08/Sushi-World_666x448.jpg</v>
      </c>
    </row>
    <row r="3802" spans="1:13" x14ac:dyDescent="0.3">
      <c r="A3802" t="s">
        <v>3832</v>
      </c>
      <c r="B3802" s="1">
        <v>45456</v>
      </c>
      <c r="C3802" t="s">
        <v>34</v>
      </c>
      <c r="D3802" t="s">
        <v>14</v>
      </c>
      <c r="E3802">
        <v>19</v>
      </c>
      <c r="F3802" t="s">
        <v>15</v>
      </c>
      <c r="G3802">
        <v>487.03</v>
      </c>
      <c r="H3802">
        <v>22</v>
      </c>
      <c r="I3802" t="s">
        <v>22</v>
      </c>
      <c r="J3802">
        <v>4.3</v>
      </c>
      <c r="K3802" t="s">
        <v>17</v>
      </c>
      <c r="L3802" t="s">
        <v>23</v>
      </c>
      <c r="M3802" t="str">
        <f>VLOOKUP(D3806,Restaurant_Master!A:B,2,FALSE)</f>
        <v>https://dynamic-media-cdn.tripadvisor.com/media/photo-o/1c/e7/04/0d/front-of-the-local-easily.jpg</v>
      </c>
    </row>
    <row r="3803" spans="1:13" x14ac:dyDescent="0.3">
      <c r="A3803" t="s">
        <v>3833</v>
      </c>
      <c r="B3803" s="1">
        <v>45638</v>
      </c>
      <c r="C3803" t="s">
        <v>43</v>
      </c>
      <c r="D3803" t="s">
        <v>21</v>
      </c>
      <c r="E3803">
        <v>41</v>
      </c>
      <c r="F3803" t="s">
        <v>28</v>
      </c>
      <c r="G3803">
        <v>308.89999999999998</v>
      </c>
      <c r="H3803">
        <v>43</v>
      </c>
      <c r="I3803" t="s">
        <v>16</v>
      </c>
      <c r="J3803">
        <v>4.5</v>
      </c>
      <c r="K3803" t="s">
        <v>17</v>
      </c>
      <c r="L3803" t="s">
        <v>23</v>
      </c>
      <c r="M3803" t="str">
        <f>VLOOKUP(D3807,Restaurant_Master!A:B,2,FALSE)</f>
        <v>https://content.jdmagicbox.com/comp/deoria/g6/9999p5568.5568.200119143033.m4g6/catalogue/biryani-house-deoria-ho-deoria-mktc2xph0o.jpg</v>
      </c>
    </row>
    <row r="3804" spans="1:13" x14ac:dyDescent="0.3">
      <c r="A3804" t="s">
        <v>3834</v>
      </c>
      <c r="B3804" s="1">
        <v>45343</v>
      </c>
      <c r="C3804" t="s">
        <v>13</v>
      </c>
      <c r="D3804" t="s">
        <v>21</v>
      </c>
      <c r="E3804">
        <v>46</v>
      </c>
      <c r="F3804" t="s">
        <v>28</v>
      </c>
      <c r="G3804">
        <v>1161.8900000000001</v>
      </c>
      <c r="H3804">
        <v>37</v>
      </c>
      <c r="I3804" t="s">
        <v>22</v>
      </c>
      <c r="J3804">
        <v>2.8</v>
      </c>
      <c r="K3804" t="s">
        <v>17</v>
      </c>
      <c r="L3804" t="s">
        <v>18</v>
      </c>
      <c r="M3804" t="str">
        <f>VLOOKUP(D3808,Restaurant_Master!A:B,2,FALSE)</f>
        <v>https://www.chatswoodinterchange.com/storages/2018/08/Sushi-World_666x448.jpg</v>
      </c>
    </row>
    <row r="3805" spans="1:13" x14ac:dyDescent="0.3">
      <c r="A3805" t="s">
        <v>3835</v>
      </c>
      <c r="B3805" s="1">
        <v>45612</v>
      </c>
      <c r="C3805" t="s">
        <v>34</v>
      </c>
      <c r="D3805" t="s">
        <v>38</v>
      </c>
      <c r="E3805">
        <v>55</v>
      </c>
      <c r="F3805" t="s">
        <v>28</v>
      </c>
      <c r="G3805">
        <v>1052.56</v>
      </c>
      <c r="H3805">
        <v>44</v>
      </c>
      <c r="I3805" t="s">
        <v>16</v>
      </c>
      <c r="J3805">
        <v>4.8</v>
      </c>
      <c r="K3805" t="s">
        <v>29</v>
      </c>
      <c r="L3805" t="s">
        <v>23</v>
      </c>
      <c r="M3805" t="str">
        <f>VLOOKUP(D3809,Restaurant_Master!A:B,2,FALSE)</f>
        <v>https://dynamic-media-cdn.tripadvisor.com/media/photo-o/1c/e7/04/0d/front-of-the-local-easily.jpg</v>
      </c>
    </row>
    <row r="3806" spans="1:13" x14ac:dyDescent="0.3">
      <c r="A3806" t="s">
        <v>3836</v>
      </c>
      <c r="B3806" s="1">
        <v>45514</v>
      </c>
      <c r="C3806" t="s">
        <v>34</v>
      </c>
      <c r="D3806" t="s">
        <v>21</v>
      </c>
      <c r="E3806">
        <v>47</v>
      </c>
      <c r="F3806" t="s">
        <v>28</v>
      </c>
      <c r="G3806">
        <v>486.75</v>
      </c>
      <c r="H3806">
        <v>58</v>
      </c>
      <c r="I3806" t="s">
        <v>16</v>
      </c>
      <c r="J3806">
        <v>4.7</v>
      </c>
      <c r="K3806" t="s">
        <v>17</v>
      </c>
      <c r="L3806" t="s">
        <v>23</v>
      </c>
      <c r="M3806" t="str">
        <f>VLOOKUP(D3810,Restaurant_Master!A:B,2,FALSE)</f>
        <v>https://www.chatswoodinterchange.com/storages/2018/08/Sushi-World_666x448.jpg</v>
      </c>
    </row>
    <row r="3807" spans="1:13" x14ac:dyDescent="0.3">
      <c r="A3807" t="s">
        <v>3837</v>
      </c>
      <c r="B3807" s="1">
        <v>45507</v>
      </c>
      <c r="C3807" t="s">
        <v>36</v>
      </c>
      <c r="D3807" t="s">
        <v>32</v>
      </c>
      <c r="E3807">
        <v>27</v>
      </c>
      <c r="F3807" t="s">
        <v>28</v>
      </c>
      <c r="G3807">
        <v>572.28</v>
      </c>
      <c r="H3807">
        <v>23</v>
      </c>
      <c r="I3807" t="s">
        <v>22</v>
      </c>
      <c r="J3807">
        <v>3.6</v>
      </c>
      <c r="K3807" t="s">
        <v>41</v>
      </c>
      <c r="L3807" t="s">
        <v>23</v>
      </c>
      <c r="M3807" t="str">
        <f>VLOOKUP(D3811,Restaurant_Master!A:B,2,FALSE)</f>
        <v>https://content.jdmagicbox.com/comp/deoria/g6/9999p5568.5568.200119143033.m4g6/catalogue/biryani-house-deoria-ho-deoria-mktc2xph0o.jpg</v>
      </c>
    </row>
    <row r="3808" spans="1:13" x14ac:dyDescent="0.3">
      <c r="A3808" t="s">
        <v>3838</v>
      </c>
      <c r="B3808" s="1">
        <v>45406</v>
      </c>
      <c r="C3808" t="s">
        <v>34</v>
      </c>
      <c r="D3808" t="s">
        <v>38</v>
      </c>
      <c r="E3808">
        <v>41</v>
      </c>
      <c r="F3808" t="s">
        <v>15</v>
      </c>
      <c r="G3808">
        <v>819.59</v>
      </c>
      <c r="H3808">
        <v>43</v>
      </c>
      <c r="I3808" t="s">
        <v>16</v>
      </c>
      <c r="J3808">
        <v>4.4000000000000004</v>
      </c>
      <c r="K3808" t="s">
        <v>26</v>
      </c>
      <c r="L3808" t="s">
        <v>18</v>
      </c>
      <c r="M3808" t="str">
        <f>VLOOKUP(D3812,Restaurant_Master!A:B,2,FALSE)</f>
        <v>https://media-cdn.tripadvisor.com/media/photo-s/1c/c7/97/b6/photo6jpg.jpg</v>
      </c>
    </row>
    <row r="3809" spans="1:13" x14ac:dyDescent="0.3">
      <c r="A3809" t="s">
        <v>3839</v>
      </c>
      <c r="B3809" s="1">
        <v>45326</v>
      </c>
      <c r="C3809" t="s">
        <v>36</v>
      </c>
      <c r="D3809" t="s">
        <v>21</v>
      </c>
      <c r="E3809">
        <v>35</v>
      </c>
      <c r="F3809" t="s">
        <v>28</v>
      </c>
      <c r="G3809">
        <v>1058.6199999999999</v>
      </c>
      <c r="H3809">
        <v>25</v>
      </c>
      <c r="I3809" t="s">
        <v>22</v>
      </c>
      <c r="J3809">
        <v>4.2</v>
      </c>
      <c r="K3809" t="s">
        <v>26</v>
      </c>
      <c r="L3809" t="s">
        <v>23</v>
      </c>
      <c r="M3809" t="str">
        <f>VLOOKUP(D3813,Restaurant_Master!A:B,2,FALSE)</f>
        <v>https://www.chatswoodinterchange.com/storages/2018/08/Sushi-World_666x448.jpg</v>
      </c>
    </row>
    <row r="3810" spans="1:13" x14ac:dyDescent="0.3">
      <c r="A3810" t="s">
        <v>3840</v>
      </c>
      <c r="B3810" s="1">
        <v>45416</v>
      </c>
      <c r="C3810" t="s">
        <v>34</v>
      </c>
      <c r="D3810" t="s">
        <v>38</v>
      </c>
      <c r="E3810">
        <v>42</v>
      </c>
      <c r="F3810" t="s">
        <v>28</v>
      </c>
      <c r="G3810">
        <v>732.48</v>
      </c>
      <c r="H3810">
        <v>47</v>
      </c>
      <c r="I3810" t="s">
        <v>16</v>
      </c>
      <c r="J3810">
        <v>3.2</v>
      </c>
      <c r="K3810" t="s">
        <v>26</v>
      </c>
      <c r="L3810" t="s">
        <v>18</v>
      </c>
      <c r="M3810" t="str">
        <f>VLOOKUP(D3814,Restaurant_Master!A:B,2,FALSE)</f>
        <v>https://dineout-media-assets.swiggy.com/swiggy/image/upload/fl_lossy,f_auto,q_auto/v1660793737/fdqxvxcxg1wtdwvyv45v.jpg</v>
      </c>
    </row>
    <row r="3811" spans="1:13" x14ac:dyDescent="0.3">
      <c r="A3811" t="s">
        <v>3841</v>
      </c>
      <c r="B3811" s="1">
        <v>45563</v>
      </c>
      <c r="C3811" t="s">
        <v>36</v>
      </c>
      <c r="D3811" t="s">
        <v>32</v>
      </c>
      <c r="E3811">
        <v>18</v>
      </c>
      <c r="F3811" t="s">
        <v>15</v>
      </c>
      <c r="G3811">
        <v>801.03</v>
      </c>
      <c r="H3811">
        <v>26</v>
      </c>
      <c r="I3811" t="s">
        <v>22</v>
      </c>
      <c r="J3811">
        <v>4.3</v>
      </c>
      <c r="K3811" t="s">
        <v>17</v>
      </c>
      <c r="L3811" t="s">
        <v>18</v>
      </c>
      <c r="M3811" t="str">
        <f>VLOOKUP(D3815,Restaurant_Master!A:B,2,FALSE)</f>
        <v>https://content.jdmagicbox.com/comp/deoria/g6/9999p5568.5568.200119143033.m4g6/catalogue/biryani-house-deoria-ho-deoria-mktc2xph0o.jpg</v>
      </c>
    </row>
    <row r="3812" spans="1:13" x14ac:dyDescent="0.3">
      <c r="A3812" t="s">
        <v>3842</v>
      </c>
      <c r="B3812" s="1">
        <v>45464</v>
      </c>
      <c r="C3812" t="s">
        <v>36</v>
      </c>
      <c r="D3812" t="s">
        <v>25</v>
      </c>
      <c r="E3812">
        <v>32</v>
      </c>
      <c r="F3812" t="s">
        <v>15</v>
      </c>
      <c r="G3812">
        <v>559.80999999999995</v>
      </c>
      <c r="H3812">
        <v>47</v>
      </c>
      <c r="I3812" t="s">
        <v>16</v>
      </c>
      <c r="J3812">
        <v>3.6</v>
      </c>
      <c r="K3812" t="s">
        <v>26</v>
      </c>
      <c r="L3812" t="s">
        <v>18</v>
      </c>
      <c r="M3812" t="str">
        <f>VLOOKUP(D3816,Restaurant_Master!A:B,2,FALSE)</f>
        <v>https://media-cdn.tripadvisor.com/media/photo-s/1c/c7/97/b6/photo6jpg.jpg</v>
      </c>
    </row>
    <row r="3813" spans="1:13" x14ac:dyDescent="0.3">
      <c r="A3813" t="s">
        <v>3843</v>
      </c>
      <c r="B3813" s="1">
        <v>45558</v>
      </c>
      <c r="C3813" t="s">
        <v>34</v>
      </c>
      <c r="D3813" t="s">
        <v>38</v>
      </c>
      <c r="E3813">
        <v>31</v>
      </c>
      <c r="F3813" t="s">
        <v>28</v>
      </c>
      <c r="G3813">
        <v>447.33</v>
      </c>
      <c r="H3813">
        <v>39</v>
      </c>
      <c r="I3813" t="s">
        <v>22</v>
      </c>
      <c r="J3813">
        <v>3.4</v>
      </c>
      <c r="K3813" t="s">
        <v>26</v>
      </c>
      <c r="L3813" t="s">
        <v>23</v>
      </c>
      <c r="M3813" t="str">
        <f>VLOOKUP(D3817,Restaurant_Master!A:B,2,FALSE)</f>
        <v>https://media-cdn.tripadvisor.com/media/photo-s/1c/c7/97/b6/photo6jpg.jpg</v>
      </c>
    </row>
    <row r="3814" spans="1:13" x14ac:dyDescent="0.3">
      <c r="A3814" t="s">
        <v>3844</v>
      </c>
      <c r="B3814" s="1">
        <v>45556</v>
      </c>
      <c r="C3814" t="s">
        <v>36</v>
      </c>
      <c r="D3814" t="s">
        <v>14</v>
      </c>
      <c r="E3814">
        <v>50</v>
      </c>
      <c r="F3814" t="s">
        <v>15</v>
      </c>
      <c r="G3814">
        <v>1075.3900000000001</v>
      </c>
      <c r="H3814">
        <v>60</v>
      </c>
      <c r="I3814" t="s">
        <v>16</v>
      </c>
      <c r="J3814">
        <v>4.4000000000000004</v>
      </c>
      <c r="K3814" t="s">
        <v>26</v>
      </c>
      <c r="L3814" t="s">
        <v>23</v>
      </c>
      <c r="M3814" t="str">
        <f>VLOOKUP(D3818,Restaurant_Master!A:B,2,FALSE)</f>
        <v>https://dynamic-media-cdn.tripadvisor.com/media/photo-o/1c/e7/04/0d/front-of-the-local-easily.jpg</v>
      </c>
    </row>
    <row r="3815" spans="1:13" x14ac:dyDescent="0.3">
      <c r="A3815" t="s">
        <v>3845</v>
      </c>
      <c r="B3815" s="1">
        <v>45561</v>
      </c>
      <c r="C3815" t="s">
        <v>36</v>
      </c>
      <c r="D3815" t="s">
        <v>32</v>
      </c>
      <c r="E3815">
        <v>58</v>
      </c>
      <c r="F3815" t="s">
        <v>15</v>
      </c>
      <c r="G3815">
        <v>503.89</v>
      </c>
      <c r="H3815">
        <v>50</v>
      </c>
      <c r="I3815" t="s">
        <v>16</v>
      </c>
      <c r="J3815">
        <v>3</v>
      </c>
      <c r="K3815" t="s">
        <v>26</v>
      </c>
      <c r="L3815" t="s">
        <v>23</v>
      </c>
      <c r="M3815" t="str">
        <f>VLOOKUP(D3819,Restaurant_Master!A:B,2,FALSE)</f>
        <v>https://content.jdmagicbox.com/comp/deoria/g6/9999p5568.5568.200119143033.m4g6/catalogue/biryani-house-deoria-ho-deoria-mktc2xph0o.jpg</v>
      </c>
    </row>
    <row r="3816" spans="1:13" x14ac:dyDescent="0.3">
      <c r="A3816" t="s">
        <v>3846</v>
      </c>
      <c r="B3816" s="1">
        <v>45362</v>
      </c>
      <c r="C3816" t="s">
        <v>13</v>
      </c>
      <c r="D3816" t="s">
        <v>25</v>
      </c>
      <c r="E3816">
        <v>34</v>
      </c>
      <c r="F3816" t="s">
        <v>15</v>
      </c>
      <c r="G3816">
        <v>261.39</v>
      </c>
      <c r="H3816">
        <v>40</v>
      </c>
      <c r="I3816" t="s">
        <v>22</v>
      </c>
      <c r="J3816">
        <v>3.1</v>
      </c>
      <c r="K3816" t="s">
        <v>17</v>
      </c>
      <c r="L3816" t="s">
        <v>23</v>
      </c>
      <c r="M3816" t="str">
        <f>VLOOKUP(D3820,Restaurant_Master!A:B,2,FALSE)</f>
        <v>https://dineout-media-assets.swiggy.com/swiggy/image/upload/fl_lossy,f_auto,q_auto/v1660793737/fdqxvxcxg1wtdwvyv45v.jpg</v>
      </c>
    </row>
    <row r="3817" spans="1:13" x14ac:dyDescent="0.3">
      <c r="A3817" t="s">
        <v>3847</v>
      </c>
      <c r="B3817" s="1">
        <v>45530</v>
      </c>
      <c r="C3817" t="s">
        <v>13</v>
      </c>
      <c r="D3817" t="s">
        <v>25</v>
      </c>
      <c r="E3817">
        <v>28</v>
      </c>
      <c r="F3817" t="s">
        <v>28</v>
      </c>
      <c r="G3817">
        <v>1135.48</v>
      </c>
      <c r="H3817">
        <v>45</v>
      </c>
      <c r="I3817" t="s">
        <v>16</v>
      </c>
      <c r="J3817">
        <v>4.4000000000000004</v>
      </c>
      <c r="K3817" t="s">
        <v>41</v>
      </c>
      <c r="L3817" t="s">
        <v>18</v>
      </c>
      <c r="M3817" t="str">
        <f>VLOOKUP(D3821,Restaurant_Master!A:B,2,FALSE)</f>
        <v>https://dineout-media-assets.swiggy.com/swiggy/image/upload/fl_lossy,f_auto,q_auto/v1660793737/fdqxvxcxg1wtdwvyv45v.jpg</v>
      </c>
    </row>
    <row r="3818" spans="1:13" x14ac:dyDescent="0.3">
      <c r="A3818" t="s">
        <v>3848</v>
      </c>
      <c r="B3818" s="1">
        <v>45512</v>
      </c>
      <c r="C3818" t="s">
        <v>13</v>
      </c>
      <c r="D3818" t="s">
        <v>21</v>
      </c>
      <c r="E3818">
        <v>52</v>
      </c>
      <c r="F3818" t="s">
        <v>15</v>
      </c>
      <c r="G3818">
        <v>202.28</v>
      </c>
      <c r="H3818">
        <v>32</v>
      </c>
      <c r="I3818" t="s">
        <v>22</v>
      </c>
      <c r="J3818">
        <v>3.3</v>
      </c>
      <c r="K3818" t="s">
        <v>17</v>
      </c>
      <c r="L3818" t="s">
        <v>18</v>
      </c>
      <c r="M3818" t="str">
        <f>VLOOKUP(D3822,Restaurant_Master!A:B,2,FALSE)</f>
        <v>https://dineout-media-assets.swiggy.com/swiggy/image/upload/fl_lossy,f_auto,q_auto/v1660793737/fdqxvxcxg1wtdwvyv45v.jpg</v>
      </c>
    </row>
    <row r="3819" spans="1:13" x14ac:dyDescent="0.3">
      <c r="A3819" t="s">
        <v>3849</v>
      </c>
      <c r="B3819" s="1">
        <v>45543</v>
      </c>
      <c r="C3819" t="s">
        <v>36</v>
      </c>
      <c r="D3819" t="s">
        <v>32</v>
      </c>
      <c r="E3819">
        <v>20</v>
      </c>
      <c r="F3819" t="s">
        <v>15</v>
      </c>
      <c r="G3819">
        <v>415.87</v>
      </c>
      <c r="H3819">
        <v>43</v>
      </c>
      <c r="I3819" t="s">
        <v>16</v>
      </c>
      <c r="J3819">
        <v>2.9</v>
      </c>
      <c r="K3819" t="s">
        <v>17</v>
      </c>
      <c r="L3819" t="s">
        <v>23</v>
      </c>
      <c r="M3819" t="str">
        <f>VLOOKUP(D3823,Restaurant_Master!A:B,2,FALSE)</f>
        <v>https://content.jdmagicbox.com/comp/deoria/g6/9999p5568.5568.200119143033.m4g6/catalogue/biryani-house-deoria-ho-deoria-mktc2xph0o.jpg</v>
      </c>
    </row>
    <row r="3820" spans="1:13" x14ac:dyDescent="0.3">
      <c r="A3820" t="s">
        <v>3850</v>
      </c>
      <c r="B3820" s="1">
        <v>45632</v>
      </c>
      <c r="C3820" t="s">
        <v>43</v>
      </c>
      <c r="D3820" t="s">
        <v>14</v>
      </c>
      <c r="E3820">
        <v>29</v>
      </c>
      <c r="F3820" t="s">
        <v>15</v>
      </c>
      <c r="G3820">
        <v>952.84</v>
      </c>
      <c r="H3820">
        <v>28</v>
      </c>
      <c r="I3820" t="s">
        <v>22</v>
      </c>
      <c r="J3820">
        <v>3.2</v>
      </c>
      <c r="K3820" t="s">
        <v>41</v>
      </c>
      <c r="L3820" t="s">
        <v>23</v>
      </c>
      <c r="M3820" t="str">
        <f>VLOOKUP(D3824,Restaurant_Master!A:B,2,FALSE)</f>
        <v>https://media-cdn.tripadvisor.com/media/photo-s/1c/c7/97/b6/photo6jpg.jpg</v>
      </c>
    </row>
    <row r="3821" spans="1:13" x14ac:dyDescent="0.3">
      <c r="A3821" t="s">
        <v>3851</v>
      </c>
      <c r="B3821" s="1">
        <v>45481</v>
      </c>
      <c r="C3821" t="s">
        <v>13</v>
      </c>
      <c r="D3821" t="s">
        <v>14</v>
      </c>
      <c r="E3821">
        <v>36</v>
      </c>
      <c r="F3821" t="s">
        <v>28</v>
      </c>
      <c r="G3821">
        <v>212.5</v>
      </c>
      <c r="H3821">
        <v>54</v>
      </c>
      <c r="I3821" t="s">
        <v>16</v>
      </c>
      <c r="J3821">
        <v>4.4000000000000004</v>
      </c>
      <c r="K3821" t="s">
        <v>17</v>
      </c>
      <c r="L3821" t="s">
        <v>23</v>
      </c>
      <c r="M3821" t="str">
        <f>VLOOKUP(D3825,Restaurant_Master!A:B,2,FALSE)</f>
        <v>https://www.chatswoodinterchange.com/storages/2018/08/Sushi-World_666x448.jpg</v>
      </c>
    </row>
    <row r="3822" spans="1:13" x14ac:dyDescent="0.3">
      <c r="A3822" t="s">
        <v>3852</v>
      </c>
      <c r="B3822" s="1">
        <v>45413</v>
      </c>
      <c r="C3822" t="s">
        <v>13</v>
      </c>
      <c r="D3822" t="s">
        <v>14</v>
      </c>
      <c r="E3822">
        <v>40</v>
      </c>
      <c r="F3822" t="s">
        <v>28</v>
      </c>
      <c r="G3822">
        <v>863.83</v>
      </c>
      <c r="H3822">
        <v>38</v>
      </c>
      <c r="I3822" t="s">
        <v>22</v>
      </c>
      <c r="J3822">
        <v>4.5</v>
      </c>
      <c r="K3822" t="s">
        <v>41</v>
      </c>
      <c r="L3822" t="s">
        <v>23</v>
      </c>
      <c r="M3822" t="str">
        <f>VLOOKUP(D3826,Restaurant_Master!A:B,2,FALSE)</f>
        <v>https://dineout-media-assets.swiggy.com/swiggy/image/upload/fl_lossy,f_auto,q_auto/v1660793737/fdqxvxcxg1wtdwvyv45v.jpg</v>
      </c>
    </row>
    <row r="3823" spans="1:13" x14ac:dyDescent="0.3">
      <c r="A3823" t="s">
        <v>3853</v>
      </c>
      <c r="B3823" s="1">
        <v>45647</v>
      </c>
      <c r="C3823" t="s">
        <v>20</v>
      </c>
      <c r="D3823" t="s">
        <v>32</v>
      </c>
      <c r="E3823">
        <v>48</v>
      </c>
      <c r="F3823" t="s">
        <v>28</v>
      </c>
      <c r="G3823">
        <v>427.87</v>
      </c>
      <c r="H3823">
        <v>51</v>
      </c>
      <c r="I3823" t="s">
        <v>16</v>
      </c>
      <c r="J3823">
        <v>4.7</v>
      </c>
      <c r="K3823" t="s">
        <v>26</v>
      </c>
      <c r="L3823" t="s">
        <v>18</v>
      </c>
      <c r="M3823" t="str">
        <f>VLOOKUP(D3827,Restaurant_Master!A:B,2,FALSE)</f>
        <v>https://dynamic-media-cdn.tripadvisor.com/media/photo-o/1c/e7/04/0d/front-of-the-local-easily.jpg</v>
      </c>
    </row>
    <row r="3824" spans="1:13" x14ac:dyDescent="0.3">
      <c r="A3824" t="s">
        <v>3854</v>
      </c>
      <c r="B3824" s="1">
        <v>45308</v>
      </c>
      <c r="C3824" t="s">
        <v>13</v>
      </c>
      <c r="D3824" t="s">
        <v>25</v>
      </c>
      <c r="E3824">
        <v>21</v>
      </c>
      <c r="F3824" t="s">
        <v>15</v>
      </c>
      <c r="G3824">
        <v>986.32</v>
      </c>
      <c r="H3824">
        <v>43</v>
      </c>
      <c r="I3824" t="s">
        <v>16</v>
      </c>
      <c r="J3824">
        <v>4.7</v>
      </c>
      <c r="K3824" t="s">
        <v>29</v>
      </c>
      <c r="L3824" t="s">
        <v>18</v>
      </c>
      <c r="M3824" t="str">
        <f>VLOOKUP(D3828,Restaurant_Master!A:B,2,FALSE)</f>
        <v>https://dynamic-media-cdn.tripadvisor.com/media/photo-o/1c/e7/04/0d/front-of-the-local-easily.jpg</v>
      </c>
    </row>
    <row r="3825" spans="1:13" x14ac:dyDescent="0.3">
      <c r="A3825" t="s">
        <v>3855</v>
      </c>
      <c r="B3825" s="1">
        <v>45616</v>
      </c>
      <c r="C3825" t="s">
        <v>43</v>
      </c>
      <c r="D3825" t="s">
        <v>38</v>
      </c>
      <c r="E3825">
        <v>47</v>
      </c>
      <c r="F3825" t="s">
        <v>15</v>
      </c>
      <c r="G3825">
        <v>491.36</v>
      </c>
      <c r="H3825">
        <v>56</v>
      </c>
      <c r="I3825" t="s">
        <v>16</v>
      </c>
      <c r="J3825">
        <v>2.6</v>
      </c>
      <c r="K3825" t="s">
        <v>26</v>
      </c>
      <c r="L3825" t="s">
        <v>23</v>
      </c>
      <c r="M3825" t="str">
        <f>VLOOKUP(D3829,Restaurant_Master!A:B,2,FALSE)</f>
        <v>https://media-cdn.tripadvisor.com/media/photo-s/1c/c7/97/b6/photo6jpg.jpg</v>
      </c>
    </row>
    <row r="3826" spans="1:13" x14ac:dyDescent="0.3">
      <c r="A3826" t="s">
        <v>3856</v>
      </c>
      <c r="B3826" s="1">
        <v>45389</v>
      </c>
      <c r="C3826" t="s">
        <v>13</v>
      </c>
      <c r="D3826" t="s">
        <v>14</v>
      </c>
      <c r="E3826">
        <v>43</v>
      </c>
      <c r="F3826" t="s">
        <v>28</v>
      </c>
      <c r="G3826">
        <v>343.96</v>
      </c>
      <c r="H3826">
        <v>52</v>
      </c>
      <c r="I3826" t="s">
        <v>16</v>
      </c>
      <c r="J3826">
        <v>4.0999999999999996</v>
      </c>
      <c r="K3826" t="s">
        <v>17</v>
      </c>
      <c r="L3826" t="s">
        <v>18</v>
      </c>
      <c r="M3826" t="str">
        <f>VLOOKUP(D3830,Restaurant_Master!A:B,2,FALSE)</f>
        <v>https://dineout-media-assets.swiggy.com/swiggy/image/upload/fl_lossy,f_auto,q_auto/v1660793737/fdqxvxcxg1wtdwvyv45v.jpg</v>
      </c>
    </row>
    <row r="3827" spans="1:13" x14ac:dyDescent="0.3">
      <c r="A3827" t="s">
        <v>3857</v>
      </c>
      <c r="B3827" s="1">
        <v>45547</v>
      </c>
      <c r="C3827" t="s">
        <v>36</v>
      </c>
      <c r="D3827" t="s">
        <v>21</v>
      </c>
      <c r="E3827">
        <v>33</v>
      </c>
      <c r="F3827" t="s">
        <v>15</v>
      </c>
      <c r="G3827">
        <v>860.89</v>
      </c>
      <c r="H3827">
        <v>42</v>
      </c>
      <c r="I3827" t="s">
        <v>16</v>
      </c>
      <c r="J3827">
        <v>4.0999999999999996</v>
      </c>
      <c r="K3827" t="s">
        <v>29</v>
      </c>
      <c r="L3827" t="s">
        <v>23</v>
      </c>
      <c r="M3827" t="str">
        <f>VLOOKUP(D3831,Restaurant_Master!A:B,2,FALSE)</f>
        <v>https://media-cdn.tripadvisor.com/media/photo-s/1c/c7/97/b6/photo6jpg.jpg</v>
      </c>
    </row>
    <row r="3828" spans="1:13" x14ac:dyDescent="0.3">
      <c r="A3828" t="s">
        <v>3858</v>
      </c>
      <c r="B3828" s="1">
        <v>45610</v>
      </c>
      <c r="C3828" t="s">
        <v>36</v>
      </c>
      <c r="D3828" t="s">
        <v>21</v>
      </c>
      <c r="E3828">
        <v>19</v>
      </c>
      <c r="F3828" t="s">
        <v>15</v>
      </c>
      <c r="G3828">
        <v>301.04000000000002</v>
      </c>
      <c r="H3828">
        <v>43</v>
      </c>
      <c r="I3828" t="s">
        <v>16</v>
      </c>
      <c r="J3828">
        <v>4.7</v>
      </c>
      <c r="K3828" t="s">
        <v>17</v>
      </c>
      <c r="L3828" t="s">
        <v>18</v>
      </c>
      <c r="M3828" t="str">
        <f>VLOOKUP(D3832,Restaurant_Master!A:B,2,FALSE)</f>
        <v>https://www.chatswoodinterchange.com/storages/2018/08/Sushi-World_666x448.jpg</v>
      </c>
    </row>
    <row r="3829" spans="1:13" x14ac:dyDescent="0.3">
      <c r="A3829" t="s">
        <v>3859</v>
      </c>
      <c r="B3829" s="1">
        <v>45348</v>
      </c>
      <c r="C3829" t="s">
        <v>43</v>
      </c>
      <c r="D3829" t="s">
        <v>25</v>
      </c>
      <c r="E3829">
        <v>38</v>
      </c>
      <c r="F3829" t="s">
        <v>15</v>
      </c>
      <c r="G3829">
        <v>357.22</v>
      </c>
      <c r="H3829">
        <v>44</v>
      </c>
      <c r="I3829" t="s">
        <v>16</v>
      </c>
      <c r="J3829">
        <v>4.9000000000000004</v>
      </c>
      <c r="K3829" t="s">
        <v>26</v>
      </c>
      <c r="L3829" t="s">
        <v>23</v>
      </c>
      <c r="M3829" t="str">
        <f>VLOOKUP(D3833,Restaurant_Master!A:B,2,FALSE)</f>
        <v>https://dynamic-media-cdn.tripadvisor.com/media/photo-o/1c/e7/04/0d/front-of-the-local-easily.jpg</v>
      </c>
    </row>
    <row r="3830" spans="1:13" x14ac:dyDescent="0.3">
      <c r="A3830" t="s">
        <v>3860</v>
      </c>
      <c r="B3830" s="1">
        <v>45488</v>
      </c>
      <c r="C3830" t="s">
        <v>13</v>
      </c>
      <c r="D3830" t="s">
        <v>14</v>
      </c>
      <c r="E3830">
        <v>18</v>
      </c>
      <c r="F3830" t="s">
        <v>28</v>
      </c>
      <c r="G3830">
        <v>244.06</v>
      </c>
      <c r="H3830">
        <v>58</v>
      </c>
      <c r="I3830" t="s">
        <v>16</v>
      </c>
      <c r="J3830">
        <v>2.8</v>
      </c>
      <c r="K3830" t="s">
        <v>29</v>
      </c>
      <c r="L3830" t="s">
        <v>23</v>
      </c>
      <c r="M3830" t="str">
        <f>VLOOKUP(D3834,Restaurant_Master!A:B,2,FALSE)</f>
        <v>https://media-cdn.tripadvisor.com/media/photo-s/1c/c7/97/b6/photo6jpg.jpg</v>
      </c>
    </row>
    <row r="3831" spans="1:13" x14ac:dyDescent="0.3">
      <c r="A3831" t="s">
        <v>3861</v>
      </c>
      <c r="B3831" s="1">
        <v>45578</v>
      </c>
      <c r="C3831" t="s">
        <v>34</v>
      </c>
      <c r="D3831" t="s">
        <v>25</v>
      </c>
      <c r="E3831">
        <v>44</v>
      </c>
      <c r="F3831" t="s">
        <v>15</v>
      </c>
      <c r="G3831">
        <v>581.54999999999995</v>
      </c>
      <c r="H3831">
        <v>26</v>
      </c>
      <c r="I3831" t="s">
        <v>22</v>
      </c>
      <c r="J3831">
        <v>3.3</v>
      </c>
      <c r="K3831" t="s">
        <v>17</v>
      </c>
      <c r="L3831" t="s">
        <v>23</v>
      </c>
      <c r="M3831" t="str">
        <f>VLOOKUP(D3835,Restaurant_Master!A:B,2,FALSE)</f>
        <v>https://media-cdn.tripadvisor.com/media/photo-s/1c/c7/97/b6/photo6jpg.jpg</v>
      </c>
    </row>
    <row r="3832" spans="1:13" x14ac:dyDescent="0.3">
      <c r="A3832" t="s">
        <v>3862</v>
      </c>
      <c r="B3832" s="1">
        <v>45651</v>
      </c>
      <c r="C3832" t="s">
        <v>36</v>
      </c>
      <c r="D3832" t="s">
        <v>38</v>
      </c>
      <c r="E3832">
        <v>43</v>
      </c>
      <c r="F3832" t="s">
        <v>28</v>
      </c>
      <c r="G3832">
        <v>1060.26</v>
      </c>
      <c r="H3832">
        <v>50</v>
      </c>
      <c r="I3832" t="s">
        <v>16</v>
      </c>
      <c r="J3832">
        <v>3.7</v>
      </c>
      <c r="K3832" t="s">
        <v>29</v>
      </c>
      <c r="L3832" t="s">
        <v>18</v>
      </c>
      <c r="M3832" t="str">
        <f>VLOOKUP(D3836,Restaurant_Master!A:B,2,FALSE)</f>
        <v>https://content.jdmagicbox.com/comp/deoria/g6/9999p5568.5568.200119143033.m4g6/catalogue/biryani-house-deoria-ho-deoria-mktc2xph0o.jpg</v>
      </c>
    </row>
    <row r="3833" spans="1:13" x14ac:dyDescent="0.3">
      <c r="A3833" t="s">
        <v>3863</v>
      </c>
      <c r="B3833" s="1">
        <v>45592</v>
      </c>
      <c r="C3833" t="s">
        <v>43</v>
      </c>
      <c r="D3833" t="s">
        <v>21</v>
      </c>
      <c r="E3833">
        <v>50</v>
      </c>
      <c r="F3833" t="s">
        <v>15</v>
      </c>
      <c r="G3833">
        <v>463.68</v>
      </c>
      <c r="H3833">
        <v>22</v>
      </c>
      <c r="I3833" t="s">
        <v>22</v>
      </c>
      <c r="J3833">
        <v>4.2</v>
      </c>
      <c r="K3833" t="s">
        <v>29</v>
      </c>
      <c r="L3833" t="s">
        <v>23</v>
      </c>
      <c r="M3833" t="str">
        <f>VLOOKUP(D3837,Restaurant_Master!A:B,2,FALSE)</f>
        <v>https://dynamic-media-cdn.tripadvisor.com/media/photo-o/1c/e7/04/0d/front-of-the-local-easily.jpg</v>
      </c>
    </row>
    <row r="3834" spans="1:13" x14ac:dyDescent="0.3">
      <c r="A3834" t="s">
        <v>3864</v>
      </c>
      <c r="B3834" s="1">
        <v>45538</v>
      </c>
      <c r="C3834" t="s">
        <v>36</v>
      </c>
      <c r="D3834" t="s">
        <v>25</v>
      </c>
      <c r="E3834">
        <v>19</v>
      </c>
      <c r="F3834" t="s">
        <v>15</v>
      </c>
      <c r="G3834">
        <v>1043.73</v>
      </c>
      <c r="H3834">
        <v>46</v>
      </c>
      <c r="I3834" t="s">
        <v>16</v>
      </c>
      <c r="J3834">
        <v>3</v>
      </c>
      <c r="K3834" t="s">
        <v>41</v>
      </c>
      <c r="L3834" t="s">
        <v>18</v>
      </c>
      <c r="M3834" t="str">
        <f>VLOOKUP(D3838,Restaurant_Master!A:B,2,FALSE)</f>
        <v>https://dineout-media-assets.swiggy.com/swiggy/image/upload/fl_lossy,f_auto,q_auto/v1660793737/fdqxvxcxg1wtdwvyv45v.jpg</v>
      </c>
    </row>
    <row r="3835" spans="1:13" x14ac:dyDescent="0.3">
      <c r="A3835" t="s">
        <v>3865</v>
      </c>
      <c r="B3835" s="1">
        <v>45423</v>
      </c>
      <c r="C3835" t="s">
        <v>20</v>
      </c>
      <c r="D3835" t="s">
        <v>25</v>
      </c>
      <c r="E3835">
        <v>32</v>
      </c>
      <c r="F3835" t="s">
        <v>15</v>
      </c>
      <c r="G3835">
        <v>544.17999999999995</v>
      </c>
      <c r="H3835">
        <v>24</v>
      </c>
      <c r="I3835" t="s">
        <v>22</v>
      </c>
      <c r="J3835">
        <v>2.5</v>
      </c>
      <c r="K3835" t="s">
        <v>41</v>
      </c>
      <c r="L3835" t="s">
        <v>18</v>
      </c>
      <c r="M3835" t="str">
        <f>VLOOKUP(D3839,Restaurant_Master!A:B,2,FALSE)</f>
        <v>https://dynamic-media-cdn.tripadvisor.com/media/photo-o/1c/e7/04/0d/front-of-the-local-easily.jpg</v>
      </c>
    </row>
    <row r="3836" spans="1:13" x14ac:dyDescent="0.3">
      <c r="A3836" t="s">
        <v>3866</v>
      </c>
      <c r="B3836" s="1">
        <v>45621</v>
      </c>
      <c r="C3836" t="s">
        <v>13</v>
      </c>
      <c r="D3836" t="s">
        <v>32</v>
      </c>
      <c r="E3836">
        <v>40</v>
      </c>
      <c r="F3836" t="s">
        <v>15</v>
      </c>
      <c r="G3836">
        <v>781.23</v>
      </c>
      <c r="H3836">
        <v>45</v>
      </c>
      <c r="I3836" t="s">
        <v>16</v>
      </c>
      <c r="J3836">
        <v>3</v>
      </c>
      <c r="K3836" t="s">
        <v>41</v>
      </c>
      <c r="L3836" t="s">
        <v>23</v>
      </c>
      <c r="M3836" t="str">
        <f>VLOOKUP(D3840,Restaurant_Master!A:B,2,FALSE)</f>
        <v>https://media-cdn.tripadvisor.com/media/photo-s/1c/c7/97/b6/photo6jpg.jpg</v>
      </c>
    </row>
    <row r="3837" spans="1:13" x14ac:dyDescent="0.3">
      <c r="A3837" t="s">
        <v>3867</v>
      </c>
      <c r="B3837" s="1">
        <v>45575</v>
      </c>
      <c r="C3837" t="s">
        <v>20</v>
      </c>
      <c r="D3837" t="s">
        <v>21</v>
      </c>
      <c r="E3837">
        <v>38</v>
      </c>
      <c r="F3837" t="s">
        <v>15</v>
      </c>
      <c r="G3837">
        <v>744.16</v>
      </c>
      <c r="H3837">
        <v>28</v>
      </c>
      <c r="I3837" t="s">
        <v>22</v>
      </c>
      <c r="J3837">
        <v>2.6</v>
      </c>
      <c r="K3837" t="s">
        <v>41</v>
      </c>
      <c r="L3837" t="s">
        <v>18</v>
      </c>
      <c r="M3837" t="str">
        <f>VLOOKUP(D3841,Restaurant_Master!A:B,2,FALSE)</f>
        <v>https://dineout-media-assets.swiggy.com/swiggy/image/upload/fl_lossy,f_auto,q_auto/v1660793737/fdqxvxcxg1wtdwvyv45v.jpg</v>
      </c>
    </row>
    <row r="3838" spans="1:13" x14ac:dyDescent="0.3">
      <c r="A3838" t="s">
        <v>3868</v>
      </c>
      <c r="B3838" s="1">
        <v>45646</v>
      </c>
      <c r="C3838" t="s">
        <v>34</v>
      </c>
      <c r="D3838" t="s">
        <v>14</v>
      </c>
      <c r="E3838">
        <v>49</v>
      </c>
      <c r="F3838" t="s">
        <v>15</v>
      </c>
      <c r="G3838">
        <v>1171.8499999999999</v>
      </c>
      <c r="H3838">
        <v>27</v>
      </c>
      <c r="I3838" t="s">
        <v>22</v>
      </c>
      <c r="J3838">
        <v>3.6</v>
      </c>
      <c r="K3838" t="s">
        <v>29</v>
      </c>
      <c r="L3838" t="s">
        <v>23</v>
      </c>
      <c r="M3838" t="str">
        <f>VLOOKUP(D3842,Restaurant_Master!A:B,2,FALSE)</f>
        <v>https://media-cdn.tripadvisor.com/media/photo-s/1c/c7/97/b6/photo6jpg.jpg</v>
      </c>
    </row>
    <row r="3839" spans="1:13" x14ac:dyDescent="0.3">
      <c r="A3839" t="s">
        <v>3869</v>
      </c>
      <c r="B3839" s="1">
        <v>45455</v>
      </c>
      <c r="C3839" t="s">
        <v>34</v>
      </c>
      <c r="D3839" t="s">
        <v>21</v>
      </c>
      <c r="E3839">
        <v>25</v>
      </c>
      <c r="F3839" t="s">
        <v>15</v>
      </c>
      <c r="G3839">
        <v>431.17</v>
      </c>
      <c r="H3839">
        <v>34</v>
      </c>
      <c r="I3839" t="s">
        <v>22</v>
      </c>
      <c r="J3839">
        <v>4.4000000000000004</v>
      </c>
      <c r="K3839" t="s">
        <v>41</v>
      </c>
      <c r="L3839" t="s">
        <v>18</v>
      </c>
      <c r="M3839" t="str">
        <f>VLOOKUP(D3843,Restaurant_Master!A:B,2,FALSE)</f>
        <v>https://dineout-media-assets.swiggy.com/swiggy/image/upload/fl_lossy,f_auto,q_auto/v1660793737/fdqxvxcxg1wtdwvyv45v.jpg</v>
      </c>
    </row>
    <row r="3840" spans="1:13" x14ac:dyDescent="0.3">
      <c r="A3840" t="s">
        <v>3870</v>
      </c>
      <c r="B3840" s="1">
        <v>45394</v>
      </c>
      <c r="C3840" t="s">
        <v>20</v>
      </c>
      <c r="D3840" t="s">
        <v>25</v>
      </c>
      <c r="E3840">
        <v>34</v>
      </c>
      <c r="F3840" t="s">
        <v>15</v>
      </c>
      <c r="G3840">
        <v>640.79</v>
      </c>
      <c r="H3840">
        <v>55</v>
      </c>
      <c r="I3840" t="s">
        <v>16</v>
      </c>
      <c r="J3840">
        <v>3.4</v>
      </c>
      <c r="K3840" t="s">
        <v>29</v>
      </c>
      <c r="L3840" t="s">
        <v>18</v>
      </c>
      <c r="M3840" t="str">
        <f>VLOOKUP(D3844,Restaurant_Master!A:B,2,FALSE)</f>
        <v>https://dineout-media-assets.swiggy.com/swiggy/image/upload/fl_lossy,f_auto,q_auto/v1660793737/fdqxvxcxg1wtdwvyv45v.jpg</v>
      </c>
    </row>
    <row r="3841" spans="1:13" x14ac:dyDescent="0.3">
      <c r="A3841" t="s">
        <v>3871</v>
      </c>
      <c r="B3841" s="1">
        <v>45537</v>
      </c>
      <c r="C3841" t="s">
        <v>13</v>
      </c>
      <c r="D3841" t="s">
        <v>14</v>
      </c>
      <c r="E3841">
        <v>23</v>
      </c>
      <c r="F3841" t="s">
        <v>15</v>
      </c>
      <c r="G3841">
        <v>227.9</v>
      </c>
      <c r="H3841">
        <v>29</v>
      </c>
      <c r="I3841" t="s">
        <v>22</v>
      </c>
      <c r="J3841">
        <v>3.6</v>
      </c>
      <c r="K3841" t="s">
        <v>26</v>
      </c>
      <c r="L3841" t="s">
        <v>18</v>
      </c>
      <c r="M3841" t="str">
        <f>VLOOKUP(D3845,Restaurant_Master!A:B,2,FALSE)</f>
        <v>https://content.jdmagicbox.com/comp/deoria/g6/9999p5568.5568.200119143033.m4g6/catalogue/biryani-house-deoria-ho-deoria-mktc2xph0o.jpg</v>
      </c>
    </row>
    <row r="3842" spans="1:13" x14ac:dyDescent="0.3">
      <c r="A3842" t="s">
        <v>3872</v>
      </c>
      <c r="B3842" s="1">
        <v>45417</v>
      </c>
      <c r="C3842" t="s">
        <v>13</v>
      </c>
      <c r="D3842" t="s">
        <v>25</v>
      </c>
      <c r="E3842">
        <v>57</v>
      </c>
      <c r="F3842" t="s">
        <v>15</v>
      </c>
      <c r="G3842">
        <v>726.48</v>
      </c>
      <c r="H3842">
        <v>40</v>
      </c>
      <c r="I3842" t="s">
        <v>22</v>
      </c>
      <c r="J3842">
        <v>3</v>
      </c>
      <c r="K3842" t="s">
        <v>17</v>
      </c>
      <c r="L3842" t="s">
        <v>18</v>
      </c>
      <c r="M3842" t="str">
        <f>VLOOKUP(D3846,Restaurant_Master!A:B,2,FALSE)</f>
        <v>https://dynamic-media-cdn.tripadvisor.com/media/photo-o/1c/e7/04/0d/front-of-the-local-easily.jpg</v>
      </c>
    </row>
    <row r="3843" spans="1:13" x14ac:dyDescent="0.3">
      <c r="A3843" t="s">
        <v>3873</v>
      </c>
      <c r="B3843" s="1">
        <v>45570</v>
      </c>
      <c r="C3843" t="s">
        <v>36</v>
      </c>
      <c r="D3843" t="s">
        <v>14</v>
      </c>
      <c r="E3843">
        <v>21</v>
      </c>
      <c r="F3843" t="s">
        <v>28</v>
      </c>
      <c r="G3843">
        <v>620.74</v>
      </c>
      <c r="H3843">
        <v>51</v>
      </c>
      <c r="I3843" t="s">
        <v>16</v>
      </c>
      <c r="J3843">
        <v>3</v>
      </c>
      <c r="K3843" t="s">
        <v>17</v>
      </c>
      <c r="L3843" t="s">
        <v>23</v>
      </c>
      <c r="M3843" t="str">
        <f>VLOOKUP(D3847,Restaurant_Master!A:B,2,FALSE)</f>
        <v>https://content.jdmagicbox.com/comp/deoria/g6/9999p5568.5568.200119143033.m4g6/catalogue/biryani-house-deoria-ho-deoria-mktc2xph0o.jpg</v>
      </c>
    </row>
    <row r="3844" spans="1:13" x14ac:dyDescent="0.3">
      <c r="A3844" t="s">
        <v>3874</v>
      </c>
      <c r="B3844" s="1">
        <v>45640</v>
      </c>
      <c r="C3844" t="s">
        <v>36</v>
      </c>
      <c r="D3844" t="s">
        <v>14</v>
      </c>
      <c r="E3844">
        <v>32</v>
      </c>
      <c r="F3844" t="s">
        <v>28</v>
      </c>
      <c r="G3844">
        <v>1152.51</v>
      </c>
      <c r="H3844">
        <v>30</v>
      </c>
      <c r="I3844" t="s">
        <v>22</v>
      </c>
      <c r="J3844">
        <v>4.8</v>
      </c>
      <c r="K3844" t="s">
        <v>29</v>
      </c>
      <c r="L3844" t="s">
        <v>18</v>
      </c>
      <c r="M3844" t="str">
        <f>VLOOKUP(D3848,Restaurant_Master!A:B,2,FALSE)</f>
        <v>https://www.chatswoodinterchange.com/storages/2018/08/Sushi-World_666x448.jpg</v>
      </c>
    </row>
    <row r="3845" spans="1:13" x14ac:dyDescent="0.3">
      <c r="A3845" t="s">
        <v>3875</v>
      </c>
      <c r="B3845" s="1">
        <v>45648</v>
      </c>
      <c r="C3845" t="s">
        <v>20</v>
      </c>
      <c r="D3845" t="s">
        <v>32</v>
      </c>
      <c r="E3845">
        <v>54</v>
      </c>
      <c r="F3845" t="s">
        <v>15</v>
      </c>
      <c r="G3845">
        <v>893.67</v>
      </c>
      <c r="H3845">
        <v>46</v>
      </c>
      <c r="I3845" t="s">
        <v>16</v>
      </c>
      <c r="J3845">
        <v>4.0999999999999996</v>
      </c>
      <c r="K3845" t="s">
        <v>26</v>
      </c>
      <c r="L3845" t="s">
        <v>23</v>
      </c>
      <c r="M3845" t="str">
        <f>VLOOKUP(D3849,Restaurant_Master!A:B,2,FALSE)</f>
        <v>https://content.jdmagicbox.com/comp/deoria/g6/9999p5568.5568.200119143033.m4g6/catalogue/biryani-house-deoria-ho-deoria-mktc2xph0o.jpg</v>
      </c>
    </row>
    <row r="3846" spans="1:13" x14ac:dyDescent="0.3">
      <c r="A3846" t="s">
        <v>3876</v>
      </c>
      <c r="B3846" s="1">
        <v>45369</v>
      </c>
      <c r="C3846" t="s">
        <v>13</v>
      </c>
      <c r="D3846" t="s">
        <v>21</v>
      </c>
      <c r="E3846">
        <v>23</v>
      </c>
      <c r="F3846" t="s">
        <v>15</v>
      </c>
      <c r="G3846">
        <v>430.23</v>
      </c>
      <c r="H3846">
        <v>41</v>
      </c>
      <c r="I3846" t="s">
        <v>16</v>
      </c>
      <c r="J3846">
        <v>3.3</v>
      </c>
      <c r="K3846" t="s">
        <v>41</v>
      </c>
      <c r="L3846" t="s">
        <v>23</v>
      </c>
      <c r="M3846" t="str">
        <f>VLOOKUP(D3850,Restaurant_Master!A:B,2,FALSE)</f>
        <v>https://www.chatswoodinterchange.com/storages/2018/08/Sushi-World_666x448.jpg</v>
      </c>
    </row>
    <row r="3847" spans="1:13" x14ac:dyDescent="0.3">
      <c r="A3847" t="s">
        <v>3877</v>
      </c>
      <c r="B3847" s="1">
        <v>45470</v>
      </c>
      <c r="C3847" t="s">
        <v>34</v>
      </c>
      <c r="D3847" t="s">
        <v>32</v>
      </c>
      <c r="E3847">
        <v>49</v>
      </c>
      <c r="F3847" t="s">
        <v>15</v>
      </c>
      <c r="G3847">
        <v>990.8</v>
      </c>
      <c r="H3847">
        <v>38</v>
      </c>
      <c r="I3847" t="s">
        <v>22</v>
      </c>
      <c r="J3847">
        <v>3</v>
      </c>
      <c r="K3847" t="s">
        <v>29</v>
      </c>
      <c r="L3847" t="s">
        <v>18</v>
      </c>
      <c r="M3847" t="str">
        <f>VLOOKUP(D3851,Restaurant_Master!A:B,2,FALSE)</f>
        <v>https://content.jdmagicbox.com/comp/deoria/g6/9999p5568.5568.200119143033.m4g6/catalogue/biryani-house-deoria-ho-deoria-mktc2xph0o.jpg</v>
      </c>
    </row>
    <row r="3848" spans="1:13" x14ac:dyDescent="0.3">
      <c r="A3848" t="s">
        <v>3878</v>
      </c>
      <c r="B3848" s="1">
        <v>45492</v>
      </c>
      <c r="C3848" t="s">
        <v>43</v>
      </c>
      <c r="D3848" t="s">
        <v>38</v>
      </c>
      <c r="E3848">
        <v>29</v>
      </c>
      <c r="F3848" t="s">
        <v>28</v>
      </c>
      <c r="G3848">
        <v>490.24</v>
      </c>
      <c r="H3848">
        <v>37</v>
      </c>
      <c r="I3848" t="s">
        <v>22</v>
      </c>
      <c r="J3848">
        <v>4.0999999999999996</v>
      </c>
      <c r="K3848" t="s">
        <v>29</v>
      </c>
      <c r="L3848" t="s">
        <v>23</v>
      </c>
      <c r="M3848" t="str">
        <f>VLOOKUP(D3852,Restaurant_Master!A:B,2,FALSE)</f>
        <v>https://content.jdmagicbox.com/comp/deoria/g6/9999p5568.5568.200119143033.m4g6/catalogue/biryani-house-deoria-ho-deoria-mktc2xph0o.jpg</v>
      </c>
    </row>
    <row r="3849" spans="1:13" x14ac:dyDescent="0.3">
      <c r="A3849" t="s">
        <v>3879</v>
      </c>
      <c r="B3849" s="1">
        <v>45602</v>
      </c>
      <c r="C3849" t="s">
        <v>36</v>
      </c>
      <c r="D3849" t="s">
        <v>32</v>
      </c>
      <c r="E3849">
        <v>51</v>
      </c>
      <c r="F3849" t="s">
        <v>28</v>
      </c>
      <c r="G3849">
        <v>899.16</v>
      </c>
      <c r="H3849">
        <v>44</v>
      </c>
      <c r="I3849" t="s">
        <v>16</v>
      </c>
      <c r="J3849">
        <v>3.1</v>
      </c>
      <c r="K3849" t="s">
        <v>17</v>
      </c>
      <c r="L3849" t="s">
        <v>23</v>
      </c>
      <c r="M3849" t="str">
        <f>VLOOKUP(D3853,Restaurant_Master!A:B,2,FALSE)</f>
        <v>https://media-cdn.tripadvisor.com/media/photo-s/1c/c7/97/b6/photo6jpg.jpg</v>
      </c>
    </row>
    <row r="3850" spans="1:13" x14ac:dyDescent="0.3">
      <c r="A3850" t="s">
        <v>3880</v>
      </c>
      <c r="B3850" s="1">
        <v>45368</v>
      </c>
      <c r="C3850" t="s">
        <v>20</v>
      </c>
      <c r="D3850" t="s">
        <v>38</v>
      </c>
      <c r="E3850">
        <v>42</v>
      </c>
      <c r="F3850" t="s">
        <v>15</v>
      </c>
      <c r="G3850">
        <v>415.87</v>
      </c>
      <c r="H3850">
        <v>21</v>
      </c>
      <c r="I3850" t="s">
        <v>22</v>
      </c>
      <c r="J3850">
        <v>3.1</v>
      </c>
      <c r="K3850" t="s">
        <v>17</v>
      </c>
      <c r="L3850" t="s">
        <v>23</v>
      </c>
      <c r="M3850" t="str">
        <f>VLOOKUP(D3854,Restaurant_Master!A:B,2,FALSE)</f>
        <v>https://www.chatswoodinterchange.com/storages/2018/08/Sushi-World_666x448.jpg</v>
      </c>
    </row>
    <row r="3851" spans="1:13" x14ac:dyDescent="0.3">
      <c r="A3851" t="s">
        <v>3881</v>
      </c>
      <c r="B3851" s="1">
        <v>45457</v>
      </c>
      <c r="C3851" t="s">
        <v>43</v>
      </c>
      <c r="D3851" t="s">
        <v>32</v>
      </c>
      <c r="E3851">
        <v>37</v>
      </c>
      <c r="F3851" t="s">
        <v>28</v>
      </c>
      <c r="G3851">
        <v>879.66</v>
      </c>
      <c r="H3851">
        <v>31</v>
      </c>
      <c r="I3851" t="s">
        <v>22</v>
      </c>
      <c r="J3851">
        <v>3.1</v>
      </c>
      <c r="K3851" t="s">
        <v>29</v>
      </c>
      <c r="L3851" t="s">
        <v>23</v>
      </c>
      <c r="M3851" t="str">
        <f>VLOOKUP(D3855,Restaurant_Master!A:B,2,FALSE)</f>
        <v>https://dineout-media-assets.swiggy.com/swiggy/image/upload/fl_lossy,f_auto,q_auto/v1660793737/fdqxvxcxg1wtdwvyv45v.jpg</v>
      </c>
    </row>
    <row r="3852" spans="1:13" x14ac:dyDescent="0.3">
      <c r="A3852" t="s">
        <v>3882</v>
      </c>
      <c r="B3852" s="1">
        <v>45445</v>
      </c>
      <c r="C3852" t="s">
        <v>13</v>
      </c>
      <c r="D3852" t="s">
        <v>32</v>
      </c>
      <c r="E3852">
        <v>47</v>
      </c>
      <c r="F3852" t="s">
        <v>28</v>
      </c>
      <c r="G3852">
        <v>393.14</v>
      </c>
      <c r="H3852">
        <v>28</v>
      </c>
      <c r="I3852" t="s">
        <v>22</v>
      </c>
      <c r="J3852">
        <v>4.8</v>
      </c>
      <c r="K3852" t="s">
        <v>17</v>
      </c>
      <c r="L3852" t="s">
        <v>23</v>
      </c>
      <c r="M3852" t="str">
        <f>VLOOKUP(D3856,Restaurant_Master!A:B,2,FALSE)</f>
        <v>https://dineout-media-assets.swiggy.com/swiggy/image/upload/fl_lossy,f_auto,q_auto/v1660793737/fdqxvxcxg1wtdwvyv45v.jpg</v>
      </c>
    </row>
    <row r="3853" spans="1:13" x14ac:dyDescent="0.3">
      <c r="A3853" t="s">
        <v>3883</v>
      </c>
      <c r="B3853" s="1">
        <v>45517</v>
      </c>
      <c r="C3853" t="s">
        <v>20</v>
      </c>
      <c r="D3853" t="s">
        <v>25</v>
      </c>
      <c r="E3853">
        <v>47</v>
      </c>
      <c r="F3853" t="s">
        <v>15</v>
      </c>
      <c r="G3853">
        <v>327.39</v>
      </c>
      <c r="H3853">
        <v>23</v>
      </c>
      <c r="I3853" t="s">
        <v>22</v>
      </c>
      <c r="J3853">
        <v>2.7</v>
      </c>
      <c r="K3853" t="s">
        <v>41</v>
      </c>
      <c r="L3853" t="s">
        <v>23</v>
      </c>
      <c r="M3853" t="str">
        <f>VLOOKUP(D3857,Restaurant_Master!A:B,2,FALSE)</f>
        <v>https://media-cdn.tripadvisor.com/media/photo-s/1c/c7/97/b6/photo6jpg.jpg</v>
      </c>
    </row>
    <row r="3854" spans="1:13" x14ac:dyDescent="0.3">
      <c r="A3854" t="s">
        <v>3884</v>
      </c>
      <c r="B3854" s="1">
        <v>45556</v>
      </c>
      <c r="C3854" t="s">
        <v>13</v>
      </c>
      <c r="D3854" t="s">
        <v>38</v>
      </c>
      <c r="E3854">
        <v>28</v>
      </c>
      <c r="F3854" t="s">
        <v>15</v>
      </c>
      <c r="G3854">
        <v>535.02</v>
      </c>
      <c r="H3854">
        <v>33</v>
      </c>
      <c r="I3854" t="s">
        <v>22</v>
      </c>
      <c r="J3854">
        <v>2.7</v>
      </c>
      <c r="K3854" t="s">
        <v>26</v>
      </c>
      <c r="L3854" t="s">
        <v>18</v>
      </c>
      <c r="M3854" t="str">
        <f>VLOOKUP(D3858,Restaurant_Master!A:B,2,FALSE)</f>
        <v>https://media-cdn.tripadvisor.com/media/photo-s/1c/c7/97/b6/photo6jpg.jpg</v>
      </c>
    </row>
    <row r="3855" spans="1:13" x14ac:dyDescent="0.3">
      <c r="A3855" t="s">
        <v>3885</v>
      </c>
      <c r="B3855" s="1">
        <v>45570</v>
      </c>
      <c r="C3855" t="s">
        <v>34</v>
      </c>
      <c r="D3855" t="s">
        <v>14</v>
      </c>
      <c r="E3855">
        <v>27</v>
      </c>
      <c r="F3855" t="s">
        <v>28</v>
      </c>
      <c r="G3855">
        <v>761.4</v>
      </c>
      <c r="H3855">
        <v>20</v>
      </c>
      <c r="I3855" t="s">
        <v>22</v>
      </c>
      <c r="J3855">
        <v>3.1</v>
      </c>
      <c r="K3855" t="s">
        <v>41</v>
      </c>
      <c r="L3855" t="s">
        <v>18</v>
      </c>
      <c r="M3855" t="str">
        <f>VLOOKUP(D3859,Restaurant_Master!A:B,2,FALSE)</f>
        <v>https://dineout-media-assets.swiggy.com/swiggy/image/upload/fl_lossy,f_auto,q_auto/v1660793737/fdqxvxcxg1wtdwvyv45v.jpg</v>
      </c>
    </row>
    <row r="3856" spans="1:13" x14ac:dyDescent="0.3">
      <c r="A3856" t="s">
        <v>3886</v>
      </c>
      <c r="B3856" s="1">
        <v>45462</v>
      </c>
      <c r="C3856" t="s">
        <v>34</v>
      </c>
      <c r="D3856" t="s">
        <v>14</v>
      </c>
      <c r="E3856">
        <v>48</v>
      </c>
      <c r="F3856" t="s">
        <v>28</v>
      </c>
      <c r="G3856">
        <v>731.96</v>
      </c>
      <c r="H3856">
        <v>37</v>
      </c>
      <c r="I3856" t="s">
        <v>22</v>
      </c>
      <c r="J3856">
        <v>3.5</v>
      </c>
      <c r="K3856" t="s">
        <v>29</v>
      </c>
      <c r="L3856" t="s">
        <v>23</v>
      </c>
      <c r="M3856" t="str">
        <f>VLOOKUP(D3860,Restaurant_Master!A:B,2,FALSE)</f>
        <v>https://dynamic-media-cdn.tripadvisor.com/media/photo-o/1c/e7/04/0d/front-of-the-local-easily.jpg</v>
      </c>
    </row>
    <row r="3857" spans="1:13" x14ac:dyDescent="0.3">
      <c r="A3857" t="s">
        <v>3887</v>
      </c>
      <c r="B3857" s="1">
        <v>45546</v>
      </c>
      <c r="C3857" t="s">
        <v>36</v>
      </c>
      <c r="D3857" t="s">
        <v>25</v>
      </c>
      <c r="E3857">
        <v>31</v>
      </c>
      <c r="F3857" t="s">
        <v>15</v>
      </c>
      <c r="G3857">
        <v>1054.6400000000001</v>
      </c>
      <c r="H3857">
        <v>36</v>
      </c>
      <c r="I3857" t="s">
        <v>22</v>
      </c>
      <c r="J3857">
        <v>4.4000000000000004</v>
      </c>
      <c r="K3857" t="s">
        <v>26</v>
      </c>
      <c r="L3857" t="s">
        <v>18</v>
      </c>
      <c r="M3857" t="str">
        <f>VLOOKUP(D3861,Restaurant_Master!A:B,2,FALSE)</f>
        <v>https://www.chatswoodinterchange.com/storages/2018/08/Sushi-World_666x448.jpg</v>
      </c>
    </row>
    <row r="3858" spans="1:13" x14ac:dyDescent="0.3">
      <c r="A3858" t="s">
        <v>3888</v>
      </c>
      <c r="B3858" s="1">
        <v>45434</v>
      </c>
      <c r="C3858" t="s">
        <v>34</v>
      </c>
      <c r="D3858" t="s">
        <v>25</v>
      </c>
      <c r="E3858">
        <v>43</v>
      </c>
      <c r="F3858" t="s">
        <v>15</v>
      </c>
      <c r="G3858">
        <v>767.29</v>
      </c>
      <c r="H3858">
        <v>29</v>
      </c>
      <c r="I3858" t="s">
        <v>22</v>
      </c>
      <c r="J3858">
        <v>2.9</v>
      </c>
      <c r="K3858" t="s">
        <v>17</v>
      </c>
      <c r="L3858" t="s">
        <v>23</v>
      </c>
      <c r="M3858" t="str">
        <f>VLOOKUP(D3862,Restaurant_Master!A:B,2,FALSE)</f>
        <v>https://www.chatswoodinterchange.com/storages/2018/08/Sushi-World_666x448.jpg</v>
      </c>
    </row>
    <row r="3859" spans="1:13" x14ac:dyDescent="0.3">
      <c r="A3859" t="s">
        <v>3889</v>
      </c>
      <c r="B3859" s="1">
        <v>45441</v>
      </c>
      <c r="C3859" t="s">
        <v>36</v>
      </c>
      <c r="D3859" t="s">
        <v>14</v>
      </c>
      <c r="E3859">
        <v>36</v>
      </c>
      <c r="F3859" t="s">
        <v>15</v>
      </c>
      <c r="G3859">
        <v>1171.3699999999999</v>
      </c>
      <c r="H3859">
        <v>40</v>
      </c>
      <c r="I3859" t="s">
        <v>22</v>
      </c>
      <c r="J3859">
        <v>3.2</v>
      </c>
      <c r="K3859" t="s">
        <v>41</v>
      </c>
      <c r="L3859" t="s">
        <v>18</v>
      </c>
      <c r="M3859" t="str">
        <f>VLOOKUP(D3863,Restaurant_Master!A:B,2,FALSE)</f>
        <v>https://media-cdn.tripadvisor.com/media/photo-s/1c/c7/97/b6/photo6jpg.jpg</v>
      </c>
    </row>
    <row r="3860" spans="1:13" x14ac:dyDescent="0.3">
      <c r="A3860" t="s">
        <v>3890</v>
      </c>
      <c r="B3860" s="1">
        <v>45442</v>
      </c>
      <c r="C3860" t="s">
        <v>43</v>
      </c>
      <c r="D3860" t="s">
        <v>21</v>
      </c>
      <c r="E3860">
        <v>52</v>
      </c>
      <c r="F3860" t="s">
        <v>15</v>
      </c>
      <c r="G3860">
        <v>229.89</v>
      </c>
      <c r="H3860">
        <v>43</v>
      </c>
      <c r="I3860" t="s">
        <v>16</v>
      </c>
      <c r="J3860">
        <v>4.0999999999999996</v>
      </c>
      <c r="K3860" t="s">
        <v>29</v>
      </c>
      <c r="L3860" t="s">
        <v>23</v>
      </c>
      <c r="M3860" t="str">
        <f>VLOOKUP(D3864,Restaurant_Master!A:B,2,FALSE)</f>
        <v>https://media-cdn.tripadvisor.com/media/photo-s/1c/c7/97/b6/photo6jpg.jpg</v>
      </c>
    </row>
    <row r="3861" spans="1:13" x14ac:dyDescent="0.3">
      <c r="A3861" t="s">
        <v>3891</v>
      </c>
      <c r="B3861" s="1">
        <v>45377</v>
      </c>
      <c r="C3861" t="s">
        <v>43</v>
      </c>
      <c r="D3861" t="s">
        <v>38</v>
      </c>
      <c r="E3861">
        <v>46</v>
      </c>
      <c r="F3861" t="s">
        <v>15</v>
      </c>
      <c r="G3861">
        <v>1176.54</v>
      </c>
      <c r="H3861">
        <v>60</v>
      </c>
      <c r="I3861" t="s">
        <v>16</v>
      </c>
      <c r="J3861">
        <v>3.2</v>
      </c>
      <c r="K3861" t="s">
        <v>29</v>
      </c>
      <c r="L3861" t="s">
        <v>18</v>
      </c>
      <c r="M3861" t="str">
        <f>VLOOKUP(D3865,Restaurant_Master!A:B,2,FALSE)</f>
        <v>https://dynamic-media-cdn.tripadvisor.com/media/photo-o/1c/e7/04/0d/front-of-the-local-easily.jpg</v>
      </c>
    </row>
    <row r="3862" spans="1:13" x14ac:dyDescent="0.3">
      <c r="A3862" t="s">
        <v>3892</v>
      </c>
      <c r="B3862" s="1">
        <v>45520</v>
      </c>
      <c r="C3862" t="s">
        <v>36</v>
      </c>
      <c r="D3862" t="s">
        <v>38</v>
      </c>
      <c r="E3862">
        <v>18</v>
      </c>
      <c r="F3862" t="s">
        <v>28</v>
      </c>
      <c r="G3862">
        <v>784.45</v>
      </c>
      <c r="H3862">
        <v>60</v>
      </c>
      <c r="I3862" t="s">
        <v>16</v>
      </c>
      <c r="J3862">
        <v>4.4000000000000004</v>
      </c>
      <c r="K3862" t="s">
        <v>17</v>
      </c>
      <c r="L3862" t="s">
        <v>23</v>
      </c>
      <c r="M3862" t="str">
        <f>VLOOKUP(D3866,Restaurant_Master!A:B,2,FALSE)</f>
        <v>https://dineout-media-assets.swiggy.com/swiggy/image/upload/fl_lossy,f_auto,q_auto/v1660793737/fdqxvxcxg1wtdwvyv45v.jpg</v>
      </c>
    </row>
    <row r="3863" spans="1:13" x14ac:dyDescent="0.3">
      <c r="A3863" t="s">
        <v>3893</v>
      </c>
      <c r="B3863" s="1">
        <v>45607</v>
      </c>
      <c r="C3863" t="s">
        <v>20</v>
      </c>
      <c r="D3863" t="s">
        <v>25</v>
      </c>
      <c r="E3863">
        <v>33</v>
      </c>
      <c r="F3863" t="s">
        <v>28</v>
      </c>
      <c r="G3863">
        <v>993.42</v>
      </c>
      <c r="H3863">
        <v>31</v>
      </c>
      <c r="I3863" t="s">
        <v>22</v>
      </c>
      <c r="J3863">
        <v>2.5</v>
      </c>
      <c r="K3863" t="s">
        <v>41</v>
      </c>
      <c r="L3863" t="s">
        <v>23</v>
      </c>
      <c r="M3863" t="str">
        <f>VLOOKUP(D3867,Restaurant_Master!A:B,2,FALSE)</f>
        <v>https://www.chatswoodinterchange.com/storages/2018/08/Sushi-World_666x448.jpg</v>
      </c>
    </row>
    <row r="3864" spans="1:13" x14ac:dyDescent="0.3">
      <c r="A3864" t="s">
        <v>3894</v>
      </c>
      <c r="B3864" s="1">
        <v>45304</v>
      </c>
      <c r="C3864" t="s">
        <v>20</v>
      </c>
      <c r="D3864" t="s">
        <v>25</v>
      </c>
      <c r="E3864">
        <v>39</v>
      </c>
      <c r="F3864" t="s">
        <v>15</v>
      </c>
      <c r="G3864">
        <v>744.51</v>
      </c>
      <c r="H3864">
        <v>60</v>
      </c>
      <c r="I3864" t="s">
        <v>16</v>
      </c>
      <c r="J3864">
        <v>4.4000000000000004</v>
      </c>
      <c r="K3864" t="s">
        <v>17</v>
      </c>
      <c r="L3864" t="s">
        <v>23</v>
      </c>
      <c r="M3864" t="str">
        <f>VLOOKUP(D3868,Restaurant_Master!A:B,2,FALSE)</f>
        <v>https://content.jdmagicbox.com/comp/deoria/g6/9999p5568.5568.200119143033.m4g6/catalogue/biryani-house-deoria-ho-deoria-mktc2xph0o.jpg</v>
      </c>
    </row>
    <row r="3865" spans="1:13" x14ac:dyDescent="0.3">
      <c r="A3865" t="s">
        <v>3895</v>
      </c>
      <c r="B3865" s="1">
        <v>45596</v>
      </c>
      <c r="C3865" t="s">
        <v>20</v>
      </c>
      <c r="D3865" t="s">
        <v>21</v>
      </c>
      <c r="E3865">
        <v>49</v>
      </c>
      <c r="F3865" t="s">
        <v>15</v>
      </c>
      <c r="G3865">
        <v>934.84</v>
      </c>
      <c r="H3865">
        <v>51</v>
      </c>
      <c r="I3865" t="s">
        <v>16</v>
      </c>
      <c r="J3865">
        <v>3.5</v>
      </c>
      <c r="K3865" t="s">
        <v>29</v>
      </c>
      <c r="L3865" t="s">
        <v>18</v>
      </c>
      <c r="M3865" t="str">
        <f>VLOOKUP(D3869,Restaurant_Master!A:B,2,FALSE)</f>
        <v>https://media-cdn.tripadvisor.com/media/photo-s/1c/c7/97/b6/photo6jpg.jpg</v>
      </c>
    </row>
    <row r="3866" spans="1:13" x14ac:dyDescent="0.3">
      <c r="A3866" t="s">
        <v>3896</v>
      </c>
      <c r="B3866" s="1">
        <v>45467</v>
      </c>
      <c r="C3866" t="s">
        <v>20</v>
      </c>
      <c r="D3866" t="s">
        <v>14</v>
      </c>
      <c r="E3866">
        <v>48</v>
      </c>
      <c r="F3866" t="s">
        <v>28</v>
      </c>
      <c r="G3866">
        <v>1123.6300000000001</v>
      </c>
      <c r="H3866">
        <v>47</v>
      </c>
      <c r="I3866" t="s">
        <v>16</v>
      </c>
      <c r="J3866">
        <v>4.3</v>
      </c>
      <c r="K3866" t="s">
        <v>41</v>
      </c>
      <c r="L3866" t="s">
        <v>23</v>
      </c>
      <c r="M3866" t="str">
        <f>VLOOKUP(D3870,Restaurant_Master!A:B,2,FALSE)</f>
        <v>https://dynamic-media-cdn.tripadvisor.com/media/photo-o/1c/e7/04/0d/front-of-the-local-easily.jpg</v>
      </c>
    </row>
    <row r="3867" spans="1:13" x14ac:dyDescent="0.3">
      <c r="A3867" t="s">
        <v>3897</v>
      </c>
      <c r="B3867" s="1">
        <v>45572</v>
      </c>
      <c r="C3867" t="s">
        <v>20</v>
      </c>
      <c r="D3867" t="s">
        <v>38</v>
      </c>
      <c r="E3867">
        <v>57</v>
      </c>
      <c r="F3867" t="s">
        <v>15</v>
      </c>
      <c r="G3867">
        <v>584.9</v>
      </c>
      <c r="H3867">
        <v>32</v>
      </c>
      <c r="I3867" t="s">
        <v>22</v>
      </c>
      <c r="J3867">
        <v>4.8</v>
      </c>
      <c r="K3867" t="s">
        <v>17</v>
      </c>
      <c r="L3867" t="s">
        <v>23</v>
      </c>
      <c r="M3867" t="str">
        <f>VLOOKUP(D3871,Restaurant_Master!A:B,2,FALSE)</f>
        <v>https://www.chatswoodinterchange.com/storages/2018/08/Sushi-World_666x448.jpg</v>
      </c>
    </row>
    <row r="3868" spans="1:13" x14ac:dyDescent="0.3">
      <c r="A3868" t="s">
        <v>3898</v>
      </c>
      <c r="B3868" s="1">
        <v>45412</v>
      </c>
      <c r="C3868" t="s">
        <v>20</v>
      </c>
      <c r="D3868" t="s">
        <v>32</v>
      </c>
      <c r="E3868">
        <v>32</v>
      </c>
      <c r="F3868" t="s">
        <v>15</v>
      </c>
      <c r="G3868">
        <v>416.56</v>
      </c>
      <c r="H3868">
        <v>30</v>
      </c>
      <c r="I3868" t="s">
        <v>22</v>
      </c>
      <c r="J3868">
        <v>3.4</v>
      </c>
      <c r="K3868" t="s">
        <v>41</v>
      </c>
      <c r="L3868" t="s">
        <v>18</v>
      </c>
      <c r="M3868" t="str">
        <f>VLOOKUP(D3872,Restaurant_Master!A:B,2,FALSE)</f>
        <v>https://www.chatswoodinterchange.com/storages/2018/08/Sushi-World_666x448.jpg</v>
      </c>
    </row>
    <row r="3869" spans="1:13" x14ac:dyDescent="0.3">
      <c r="A3869" t="s">
        <v>3899</v>
      </c>
      <c r="B3869" s="1">
        <v>45301</v>
      </c>
      <c r="C3869" t="s">
        <v>36</v>
      </c>
      <c r="D3869" t="s">
        <v>25</v>
      </c>
      <c r="E3869">
        <v>26</v>
      </c>
      <c r="F3869" t="s">
        <v>28</v>
      </c>
      <c r="G3869">
        <v>1178.19</v>
      </c>
      <c r="H3869">
        <v>52</v>
      </c>
      <c r="I3869" t="s">
        <v>16</v>
      </c>
      <c r="J3869">
        <v>3.7</v>
      </c>
      <c r="K3869" t="s">
        <v>26</v>
      </c>
      <c r="L3869" t="s">
        <v>18</v>
      </c>
      <c r="M3869" t="str">
        <f>VLOOKUP(D3873,Restaurant_Master!A:B,2,FALSE)</f>
        <v>https://www.chatswoodinterchange.com/storages/2018/08/Sushi-World_666x448.jpg</v>
      </c>
    </row>
    <row r="3870" spans="1:13" x14ac:dyDescent="0.3">
      <c r="A3870" t="s">
        <v>3900</v>
      </c>
      <c r="B3870" s="1">
        <v>45477</v>
      </c>
      <c r="C3870" t="s">
        <v>34</v>
      </c>
      <c r="D3870" t="s">
        <v>21</v>
      </c>
      <c r="E3870">
        <v>59</v>
      </c>
      <c r="F3870" t="s">
        <v>28</v>
      </c>
      <c r="G3870">
        <v>201.18</v>
      </c>
      <c r="H3870">
        <v>39</v>
      </c>
      <c r="I3870" t="s">
        <v>22</v>
      </c>
      <c r="J3870">
        <v>3.2</v>
      </c>
      <c r="K3870" t="s">
        <v>26</v>
      </c>
      <c r="L3870" t="s">
        <v>18</v>
      </c>
      <c r="M3870" t="str">
        <f>VLOOKUP(D3874,Restaurant_Master!A:B,2,FALSE)</f>
        <v>https://dineout-media-assets.swiggy.com/swiggy/image/upload/fl_lossy,f_auto,q_auto/v1660793737/fdqxvxcxg1wtdwvyv45v.jpg</v>
      </c>
    </row>
    <row r="3871" spans="1:13" x14ac:dyDescent="0.3">
      <c r="A3871" t="s">
        <v>3901</v>
      </c>
      <c r="B3871" s="1">
        <v>45499</v>
      </c>
      <c r="C3871" t="s">
        <v>20</v>
      </c>
      <c r="D3871" t="s">
        <v>38</v>
      </c>
      <c r="E3871">
        <v>46</v>
      </c>
      <c r="F3871" t="s">
        <v>15</v>
      </c>
      <c r="G3871">
        <v>975.1</v>
      </c>
      <c r="H3871">
        <v>28</v>
      </c>
      <c r="I3871" t="s">
        <v>22</v>
      </c>
      <c r="J3871">
        <v>3.7</v>
      </c>
      <c r="K3871" t="s">
        <v>29</v>
      </c>
      <c r="L3871" t="s">
        <v>18</v>
      </c>
      <c r="M3871" t="str">
        <f>VLOOKUP(D3875,Restaurant_Master!A:B,2,FALSE)</f>
        <v>https://dineout-media-assets.swiggy.com/swiggy/image/upload/fl_lossy,f_auto,q_auto/v1660793737/fdqxvxcxg1wtdwvyv45v.jpg</v>
      </c>
    </row>
    <row r="3872" spans="1:13" x14ac:dyDescent="0.3">
      <c r="A3872" t="s">
        <v>3902</v>
      </c>
      <c r="B3872" s="1">
        <v>45390</v>
      </c>
      <c r="C3872" t="s">
        <v>13</v>
      </c>
      <c r="D3872" t="s">
        <v>38</v>
      </c>
      <c r="E3872">
        <v>27</v>
      </c>
      <c r="F3872" t="s">
        <v>28</v>
      </c>
      <c r="G3872">
        <v>1102.69</v>
      </c>
      <c r="H3872">
        <v>38</v>
      </c>
      <c r="I3872" t="s">
        <v>22</v>
      </c>
      <c r="J3872">
        <v>4.4000000000000004</v>
      </c>
      <c r="K3872" t="s">
        <v>29</v>
      </c>
      <c r="L3872" t="s">
        <v>23</v>
      </c>
      <c r="M3872" t="str">
        <f>VLOOKUP(D3876,Restaurant_Master!A:B,2,FALSE)</f>
        <v>https://content.jdmagicbox.com/comp/deoria/g6/9999p5568.5568.200119143033.m4g6/catalogue/biryani-house-deoria-ho-deoria-mktc2xph0o.jpg</v>
      </c>
    </row>
    <row r="3873" spans="1:13" x14ac:dyDescent="0.3">
      <c r="A3873" t="s">
        <v>3903</v>
      </c>
      <c r="B3873" s="1">
        <v>45563</v>
      </c>
      <c r="C3873" t="s">
        <v>36</v>
      </c>
      <c r="D3873" t="s">
        <v>38</v>
      </c>
      <c r="E3873">
        <v>21</v>
      </c>
      <c r="F3873" t="s">
        <v>28</v>
      </c>
      <c r="G3873">
        <v>898.39</v>
      </c>
      <c r="H3873">
        <v>49</v>
      </c>
      <c r="I3873" t="s">
        <v>16</v>
      </c>
      <c r="J3873">
        <v>2.7</v>
      </c>
      <c r="K3873" t="s">
        <v>29</v>
      </c>
      <c r="L3873" t="s">
        <v>18</v>
      </c>
      <c r="M3873" t="str">
        <f>VLOOKUP(D3877,Restaurant_Master!A:B,2,FALSE)</f>
        <v>https://dynamic-media-cdn.tripadvisor.com/media/photo-o/1c/e7/04/0d/front-of-the-local-easily.jpg</v>
      </c>
    </row>
    <row r="3874" spans="1:13" x14ac:dyDescent="0.3">
      <c r="A3874" t="s">
        <v>3904</v>
      </c>
      <c r="B3874" s="1">
        <v>45657</v>
      </c>
      <c r="C3874" t="s">
        <v>34</v>
      </c>
      <c r="D3874" t="s">
        <v>14</v>
      </c>
      <c r="E3874">
        <v>48</v>
      </c>
      <c r="F3874" t="s">
        <v>15</v>
      </c>
      <c r="G3874">
        <v>1046.49</v>
      </c>
      <c r="H3874">
        <v>32</v>
      </c>
      <c r="I3874" t="s">
        <v>22</v>
      </c>
      <c r="J3874">
        <v>4.2</v>
      </c>
      <c r="K3874" t="s">
        <v>17</v>
      </c>
      <c r="L3874" t="s">
        <v>18</v>
      </c>
      <c r="M3874" t="str">
        <f>VLOOKUP(D3878,Restaurant_Master!A:B,2,FALSE)</f>
        <v>https://dynamic-media-cdn.tripadvisor.com/media/photo-o/1c/e7/04/0d/front-of-the-local-easily.jpg</v>
      </c>
    </row>
    <row r="3875" spans="1:13" x14ac:dyDescent="0.3">
      <c r="A3875" t="s">
        <v>3905</v>
      </c>
      <c r="B3875" s="1">
        <v>45638</v>
      </c>
      <c r="C3875" t="s">
        <v>20</v>
      </c>
      <c r="D3875" t="s">
        <v>14</v>
      </c>
      <c r="E3875">
        <v>32</v>
      </c>
      <c r="F3875" t="s">
        <v>28</v>
      </c>
      <c r="G3875">
        <v>706.45</v>
      </c>
      <c r="H3875">
        <v>28</v>
      </c>
      <c r="I3875" t="s">
        <v>22</v>
      </c>
      <c r="J3875">
        <v>3.2</v>
      </c>
      <c r="K3875" t="s">
        <v>26</v>
      </c>
      <c r="L3875" t="s">
        <v>23</v>
      </c>
      <c r="M3875" t="str">
        <f>VLOOKUP(D3879,Restaurant_Master!A:B,2,FALSE)</f>
        <v>https://www.chatswoodinterchange.com/storages/2018/08/Sushi-World_666x448.jpg</v>
      </c>
    </row>
    <row r="3876" spans="1:13" x14ac:dyDescent="0.3">
      <c r="A3876" t="s">
        <v>3906</v>
      </c>
      <c r="B3876" s="1">
        <v>45304</v>
      </c>
      <c r="C3876" t="s">
        <v>13</v>
      </c>
      <c r="D3876" t="s">
        <v>32</v>
      </c>
      <c r="E3876">
        <v>22</v>
      </c>
      <c r="F3876" t="s">
        <v>28</v>
      </c>
      <c r="G3876">
        <v>858.45</v>
      </c>
      <c r="H3876">
        <v>39</v>
      </c>
      <c r="I3876" t="s">
        <v>22</v>
      </c>
      <c r="J3876">
        <v>4.2</v>
      </c>
      <c r="K3876" t="s">
        <v>17</v>
      </c>
      <c r="L3876" t="s">
        <v>23</v>
      </c>
      <c r="M3876" t="str">
        <f>VLOOKUP(D3880,Restaurant_Master!A:B,2,FALSE)</f>
        <v>https://content.jdmagicbox.com/comp/deoria/g6/9999p5568.5568.200119143033.m4g6/catalogue/biryani-house-deoria-ho-deoria-mktc2xph0o.jpg</v>
      </c>
    </row>
    <row r="3877" spans="1:13" x14ac:dyDescent="0.3">
      <c r="A3877" t="s">
        <v>3907</v>
      </c>
      <c r="B3877" s="1">
        <v>45626</v>
      </c>
      <c r="C3877" t="s">
        <v>43</v>
      </c>
      <c r="D3877" t="s">
        <v>21</v>
      </c>
      <c r="E3877">
        <v>22</v>
      </c>
      <c r="F3877" t="s">
        <v>28</v>
      </c>
      <c r="G3877">
        <v>402.37</v>
      </c>
      <c r="H3877">
        <v>60</v>
      </c>
      <c r="I3877" t="s">
        <v>16</v>
      </c>
      <c r="J3877">
        <v>3.4</v>
      </c>
      <c r="K3877" t="s">
        <v>41</v>
      </c>
      <c r="L3877" t="s">
        <v>18</v>
      </c>
      <c r="M3877" t="str">
        <f>VLOOKUP(D3881,Restaurant_Master!A:B,2,FALSE)</f>
        <v>https://content.jdmagicbox.com/comp/deoria/g6/9999p5568.5568.200119143033.m4g6/catalogue/biryani-house-deoria-ho-deoria-mktc2xph0o.jpg</v>
      </c>
    </row>
    <row r="3878" spans="1:13" x14ac:dyDescent="0.3">
      <c r="A3878" t="s">
        <v>3908</v>
      </c>
      <c r="B3878" s="1">
        <v>45452</v>
      </c>
      <c r="C3878" t="s">
        <v>36</v>
      </c>
      <c r="D3878" t="s">
        <v>21</v>
      </c>
      <c r="E3878">
        <v>27</v>
      </c>
      <c r="F3878" t="s">
        <v>15</v>
      </c>
      <c r="G3878">
        <v>583.30999999999995</v>
      </c>
      <c r="H3878">
        <v>46</v>
      </c>
      <c r="I3878" t="s">
        <v>16</v>
      </c>
      <c r="J3878">
        <v>2.8</v>
      </c>
      <c r="K3878" t="s">
        <v>26</v>
      </c>
      <c r="L3878" t="s">
        <v>18</v>
      </c>
      <c r="M3878" t="str">
        <f>VLOOKUP(D3882,Restaurant_Master!A:B,2,FALSE)</f>
        <v>https://dineout-media-assets.swiggy.com/swiggy/image/upload/fl_lossy,f_auto,q_auto/v1660793737/fdqxvxcxg1wtdwvyv45v.jpg</v>
      </c>
    </row>
    <row r="3879" spans="1:13" x14ac:dyDescent="0.3">
      <c r="A3879" t="s">
        <v>3909</v>
      </c>
      <c r="B3879" s="1">
        <v>45486</v>
      </c>
      <c r="C3879" t="s">
        <v>13</v>
      </c>
      <c r="D3879" t="s">
        <v>38</v>
      </c>
      <c r="E3879">
        <v>33</v>
      </c>
      <c r="F3879" t="s">
        <v>28</v>
      </c>
      <c r="G3879">
        <v>805.34</v>
      </c>
      <c r="H3879">
        <v>58</v>
      </c>
      <c r="I3879" t="s">
        <v>16</v>
      </c>
      <c r="J3879">
        <v>3.5</v>
      </c>
      <c r="K3879" t="s">
        <v>41</v>
      </c>
      <c r="L3879" t="s">
        <v>23</v>
      </c>
      <c r="M3879" t="str">
        <f>VLOOKUP(D3883,Restaurant_Master!A:B,2,FALSE)</f>
        <v>https://dineout-media-assets.swiggy.com/swiggy/image/upload/fl_lossy,f_auto,q_auto/v1660793737/fdqxvxcxg1wtdwvyv45v.jpg</v>
      </c>
    </row>
    <row r="3880" spans="1:13" x14ac:dyDescent="0.3">
      <c r="A3880" t="s">
        <v>3910</v>
      </c>
      <c r="B3880" s="1">
        <v>45587</v>
      </c>
      <c r="C3880" t="s">
        <v>43</v>
      </c>
      <c r="D3880" t="s">
        <v>32</v>
      </c>
      <c r="E3880">
        <v>52</v>
      </c>
      <c r="F3880" t="s">
        <v>28</v>
      </c>
      <c r="G3880">
        <v>1019.49</v>
      </c>
      <c r="H3880">
        <v>41</v>
      </c>
      <c r="I3880" t="s">
        <v>16</v>
      </c>
      <c r="J3880">
        <v>2.6</v>
      </c>
      <c r="K3880" t="s">
        <v>26</v>
      </c>
      <c r="L3880" t="s">
        <v>18</v>
      </c>
      <c r="M3880" t="str">
        <f>VLOOKUP(D3884,Restaurant_Master!A:B,2,FALSE)</f>
        <v>https://www.chatswoodinterchange.com/storages/2018/08/Sushi-World_666x448.jpg</v>
      </c>
    </row>
    <row r="3881" spans="1:13" x14ac:dyDescent="0.3">
      <c r="A3881" t="s">
        <v>3911</v>
      </c>
      <c r="B3881" s="1">
        <v>45375</v>
      </c>
      <c r="C3881" t="s">
        <v>36</v>
      </c>
      <c r="D3881" t="s">
        <v>32</v>
      </c>
      <c r="E3881">
        <v>56</v>
      </c>
      <c r="F3881" t="s">
        <v>28</v>
      </c>
      <c r="G3881">
        <v>808.95</v>
      </c>
      <c r="H3881">
        <v>34</v>
      </c>
      <c r="I3881" t="s">
        <v>22</v>
      </c>
      <c r="J3881">
        <v>4.7</v>
      </c>
      <c r="K3881" t="s">
        <v>29</v>
      </c>
      <c r="L3881" t="s">
        <v>23</v>
      </c>
      <c r="M3881" t="str">
        <f>VLOOKUP(D3885,Restaurant_Master!A:B,2,FALSE)</f>
        <v>https://media-cdn.tripadvisor.com/media/photo-s/1c/c7/97/b6/photo6jpg.jpg</v>
      </c>
    </row>
    <row r="3882" spans="1:13" x14ac:dyDescent="0.3">
      <c r="A3882" t="s">
        <v>3912</v>
      </c>
      <c r="B3882" s="1">
        <v>45526</v>
      </c>
      <c r="C3882" t="s">
        <v>36</v>
      </c>
      <c r="D3882" t="s">
        <v>14</v>
      </c>
      <c r="E3882">
        <v>35</v>
      </c>
      <c r="F3882" t="s">
        <v>28</v>
      </c>
      <c r="G3882">
        <v>328.4</v>
      </c>
      <c r="H3882">
        <v>35</v>
      </c>
      <c r="I3882" t="s">
        <v>22</v>
      </c>
      <c r="J3882">
        <v>3.7</v>
      </c>
      <c r="K3882" t="s">
        <v>41</v>
      </c>
      <c r="L3882" t="s">
        <v>23</v>
      </c>
      <c r="M3882" t="str">
        <f>VLOOKUP(D3886,Restaurant_Master!A:B,2,FALSE)</f>
        <v>https://dineout-media-assets.swiggy.com/swiggy/image/upload/fl_lossy,f_auto,q_auto/v1660793737/fdqxvxcxg1wtdwvyv45v.jpg</v>
      </c>
    </row>
    <row r="3883" spans="1:13" x14ac:dyDescent="0.3">
      <c r="A3883" t="s">
        <v>3913</v>
      </c>
      <c r="B3883" s="1">
        <v>45585</v>
      </c>
      <c r="C3883" t="s">
        <v>43</v>
      </c>
      <c r="D3883" t="s">
        <v>14</v>
      </c>
      <c r="E3883">
        <v>30</v>
      </c>
      <c r="F3883" t="s">
        <v>15</v>
      </c>
      <c r="G3883">
        <v>1193.9000000000001</v>
      </c>
      <c r="H3883">
        <v>24</v>
      </c>
      <c r="I3883" t="s">
        <v>22</v>
      </c>
      <c r="J3883">
        <v>3.6</v>
      </c>
      <c r="K3883" t="s">
        <v>17</v>
      </c>
      <c r="L3883" t="s">
        <v>23</v>
      </c>
      <c r="M3883" t="str">
        <f>VLOOKUP(D3887,Restaurant_Master!A:B,2,FALSE)</f>
        <v>https://content.jdmagicbox.com/comp/deoria/g6/9999p5568.5568.200119143033.m4g6/catalogue/biryani-house-deoria-ho-deoria-mktc2xph0o.jpg</v>
      </c>
    </row>
    <row r="3884" spans="1:13" x14ac:dyDescent="0.3">
      <c r="A3884" t="s">
        <v>3914</v>
      </c>
      <c r="B3884" s="1">
        <v>45359</v>
      </c>
      <c r="C3884" t="s">
        <v>43</v>
      </c>
      <c r="D3884" t="s">
        <v>38</v>
      </c>
      <c r="E3884">
        <v>47</v>
      </c>
      <c r="F3884" t="s">
        <v>15</v>
      </c>
      <c r="G3884">
        <v>376.11</v>
      </c>
      <c r="H3884">
        <v>43</v>
      </c>
      <c r="I3884" t="s">
        <v>16</v>
      </c>
      <c r="J3884">
        <v>4.9000000000000004</v>
      </c>
      <c r="K3884" t="s">
        <v>41</v>
      </c>
      <c r="L3884" t="s">
        <v>23</v>
      </c>
      <c r="M3884" t="str">
        <f>VLOOKUP(D3888,Restaurant_Master!A:B,2,FALSE)</f>
        <v>https://content.jdmagicbox.com/comp/deoria/g6/9999p5568.5568.200119143033.m4g6/catalogue/biryani-house-deoria-ho-deoria-mktc2xph0o.jpg</v>
      </c>
    </row>
    <row r="3885" spans="1:13" x14ac:dyDescent="0.3">
      <c r="A3885" t="s">
        <v>3915</v>
      </c>
      <c r="B3885" s="1">
        <v>45611</v>
      </c>
      <c r="C3885" t="s">
        <v>43</v>
      </c>
      <c r="D3885" t="s">
        <v>25</v>
      </c>
      <c r="E3885">
        <v>58</v>
      </c>
      <c r="F3885" t="s">
        <v>15</v>
      </c>
      <c r="G3885">
        <v>232.1</v>
      </c>
      <c r="H3885">
        <v>50</v>
      </c>
      <c r="I3885" t="s">
        <v>16</v>
      </c>
      <c r="J3885">
        <v>3.4</v>
      </c>
      <c r="K3885" t="s">
        <v>41</v>
      </c>
      <c r="L3885" t="s">
        <v>18</v>
      </c>
      <c r="M3885" t="str">
        <f>VLOOKUP(D3889,Restaurant_Master!A:B,2,FALSE)</f>
        <v>https://dynamic-media-cdn.tripadvisor.com/media/photo-o/1c/e7/04/0d/front-of-the-local-easily.jpg</v>
      </c>
    </row>
    <row r="3886" spans="1:13" x14ac:dyDescent="0.3">
      <c r="A3886" t="s">
        <v>3916</v>
      </c>
      <c r="B3886" s="1">
        <v>45594</v>
      </c>
      <c r="C3886" t="s">
        <v>13</v>
      </c>
      <c r="D3886" t="s">
        <v>14</v>
      </c>
      <c r="E3886">
        <v>22</v>
      </c>
      <c r="F3886" t="s">
        <v>28</v>
      </c>
      <c r="G3886">
        <v>996.43</v>
      </c>
      <c r="H3886">
        <v>31</v>
      </c>
      <c r="I3886" t="s">
        <v>22</v>
      </c>
      <c r="J3886">
        <v>2.9</v>
      </c>
      <c r="K3886" t="s">
        <v>17</v>
      </c>
      <c r="L3886" t="s">
        <v>18</v>
      </c>
      <c r="M3886" t="str">
        <f>VLOOKUP(D3890,Restaurant_Master!A:B,2,FALSE)</f>
        <v>https://dineout-media-assets.swiggy.com/swiggy/image/upload/fl_lossy,f_auto,q_auto/v1660793737/fdqxvxcxg1wtdwvyv45v.jpg</v>
      </c>
    </row>
    <row r="3887" spans="1:13" x14ac:dyDescent="0.3">
      <c r="A3887" t="s">
        <v>3917</v>
      </c>
      <c r="B3887" s="1">
        <v>45618</v>
      </c>
      <c r="C3887" t="s">
        <v>36</v>
      </c>
      <c r="D3887" t="s">
        <v>32</v>
      </c>
      <c r="E3887">
        <v>19</v>
      </c>
      <c r="F3887" t="s">
        <v>28</v>
      </c>
      <c r="G3887">
        <v>494.76</v>
      </c>
      <c r="H3887">
        <v>57</v>
      </c>
      <c r="I3887" t="s">
        <v>16</v>
      </c>
      <c r="J3887">
        <v>4.7</v>
      </c>
      <c r="K3887" t="s">
        <v>17</v>
      </c>
      <c r="L3887" t="s">
        <v>23</v>
      </c>
      <c r="M3887" t="str">
        <f>VLOOKUP(D3891,Restaurant_Master!A:B,2,FALSE)</f>
        <v>https://dineout-media-assets.swiggy.com/swiggy/image/upload/fl_lossy,f_auto,q_auto/v1660793737/fdqxvxcxg1wtdwvyv45v.jpg</v>
      </c>
    </row>
    <row r="3888" spans="1:13" x14ac:dyDescent="0.3">
      <c r="A3888" t="s">
        <v>3918</v>
      </c>
      <c r="B3888" s="1">
        <v>45603</v>
      </c>
      <c r="C3888" t="s">
        <v>13</v>
      </c>
      <c r="D3888" t="s">
        <v>32</v>
      </c>
      <c r="E3888">
        <v>40</v>
      </c>
      <c r="F3888" t="s">
        <v>15</v>
      </c>
      <c r="G3888">
        <v>157.29</v>
      </c>
      <c r="H3888">
        <v>28</v>
      </c>
      <c r="I3888" t="s">
        <v>22</v>
      </c>
      <c r="J3888">
        <v>3.4</v>
      </c>
      <c r="K3888" t="s">
        <v>29</v>
      </c>
      <c r="L3888" t="s">
        <v>23</v>
      </c>
      <c r="M3888" t="str">
        <f>VLOOKUP(D3892,Restaurant_Master!A:B,2,FALSE)</f>
        <v>https://media-cdn.tripadvisor.com/media/photo-s/1c/c7/97/b6/photo6jpg.jpg</v>
      </c>
    </row>
    <row r="3889" spans="1:13" x14ac:dyDescent="0.3">
      <c r="A3889" t="s">
        <v>3919</v>
      </c>
      <c r="B3889" s="1">
        <v>45296</v>
      </c>
      <c r="C3889" t="s">
        <v>34</v>
      </c>
      <c r="D3889" t="s">
        <v>21</v>
      </c>
      <c r="E3889">
        <v>50</v>
      </c>
      <c r="F3889" t="s">
        <v>28</v>
      </c>
      <c r="G3889">
        <v>1134.67</v>
      </c>
      <c r="H3889">
        <v>35</v>
      </c>
      <c r="I3889" t="s">
        <v>22</v>
      </c>
      <c r="J3889">
        <v>2.8</v>
      </c>
      <c r="K3889" t="s">
        <v>29</v>
      </c>
      <c r="L3889" t="s">
        <v>18</v>
      </c>
      <c r="M3889" t="str">
        <f>VLOOKUP(D3893,Restaurant_Master!A:B,2,FALSE)</f>
        <v>https://dineout-media-assets.swiggy.com/swiggy/image/upload/fl_lossy,f_auto,q_auto/v1660793737/fdqxvxcxg1wtdwvyv45v.jpg</v>
      </c>
    </row>
    <row r="3890" spans="1:13" x14ac:dyDescent="0.3">
      <c r="A3890" t="s">
        <v>3920</v>
      </c>
      <c r="B3890" s="1">
        <v>45321</v>
      </c>
      <c r="C3890" t="s">
        <v>13</v>
      </c>
      <c r="D3890" t="s">
        <v>14</v>
      </c>
      <c r="E3890">
        <v>53</v>
      </c>
      <c r="F3890" t="s">
        <v>28</v>
      </c>
      <c r="G3890">
        <v>623.80999999999995</v>
      </c>
      <c r="H3890">
        <v>36</v>
      </c>
      <c r="I3890" t="s">
        <v>22</v>
      </c>
      <c r="J3890">
        <v>3.1</v>
      </c>
      <c r="K3890" t="s">
        <v>29</v>
      </c>
      <c r="L3890" t="s">
        <v>18</v>
      </c>
      <c r="M3890" t="str">
        <f>VLOOKUP(D3894,Restaurant_Master!A:B,2,FALSE)</f>
        <v>https://dineout-media-assets.swiggy.com/swiggy/image/upload/fl_lossy,f_auto,q_auto/v1660793737/fdqxvxcxg1wtdwvyv45v.jpg</v>
      </c>
    </row>
    <row r="3891" spans="1:13" x14ac:dyDescent="0.3">
      <c r="A3891" t="s">
        <v>3921</v>
      </c>
      <c r="B3891" s="1">
        <v>45524</v>
      </c>
      <c r="C3891" t="s">
        <v>34</v>
      </c>
      <c r="D3891" t="s">
        <v>14</v>
      </c>
      <c r="E3891">
        <v>49</v>
      </c>
      <c r="F3891" t="s">
        <v>28</v>
      </c>
      <c r="G3891">
        <v>326.54000000000002</v>
      </c>
      <c r="H3891">
        <v>40</v>
      </c>
      <c r="I3891" t="s">
        <v>22</v>
      </c>
      <c r="J3891">
        <v>3.4</v>
      </c>
      <c r="K3891" t="s">
        <v>29</v>
      </c>
      <c r="L3891" t="s">
        <v>18</v>
      </c>
      <c r="M3891" t="str">
        <f>VLOOKUP(D3895,Restaurant_Master!A:B,2,FALSE)</f>
        <v>https://media-cdn.tripadvisor.com/media/photo-s/1c/c7/97/b6/photo6jpg.jpg</v>
      </c>
    </row>
    <row r="3892" spans="1:13" x14ac:dyDescent="0.3">
      <c r="A3892" t="s">
        <v>3922</v>
      </c>
      <c r="B3892" s="1">
        <v>45651</v>
      </c>
      <c r="C3892" t="s">
        <v>13</v>
      </c>
      <c r="D3892" t="s">
        <v>25</v>
      </c>
      <c r="E3892">
        <v>48</v>
      </c>
      <c r="F3892" t="s">
        <v>28</v>
      </c>
      <c r="G3892">
        <v>152.01</v>
      </c>
      <c r="H3892">
        <v>40</v>
      </c>
      <c r="I3892" t="s">
        <v>22</v>
      </c>
      <c r="J3892">
        <v>3.1</v>
      </c>
      <c r="K3892" t="s">
        <v>29</v>
      </c>
      <c r="L3892" t="s">
        <v>18</v>
      </c>
      <c r="M3892" t="str">
        <f>VLOOKUP(D3896,Restaurant_Master!A:B,2,FALSE)</f>
        <v>https://dineout-media-assets.swiggy.com/swiggy/image/upload/fl_lossy,f_auto,q_auto/v1660793737/fdqxvxcxg1wtdwvyv45v.jpg</v>
      </c>
    </row>
    <row r="3893" spans="1:13" x14ac:dyDescent="0.3">
      <c r="A3893" t="s">
        <v>3923</v>
      </c>
      <c r="B3893" s="1">
        <v>45494</v>
      </c>
      <c r="C3893" t="s">
        <v>13</v>
      </c>
      <c r="D3893" t="s">
        <v>14</v>
      </c>
      <c r="E3893">
        <v>47</v>
      </c>
      <c r="F3893" t="s">
        <v>15</v>
      </c>
      <c r="G3893">
        <v>948.01</v>
      </c>
      <c r="H3893">
        <v>44</v>
      </c>
      <c r="I3893" t="s">
        <v>16</v>
      </c>
      <c r="J3893">
        <v>2.9</v>
      </c>
      <c r="K3893" t="s">
        <v>29</v>
      </c>
      <c r="L3893" t="s">
        <v>18</v>
      </c>
      <c r="M3893" t="str">
        <f>VLOOKUP(D3897,Restaurant_Master!A:B,2,FALSE)</f>
        <v>https://dineout-media-assets.swiggy.com/swiggy/image/upload/fl_lossy,f_auto,q_auto/v1660793737/fdqxvxcxg1wtdwvyv45v.jpg</v>
      </c>
    </row>
    <row r="3894" spans="1:13" x14ac:dyDescent="0.3">
      <c r="A3894" t="s">
        <v>3924</v>
      </c>
      <c r="B3894" s="1">
        <v>45390</v>
      </c>
      <c r="C3894" t="s">
        <v>36</v>
      </c>
      <c r="D3894" t="s">
        <v>14</v>
      </c>
      <c r="E3894">
        <v>50</v>
      </c>
      <c r="F3894" t="s">
        <v>28</v>
      </c>
      <c r="G3894">
        <v>899.95</v>
      </c>
      <c r="H3894">
        <v>47</v>
      </c>
      <c r="I3894" t="s">
        <v>16</v>
      </c>
      <c r="J3894">
        <v>3.9</v>
      </c>
      <c r="K3894" t="s">
        <v>29</v>
      </c>
      <c r="L3894" t="s">
        <v>23</v>
      </c>
      <c r="M3894" t="str">
        <f>VLOOKUP(D3898,Restaurant_Master!A:B,2,FALSE)</f>
        <v>https://dynamic-media-cdn.tripadvisor.com/media/photo-o/1c/e7/04/0d/front-of-the-local-easily.jpg</v>
      </c>
    </row>
    <row r="3895" spans="1:13" x14ac:dyDescent="0.3">
      <c r="A3895" t="s">
        <v>3925</v>
      </c>
      <c r="B3895" s="1">
        <v>45529</v>
      </c>
      <c r="C3895" t="s">
        <v>13</v>
      </c>
      <c r="D3895" t="s">
        <v>25</v>
      </c>
      <c r="E3895">
        <v>45</v>
      </c>
      <c r="F3895" t="s">
        <v>15</v>
      </c>
      <c r="G3895">
        <v>1025.79</v>
      </c>
      <c r="H3895">
        <v>51</v>
      </c>
      <c r="I3895" t="s">
        <v>16</v>
      </c>
      <c r="J3895">
        <v>4.5999999999999996</v>
      </c>
      <c r="K3895" t="s">
        <v>17</v>
      </c>
      <c r="L3895" t="s">
        <v>18</v>
      </c>
      <c r="M3895" t="str">
        <f>VLOOKUP(D3899,Restaurant_Master!A:B,2,FALSE)</f>
        <v>https://dineout-media-assets.swiggy.com/swiggy/image/upload/fl_lossy,f_auto,q_auto/v1660793737/fdqxvxcxg1wtdwvyv45v.jpg</v>
      </c>
    </row>
    <row r="3896" spans="1:13" x14ac:dyDescent="0.3">
      <c r="A3896" t="s">
        <v>3926</v>
      </c>
      <c r="B3896" s="1">
        <v>45511</v>
      </c>
      <c r="C3896" t="s">
        <v>43</v>
      </c>
      <c r="D3896" t="s">
        <v>14</v>
      </c>
      <c r="E3896">
        <v>56</v>
      </c>
      <c r="F3896" t="s">
        <v>15</v>
      </c>
      <c r="G3896">
        <v>994.51</v>
      </c>
      <c r="H3896">
        <v>60</v>
      </c>
      <c r="I3896" t="s">
        <v>16</v>
      </c>
      <c r="J3896">
        <v>4.0999999999999996</v>
      </c>
      <c r="K3896" t="s">
        <v>26</v>
      </c>
      <c r="L3896" t="s">
        <v>23</v>
      </c>
      <c r="M3896" t="str">
        <f>VLOOKUP(D3900,Restaurant_Master!A:B,2,FALSE)</f>
        <v>https://www.chatswoodinterchange.com/storages/2018/08/Sushi-World_666x448.jpg</v>
      </c>
    </row>
    <row r="3897" spans="1:13" x14ac:dyDescent="0.3">
      <c r="A3897" t="s">
        <v>3927</v>
      </c>
      <c r="B3897" s="1">
        <v>45490</v>
      </c>
      <c r="C3897" t="s">
        <v>13</v>
      </c>
      <c r="D3897" t="s">
        <v>14</v>
      </c>
      <c r="E3897">
        <v>25</v>
      </c>
      <c r="F3897" t="s">
        <v>28</v>
      </c>
      <c r="G3897">
        <v>367.1</v>
      </c>
      <c r="H3897">
        <v>59</v>
      </c>
      <c r="I3897" t="s">
        <v>16</v>
      </c>
      <c r="J3897">
        <v>4.5999999999999996</v>
      </c>
      <c r="K3897" t="s">
        <v>17</v>
      </c>
      <c r="L3897" t="s">
        <v>18</v>
      </c>
      <c r="M3897" t="str">
        <f>VLOOKUP(D3901,Restaurant_Master!A:B,2,FALSE)</f>
        <v>https://media-cdn.tripadvisor.com/media/photo-s/1c/c7/97/b6/photo6jpg.jpg</v>
      </c>
    </row>
    <row r="3898" spans="1:13" x14ac:dyDescent="0.3">
      <c r="A3898" t="s">
        <v>3928</v>
      </c>
      <c r="B3898" s="1">
        <v>45450</v>
      </c>
      <c r="C3898" t="s">
        <v>20</v>
      </c>
      <c r="D3898" t="s">
        <v>21</v>
      </c>
      <c r="E3898">
        <v>35</v>
      </c>
      <c r="F3898" t="s">
        <v>28</v>
      </c>
      <c r="G3898">
        <v>1046.55</v>
      </c>
      <c r="H3898">
        <v>42</v>
      </c>
      <c r="I3898" t="s">
        <v>16</v>
      </c>
      <c r="J3898">
        <v>2.5</v>
      </c>
      <c r="K3898" t="s">
        <v>17</v>
      </c>
      <c r="L3898" t="s">
        <v>23</v>
      </c>
      <c r="M3898" t="str">
        <f>VLOOKUP(D3902,Restaurant_Master!A:B,2,FALSE)</f>
        <v>https://dineout-media-assets.swiggy.com/swiggy/image/upload/fl_lossy,f_auto,q_auto/v1660793737/fdqxvxcxg1wtdwvyv45v.jpg</v>
      </c>
    </row>
    <row r="3899" spans="1:13" x14ac:dyDescent="0.3">
      <c r="A3899" t="s">
        <v>3929</v>
      </c>
      <c r="B3899" s="1">
        <v>45542</v>
      </c>
      <c r="C3899" t="s">
        <v>13</v>
      </c>
      <c r="D3899" t="s">
        <v>14</v>
      </c>
      <c r="E3899">
        <v>39</v>
      </c>
      <c r="F3899" t="s">
        <v>28</v>
      </c>
      <c r="G3899">
        <v>1089.42</v>
      </c>
      <c r="H3899">
        <v>59</v>
      </c>
      <c r="I3899" t="s">
        <v>16</v>
      </c>
      <c r="J3899">
        <v>5</v>
      </c>
      <c r="K3899" t="s">
        <v>29</v>
      </c>
      <c r="L3899" t="s">
        <v>18</v>
      </c>
      <c r="M3899" t="str">
        <f>VLOOKUP(D3903,Restaurant_Master!A:B,2,FALSE)</f>
        <v>https://www.chatswoodinterchange.com/storages/2018/08/Sushi-World_666x448.jpg</v>
      </c>
    </row>
    <row r="3900" spans="1:13" x14ac:dyDescent="0.3">
      <c r="A3900" t="s">
        <v>3930</v>
      </c>
      <c r="B3900" s="1">
        <v>45451</v>
      </c>
      <c r="C3900" t="s">
        <v>43</v>
      </c>
      <c r="D3900" t="s">
        <v>38</v>
      </c>
      <c r="E3900">
        <v>19</v>
      </c>
      <c r="F3900" t="s">
        <v>15</v>
      </c>
      <c r="G3900">
        <v>150.24</v>
      </c>
      <c r="H3900">
        <v>47</v>
      </c>
      <c r="I3900" t="s">
        <v>16</v>
      </c>
      <c r="J3900">
        <v>3.2</v>
      </c>
      <c r="K3900" t="s">
        <v>41</v>
      </c>
      <c r="L3900" t="s">
        <v>23</v>
      </c>
      <c r="M3900" t="str">
        <f>VLOOKUP(D3904,Restaurant_Master!A:B,2,FALSE)</f>
        <v>https://media-cdn.tripadvisor.com/media/photo-s/1c/c7/97/b6/photo6jpg.jpg</v>
      </c>
    </row>
    <row r="3901" spans="1:13" x14ac:dyDescent="0.3">
      <c r="A3901" t="s">
        <v>3931</v>
      </c>
      <c r="B3901" s="1">
        <v>45324</v>
      </c>
      <c r="C3901" t="s">
        <v>13</v>
      </c>
      <c r="D3901" t="s">
        <v>25</v>
      </c>
      <c r="E3901">
        <v>18</v>
      </c>
      <c r="F3901" t="s">
        <v>15</v>
      </c>
      <c r="G3901">
        <v>252.48</v>
      </c>
      <c r="H3901">
        <v>29</v>
      </c>
      <c r="I3901" t="s">
        <v>22</v>
      </c>
      <c r="J3901">
        <v>2.6</v>
      </c>
      <c r="K3901" t="s">
        <v>26</v>
      </c>
      <c r="L3901" t="s">
        <v>18</v>
      </c>
      <c r="M3901" t="str">
        <f>VLOOKUP(D3905,Restaurant_Master!A:B,2,FALSE)</f>
        <v>https://content.jdmagicbox.com/comp/deoria/g6/9999p5568.5568.200119143033.m4g6/catalogue/biryani-house-deoria-ho-deoria-mktc2xph0o.jpg</v>
      </c>
    </row>
    <row r="3902" spans="1:13" x14ac:dyDescent="0.3">
      <c r="A3902" t="s">
        <v>3932</v>
      </c>
      <c r="B3902" s="1">
        <v>45414</v>
      </c>
      <c r="C3902" t="s">
        <v>20</v>
      </c>
      <c r="D3902" t="s">
        <v>14</v>
      </c>
      <c r="E3902">
        <v>38</v>
      </c>
      <c r="F3902" t="s">
        <v>28</v>
      </c>
      <c r="G3902">
        <v>757.33</v>
      </c>
      <c r="H3902">
        <v>59</v>
      </c>
      <c r="I3902" t="s">
        <v>16</v>
      </c>
      <c r="J3902">
        <v>3.6</v>
      </c>
      <c r="K3902" t="s">
        <v>17</v>
      </c>
      <c r="L3902" t="s">
        <v>18</v>
      </c>
      <c r="M3902" t="str">
        <f>VLOOKUP(D3906,Restaurant_Master!A:B,2,FALSE)</f>
        <v>https://www.chatswoodinterchange.com/storages/2018/08/Sushi-World_666x448.jpg</v>
      </c>
    </row>
    <row r="3903" spans="1:13" x14ac:dyDescent="0.3">
      <c r="A3903" t="s">
        <v>3933</v>
      </c>
      <c r="B3903" s="1">
        <v>45540</v>
      </c>
      <c r="C3903" t="s">
        <v>13</v>
      </c>
      <c r="D3903" t="s">
        <v>38</v>
      </c>
      <c r="E3903">
        <v>35</v>
      </c>
      <c r="F3903" t="s">
        <v>28</v>
      </c>
      <c r="G3903">
        <v>617.38</v>
      </c>
      <c r="H3903">
        <v>56</v>
      </c>
      <c r="I3903" t="s">
        <v>16</v>
      </c>
      <c r="J3903">
        <v>4.2</v>
      </c>
      <c r="K3903" t="s">
        <v>26</v>
      </c>
      <c r="L3903" t="s">
        <v>23</v>
      </c>
      <c r="M3903" t="str">
        <f>VLOOKUP(D3907,Restaurant_Master!A:B,2,FALSE)</f>
        <v>https://www.chatswoodinterchange.com/storages/2018/08/Sushi-World_666x448.jpg</v>
      </c>
    </row>
    <row r="3904" spans="1:13" x14ac:dyDescent="0.3">
      <c r="A3904" t="s">
        <v>3934</v>
      </c>
      <c r="B3904" s="1">
        <v>45573</v>
      </c>
      <c r="C3904" t="s">
        <v>13</v>
      </c>
      <c r="D3904" t="s">
        <v>25</v>
      </c>
      <c r="E3904">
        <v>44</v>
      </c>
      <c r="F3904" t="s">
        <v>28</v>
      </c>
      <c r="G3904">
        <v>902.86</v>
      </c>
      <c r="H3904">
        <v>26</v>
      </c>
      <c r="I3904" t="s">
        <v>22</v>
      </c>
      <c r="J3904">
        <v>3.2</v>
      </c>
      <c r="K3904" t="s">
        <v>26</v>
      </c>
      <c r="L3904" t="s">
        <v>23</v>
      </c>
      <c r="M3904" t="str">
        <f>VLOOKUP(D3908,Restaurant_Master!A:B,2,FALSE)</f>
        <v>https://dineout-media-assets.swiggy.com/swiggy/image/upload/fl_lossy,f_auto,q_auto/v1660793737/fdqxvxcxg1wtdwvyv45v.jpg</v>
      </c>
    </row>
    <row r="3905" spans="1:13" x14ac:dyDescent="0.3">
      <c r="A3905" t="s">
        <v>3935</v>
      </c>
      <c r="B3905" s="1">
        <v>45329</v>
      </c>
      <c r="C3905" t="s">
        <v>20</v>
      </c>
      <c r="D3905" t="s">
        <v>32</v>
      </c>
      <c r="E3905">
        <v>50</v>
      </c>
      <c r="F3905" t="s">
        <v>15</v>
      </c>
      <c r="G3905">
        <v>519.42999999999995</v>
      </c>
      <c r="H3905">
        <v>57</v>
      </c>
      <c r="I3905" t="s">
        <v>16</v>
      </c>
      <c r="J3905">
        <v>2.6</v>
      </c>
      <c r="K3905" t="s">
        <v>26</v>
      </c>
      <c r="L3905" t="s">
        <v>18</v>
      </c>
      <c r="M3905" t="str">
        <f>VLOOKUP(D3909,Restaurant_Master!A:B,2,FALSE)</f>
        <v>https://dynamic-media-cdn.tripadvisor.com/media/photo-o/1c/e7/04/0d/front-of-the-local-easily.jpg</v>
      </c>
    </row>
    <row r="3906" spans="1:13" x14ac:dyDescent="0.3">
      <c r="A3906" t="s">
        <v>3936</v>
      </c>
      <c r="B3906" s="1">
        <v>45594</v>
      </c>
      <c r="C3906" t="s">
        <v>20</v>
      </c>
      <c r="D3906" t="s">
        <v>38</v>
      </c>
      <c r="E3906">
        <v>35</v>
      </c>
      <c r="F3906" t="s">
        <v>15</v>
      </c>
      <c r="G3906">
        <v>1146.42</v>
      </c>
      <c r="H3906">
        <v>28</v>
      </c>
      <c r="I3906" t="s">
        <v>22</v>
      </c>
      <c r="J3906">
        <v>4.2</v>
      </c>
      <c r="K3906" t="s">
        <v>17</v>
      </c>
      <c r="L3906" t="s">
        <v>23</v>
      </c>
      <c r="M3906" t="str">
        <f>VLOOKUP(D3910,Restaurant_Master!A:B,2,FALSE)</f>
        <v>https://content.jdmagicbox.com/comp/deoria/g6/9999p5568.5568.200119143033.m4g6/catalogue/biryani-house-deoria-ho-deoria-mktc2xph0o.jpg</v>
      </c>
    </row>
    <row r="3907" spans="1:13" x14ac:dyDescent="0.3">
      <c r="A3907" t="s">
        <v>3937</v>
      </c>
      <c r="B3907" s="1">
        <v>45388</v>
      </c>
      <c r="C3907" t="s">
        <v>36</v>
      </c>
      <c r="D3907" t="s">
        <v>38</v>
      </c>
      <c r="E3907">
        <v>38</v>
      </c>
      <c r="F3907" t="s">
        <v>15</v>
      </c>
      <c r="G3907">
        <v>397.95</v>
      </c>
      <c r="H3907">
        <v>33</v>
      </c>
      <c r="I3907" t="s">
        <v>22</v>
      </c>
      <c r="J3907">
        <v>3.6</v>
      </c>
      <c r="K3907" t="s">
        <v>29</v>
      </c>
      <c r="L3907" t="s">
        <v>23</v>
      </c>
      <c r="M3907" t="str">
        <f>VLOOKUP(D3911,Restaurant_Master!A:B,2,FALSE)</f>
        <v>https://media-cdn.tripadvisor.com/media/photo-s/1c/c7/97/b6/photo6jpg.jpg</v>
      </c>
    </row>
    <row r="3908" spans="1:13" x14ac:dyDescent="0.3">
      <c r="A3908" t="s">
        <v>3938</v>
      </c>
      <c r="B3908" s="1">
        <v>45628</v>
      </c>
      <c r="C3908" t="s">
        <v>36</v>
      </c>
      <c r="D3908" t="s">
        <v>14</v>
      </c>
      <c r="E3908">
        <v>19</v>
      </c>
      <c r="F3908" t="s">
        <v>15</v>
      </c>
      <c r="G3908">
        <v>612.44000000000005</v>
      </c>
      <c r="H3908">
        <v>56</v>
      </c>
      <c r="I3908" t="s">
        <v>16</v>
      </c>
      <c r="J3908">
        <v>3.8</v>
      </c>
      <c r="K3908" t="s">
        <v>29</v>
      </c>
      <c r="L3908" t="s">
        <v>23</v>
      </c>
      <c r="M3908" t="str">
        <f>VLOOKUP(D3912,Restaurant_Master!A:B,2,FALSE)</f>
        <v>https://media-cdn.tripadvisor.com/media/photo-s/1c/c7/97/b6/photo6jpg.jpg</v>
      </c>
    </row>
    <row r="3909" spans="1:13" x14ac:dyDescent="0.3">
      <c r="A3909" t="s">
        <v>3939</v>
      </c>
      <c r="B3909" s="1">
        <v>45389</v>
      </c>
      <c r="C3909" t="s">
        <v>13</v>
      </c>
      <c r="D3909" t="s">
        <v>21</v>
      </c>
      <c r="E3909">
        <v>53</v>
      </c>
      <c r="F3909" t="s">
        <v>15</v>
      </c>
      <c r="G3909">
        <v>338.59</v>
      </c>
      <c r="H3909">
        <v>36</v>
      </c>
      <c r="I3909" t="s">
        <v>22</v>
      </c>
      <c r="J3909">
        <v>3.7</v>
      </c>
      <c r="K3909" t="s">
        <v>17</v>
      </c>
      <c r="L3909" t="s">
        <v>18</v>
      </c>
      <c r="M3909" t="str">
        <f>VLOOKUP(D3913,Restaurant_Master!A:B,2,FALSE)</f>
        <v>https://dineout-media-assets.swiggy.com/swiggy/image/upload/fl_lossy,f_auto,q_auto/v1660793737/fdqxvxcxg1wtdwvyv45v.jpg</v>
      </c>
    </row>
    <row r="3910" spans="1:13" x14ac:dyDescent="0.3">
      <c r="A3910" t="s">
        <v>3940</v>
      </c>
      <c r="B3910" s="1">
        <v>45460</v>
      </c>
      <c r="C3910" t="s">
        <v>13</v>
      </c>
      <c r="D3910" t="s">
        <v>32</v>
      </c>
      <c r="E3910">
        <v>59</v>
      </c>
      <c r="F3910" t="s">
        <v>28</v>
      </c>
      <c r="G3910">
        <v>301.92</v>
      </c>
      <c r="H3910">
        <v>54</v>
      </c>
      <c r="I3910" t="s">
        <v>16</v>
      </c>
      <c r="J3910">
        <v>3.9</v>
      </c>
      <c r="K3910" t="s">
        <v>41</v>
      </c>
      <c r="L3910" t="s">
        <v>18</v>
      </c>
      <c r="M3910" t="str">
        <f>VLOOKUP(D3914,Restaurant_Master!A:B,2,FALSE)</f>
        <v>https://dynamic-media-cdn.tripadvisor.com/media/photo-o/1c/e7/04/0d/front-of-the-local-easily.jpg</v>
      </c>
    </row>
    <row r="3911" spans="1:13" x14ac:dyDescent="0.3">
      <c r="A3911" t="s">
        <v>3941</v>
      </c>
      <c r="B3911" s="1">
        <v>45377</v>
      </c>
      <c r="C3911" t="s">
        <v>34</v>
      </c>
      <c r="D3911" t="s">
        <v>25</v>
      </c>
      <c r="E3911">
        <v>21</v>
      </c>
      <c r="F3911" t="s">
        <v>28</v>
      </c>
      <c r="G3911">
        <v>940.67</v>
      </c>
      <c r="H3911">
        <v>25</v>
      </c>
      <c r="I3911" t="s">
        <v>22</v>
      </c>
      <c r="J3911">
        <v>3</v>
      </c>
      <c r="K3911" t="s">
        <v>29</v>
      </c>
      <c r="L3911" t="s">
        <v>23</v>
      </c>
      <c r="M3911" t="str">
        <f>VLOOKUP(D3915,Restaurant_Master!A:B,2,FALSE)</f>
        <v>https://media-cdn.tripadvisor.com/media/photo-s/1c/c7/97/b6/photo6jpg.jpg</v>
      </c>
    </row>
    <row r="3912" spans="1:13" x14ac:dyDescent="0.3">
      <c r="A3912" t="s">
        <v>3942</v>
      </c>
      <c r="B3912" s="1">
        <v>45527</v>
      </c>
      <c r="C3912" t="s">
        <v>34</v>
      </c>
      <c r="D3912" t="s">
        <v>25</v>
      </c>
      <c r="E3912">
        <v>44</v>
      </c>
      <c r="F3912" t="s">
        <v>15</v>
      </c>
      <c r="G3912">
        <v>1125.43</v>
      </c>
      <c r="H3912">
        <v>37</v>
      </c>
      <c r="I3912" t="s">
        <v>22</v>
      </c>
      <c r="J3912">
        <v>3.3</v>
      </c>
      <c r="K3912" t="s">
        <v>26</v>
      </c>
      <c r="L3912" t="s">
        <v>23</v>
      </c>
      <c r="M3912" t="str">
        <f>VLOOKUP(D3916,Restaurant_Master!A:B,2,FALSE)</f>
        <v>https://www.chatswoodinterchange.com/storages/2018/08/Sushi-World_666x448.jpg</v>
      </c>
    </row>
    <row r="3913" spans="1:13" x14ac:dyDescent="0.3">
      <c r="A3913" t="s">
        <v>3943</v>
      </c>
      <c r="B3913" s="1">
        <v>45549</v>
      </c>
      <c r="C3913" t="s">
        <v>43</v>
      </c>
      <c r="D3913" t="s">
        <v>14</v>
      </c>
      <c r="E3913">
        <v>19</v>
      </c>
      <c r="F3913" t="s">
        <v>28</v>
      </c>
      <c r="G3913">
        <v>626.88</v>
      </c>
      <c r="H3913">
        <v>40</v>
      </c>
      <c r="I3913" t="s">
        <v>22</v>
      </c>
      <c r="J3913">
        <v>4.4000000000000004</v>
      </c>
      <c r="K3913" t="s">
        <v>26</v>
      </c>
      <c r="L3913" t="s">
        <v>23</v>
      </c>
      <c r="M3913" t="str">
        <f>VLOOKUP(D3917,Restaurant_Master!A:B,2,FALSE)</f>
        <v>https://media-cdn.tripadvisor.com/media/photo-s/1c/c7/97/b6/photo6jpg.jpg</v>
      </c>
    </row>
    <row r="3914" spans="1:13" x14ac:dyDescent="0.3">
      <c r="A3914" t="s">
        <v>3944</v>
      </c>
      <c r="B3914" s="1">
        <v>45439</v>
      </c>
      <c r="C3914" t="s">
        <v>13</v>
      </c>
      <c r="D3914" t="s">
        <v>21</v>
      </c>
      <c r="E3914">
        <v>28</v>
      </c>
      <c r="F3914" t="s">
        <v>28</v>
      </c>
      <c r="G3914">
        <v>1192.8</v>
      </c>
      <c r="H3914">
        <v>50</v>
      </c>
      <c r="I3914" t="s">
        <v>16</v>
      </c>
      <c r="J3914">
        <v>4.3</v>
      </c>
      <c r="K3914" t="s">
        <v>17</v>
      </c>
      <c r="L3914" t="s">
        <v>18</v>
      </c>
      <c r="M3914" t="str">
        <f>VLOOKUP(D3918,Restaurant_Master!A:B,2,FALSE)</f>
        <v>https://dynamic-media-cdn.tripadvisor.com/media/photo-o/1c/e7/04/0d/front-of-the-local-easily.jpg</v>
      </c>
    </row>
    <row r="3915" spans="1:13" x14ac:dyDescent="0.3">
      <c r="A3915" t="s">
        <v>3945</v>
      </c>
      <c r="B3915" s="1">
        <v>45337</v>
      </c>
      <c r="C3915" t="s">
        <v>13</v>
      </c>
      <c r="D3915" t="s">
        <v>25</v>
      </c>
      <c r="E3915">
        <v>37</v>
      </c>
      <c r="F3915" t="s">
        <v>28</v>
      </c>
      <c r="G3915">
        <v>153.93</v>
      </c>
      <c r="H3915">
        <v>49</v>
      </c>
      <c r="I3915" t="s">
        <v>16</v>
      </c>
      <c r="J3915">
        <v>3.5</v>
      </c>
      <c r="K3915" t="s">
        <v>29</v>
      </c>
      <c r="L3915" t="s">
        <v>23</v>
      </c>
      <c r="M3915" t="str">
        <f>VLOOKUP(D3919,Restaurant_Master!A:B,2,FALSE)</f>
        <v>https://dineout-media-assets.swiggy.com/swiggy/image/upload/fl_lossy,f_auto,q_auto/v1660793737/fdqxvxcxg1wtdwvyv45v.jpg</v>
      </c>
    </row>
    <row r="3916" spans="1:13" x14ac:dyDescent="0.3">
      <c r="A3916" t="s">
        <v>3946</v>
      </c>
      <c r="B3916" s="1">
        <v>45394</v>
      </c>
      <c r="C3916" t="s">
        <v>34</v>
      </c>
      <c r="D3916" t="s">
        <v>38</v>
      </c>
      <c r="E3916">
        <v>27</v>
      </c>
      <c r="F3916" t="s">
        <v>28</v>
      </c>
      <c r="G3916">
        <v>609.46</v>
      </c>
      <c r="H3916">
        <v>53</v>
      </c>
      <c r="I3916" t="s">
        <v>16</v>
      </c>
      <c r="J3916">
        <v>3.4</v>
      </c>
      <c r="K3916" t="s">
        <v>41</v>
      </c>
      <c r="L3916" t="s">
        <v>18</v>
      </c>
      <c r="M3916" t="str">
        <f>VLOOKUP(D3920,Restaurant_Master!A:B,2,FALSE)</f>
        <v>https://dynamic-media-cdn.tripadvisor.com/media/photo-o/1c/e7/04/0d/front-of-the-local-easily.jpg</v>
      </c>
    </row>
    <row r="3917" spans="1:13" x14ac:dyDescent="0.3">
      <c r="A3917" t="s">
        <v>3947</v>
      </c>
      <c r="B3917" s="1">
        <v>45557</v>
      </c>
      <c r="C3917" t="s">
        <v>13</v>
      </c>
      <c r="D3917" t="s">
        <v>25</v>
      </c>
      <c r="E3917">
        <v>50</v>
      </c>
      <c r="F3917" t="s">
        <v>28</v>
      </c>
      <c r="G3917">
        <v>817.58</v>
      </c>
      <c r="H3917">
        <v>42</v>
      </c>
      <c r="I3917" t="s">
        <v>16</v>
      </c>
      <c r="J3917">
        <v>3.7</v>
      </c>
      <c r="K3917" t="s">
        <v>41</v>
      </c>
      <c r="L3917" t="s">
        <v>23</v>
      </c>
      <c r="M3917" t="str">
        <f>VLOOKUP(D3921,Restaurant_Master!A:B,2,FALSE)</f>
        <v>https://media-cdn.tripadvisor.com/media/photo-s/1c/c7/97/b6/photo6jpg.jpg</v>
      </c>
    </row>
    <row r="3918" spans="1:13" x14ac:dyDescent="0.3">
      <c r="A3918" t="s">
        <v>3948</v>
      </c>
      <c r="B3918" s="1">
        <v>45364</v>
      </c>
      <c r="C3918" t="s">
        <v>43</v>
      </c>
      <c r="D3918" t="s">
        <v>21</v>
      </c>
      <c r="E3918">
        <v>45</v>
      </c>
      <c r="F3918" t="s">
        <v>28</v>
      </c>
      <c r="G3918">
        <v>1013.46</v>
      </c>
      <c r="H3918">
        <v>34</v>
      </c>
      <c r="I3918" t="s">
        <v>22</v>
      </c>
      <c r="J3918">
        <v>3.9</v>
      </c>
      <c r="K3918" t="s">
        <v>26</v>
      </c>
      <c r="L3918" t="s">
        <v>23</v>
      </c>
      <c r="M3918" t="str">
        <f>VLOOKUP(D3922,Restaurant_Master!A:B,2,FALSE)</f>
        <v>https://dynamic-media-cdn.tripadvisor.com/media/photo-o/1c/e7/04/0d/front-of-the-local-easily.jpg</v>
      </c>
    </row>
    <row r="3919" spans="1:13" x14ac:dyDescent="0.3">
      <c r="A3919" t="s">
        <v>3949</v>
      </c>
      <c r="B3919" s="1">
        <v>45486</v>
      </c>
      <c r="C3919" t="s">
        <v>20</v>
      </c>
      <c r="D3919" t="s">
        <v>14</v>
      </c>
      <c r="E3919">
        <v>41</v>
      </c>
      <c r="F3919" t="s">
        <v>15</v>
      </c>
      <c r="G3919">
        <v>822.06</v>
      </c>
      <c r="H3919">
        <v>54</v>
      </c>
      <c r="I3919" t="s">
        <v>16</v>
      </c>
      <c r="J3919">
        <v>3.8</v>
      </c>
      <c r="K3919" t="s">
        <v>17</v>
      </c>
      <c r="L3919" t="s">
        <v>23</v>
      </c>
      <c r="M3919" t="str">
        <f>VLOOKUP(D3923,Restaurant_Master!A:B,2,FALSE)</f>
        <v>https://dineout-media-assets.swiggy.com/swiggy/image/upload/fl_lossy,f_auto,q_auto/v1660793737/fdqxvxcxg1wtdwvyv45v.jpg</v>
      </c>
    </row>
    <row r="3920" spans="1:13" x14ac:dyDescent="0.3">
      <c r="A3920" t="s">
        <v>3950</v>
      </c>
      <c r="B3920" s="1">
        <v>45622</v>
      </c>
      <c r="C3920" t="s">
        <v>43</v>
      </c>
      <c r="D3920" t="s">
        <v>21</v>
      </c>
      <c r="E3920">
        <v>35</v>
      </c>
      <c r="F3920" t="s">
        <v>28</v>
      </c>
      <c r="G3920">
        <v>586.89</v>
      </c>
      <c r="H3920">
        <v>56</v>
      </c>
      <c r="I3920" t="s">
        <v>16</v>
      </c>
      <c r="J3920">
        <v>3.5</v>
      </c>
      <c r="K3920" t="s">
        <v>41</v>
      </c>
      <c r="L3920" t="s">
        <v>18</v>
      </c>
      <c r="M3920" t="str">
        <f>VLOOKUP(D3924,Restaurant_Master!A:B,2,FALSE)</f>
        <v>https://dineout-media-assets.swiggy.com/swiggy/image/upload/fl_lossy,f_auto,q_auto/v1660793737/fdqxvxcxg1wtdwvyv45v.jpg</v>
      </c>
    </row>
    <row r="3921" spans="1:13" x14ac:dyDescent="0.3">
      <c r="A3921" t="s">
        <v>3951</v>
      </c>
      <c r="B3921" s="1">
        <v>45522</v>
      </c>
      <c r="C3921" t="s">
        <v>36</v>
      </c>
      <c r="D3921" t="s">
        <v>25</v>
      </c>
      <c r="E3921">
        <v>25</v>
      </c>
      <c r="F3921" t="s">
        <v>15</v>
      </c>
      <c r="G3921">
        <v>424.16</v>
      </c>
      <c r="H3921">
        <v>45</v>
      </c>
      <c r="I3921" t="s">
        <v>16</v>
      </c>
      <c r="J3921">
        <v>2.9</v>
      </c>
      <c r="K3921" t="s">
        <v>41</v>
      </c>
      <c r="L3921" t="s">
        <v>18</v>
      </c>
      <c r="M3921" t="str">
        <f>VLOOKUP(D3925,Restaurant_Master!A:B,2,FALSE)</f>
        <v>https://dynamic-media-cdn.tripadvisor.com/media/photo-o/1c/e7/04/0d/front-of-the-local-easily.jpg</v>
      </c>
    </row>
    <row r="3922" spans="1:13" x14ac:dyDescent="0.3">
      <c r="A3922" t="s">
        <v>3952</v>
      </c>
      <c r="B3922" s="1">
        <v>45583</v>
      </c>
      <c r="C3922" t="s">
        <v>43</v>
      </c>
      <c r="D3922" t="s">
        <v>21</v>
      </c>
      <c r="E3922">
        <v>31</v>
      </c>
      <c r="F3922" t="s">
        <v>28</v>
      </c>
      <c r="G3922">
        <v>600.75</v>
      </c>
      <c r="H3922">
        <v>31</v>
      </c>
      <c r="I3922" t="s">
        <v>22</v>
      </c>
      <c r="J3922">
        <v>3.4</v>
      </c>
      <c r="K3922" t="s">
        <v>26</v>
      </c>
      <c r="L3922" t="s">
        <v>23</v>
      </c>
      <c r="M3922" t="str">
        <f>VLOOKUP(D3926,Restaurant_Master!A:B,2,FALSE)</f>
        <v>https://www.chatswoodinterchange.com/storages/2018/08/Sushi-World_666x448.jpg</v>
      </c>
    </row>
    <row r="3923" spans="1:13" x14ac:dyDescent="0.3">
      <c r="A3923" t="s">
        <v>3953</v>
      </c>
      <c r="B3923" s="1">
        <v>45633</v>
      </c>
      <c r="C3923" t="s">
        <v>43</v>
      </c>
      <c r="D3923" t="s">
        <v>14</v>
      </c>
      <c r="E3923">
        <v>59</v>
      </c>
      <c r="F3923" t="s">
        <v>28</v>
      </c>
      <c r="G3923">
        <v>602.83000000000004</v>
      </c>
      <c r="H3923">
        <v>59</v>
      </c>
      <c r="I3923" t="s">
        <v>16</v>
      </c>
      <c r="J3923">
        <v>3.1</v>
      </c>
      <c r="K3923" t="s">
        <v>29</v>
      </c>
      <c r="L3923" t="s">
        <v>18</v>
      </c>
      <c r="M3923" t="str">
        <f>VLOOKUP(D3927,Restaurant_Master!A:B,2,FALSE)</f>
        <v>https://www.chatswoodinterchange.com/storages/2018/08/Sushi-World_666x448.jpg</v>
      </c>
    </row>
    <row r="3924" spans="1:13" x14ac:dyDescent="0.3">
      <c r="A3924" t="s">
        <v>3954</v>
      </c>
      <c r="B3924" s="1">
        <v>45385</v>
      </c>
      <c r="C3924" t="s">
        <v>13</v>
      </c>
      <c r="D3924" t="s">
        <v>14</v>
      </c>
      <c r="E3924">
        <v>20</v>
      </c>
      <c r="F3924" t="s">
        <v>28</v>
      </c>
      <c r="G3924">
        <v>1155.6400000000001</v>
      </c>
      <c r="H3924">
        <v>27</v>
      </c>
      <c r="I3924" t="s">
        <v>22</v>
      </c>
      <c r="J3924">
        <v>3.3</v>
      </c>
      <c r="K3924" t="s">
        <v>17</v>
      </c>
      <c r="L3924" t="s">
        <v>18</v>
      </c>
      <c r="M3924" t="str">
        <f>VLOOKUP(D3928,Restaurant_Master!A:B,2,FALSE)</f>
        <v>https://dynamic-media-cdn.tripadvisor.com/media/photo-o/1c/e7/04/0d/front-of-the-local-easily.jpg</v>
      </c>
    </row>
    <row r="3925" spans="1:13" x14ac:dyDescent="0.3">
      <c r="A3925" t="s">
        <v>3955</v>
      </c>
      <c r="B3925" s="1">
        <v>45353</v>
      </c>
      <c r="C3925" t="s">
        <v>36</v>
      </c>
      <c r="D3925" t="s">
        <v>21</v>
      </c>
      <c r="E3925">
        <v>19</v>
      </c>
      <c r="F3925" t="s">
        <v>15</v>
      </c>
      <c r="G3925">
        <v>1027.82</v>
      </c>
      <c r="H3925">
        <v>21</v>
      </c>
      <c r="I3925" t="s">
        <v>22</v>
      </c>
      <c r="J3925">
        <v>4.7</v>
      </c>
      <c r="K3925" t="s">
        <v>41</v>
      </c>
      <c r="L3925" t="s">
        <v>23</v>
      </c>
      <c r="M3925" t="str">
        <f>VLOOKUP(D3929,Restaurant_Master!A:B,2,FALSE)</f>
        <v>https://dynamic-media-cdn.tripadvisor.com/media/photo-o/1c/e7/04/0d/front-of-the-local-easily.jpg</v>
      </c>
    </row>
    <row r="3926" spans="1:13" x14ac:dyDescent="0.3">
      <c r="A3926" t="s">
        <v>3956</v>
      </c>
      <c r="B3926" s="1">
        <v>45517</v>
      </c>
      <c r="C3926" t="s">
        <v>36</v>
      </c>
      <c r="D3926" t="s">
        <v>38</v>
      </c>
      <c r="E3926">
        <v>24</v>
      </c>
      <c r="F3926" t="s">
        <v>15</v>
      </c>
      <c r="G3926">
        <v>200.35</v>
      </c>
      <c r="H3926">
        <v>29</v>
      </c>
      <c r="I3926" t="s">
        <v>22</v>
      </c>
      <c r="J3926">
        <v>3.1</v>
      </c>
      <c r="K3926" t="s">
        <v>41</v>
      </c>
      <c r="L3926" t="s">
        <v>23</v>
      </c>
      <c r="M3926" t="str">
        <f>VLOOKUP(D3930,Restaurant_Master!A:B,2,FALSE)</f>
        <v>https://www.chatswoodinterchange.com/storages/2018/08/Sushi-World_666x448.jpg</v>
      </c>
    </row>
    <row r="3927" spans="1:13" x14ac:dyDescent="0.3">
      <c r="A3927" t="s">
        <v>3957</v>
      </c>
      <c r="B3927" s="1">
        <v>45516</v>
      </c>
      <c r="C3927" t="s">
        <v>13</v>
      </c>
      <c r="D3927" t="s">
        <v>38</v>
      </c>
      <c r="E3927">
        <v>33</v>
      </c>
      <c r="F3927" t="s">
        <v>28</v>
      </c>
      <c r="G3927">
        <v>274.49</v>
      </c>
      <c r="H3927">
        <v>58</v>
      </c>
      <c r="I3927" t="s">
        <v>16</v>
      </c>
      <c r="J3927">
        <v>3.3</v>
      </c>
      <c r="K3927" t="s">
        <v>29</v>
      </c>
      <c r="L3927" t="s">
        <v>23</v>
      </c>
      <c r="M3927" t="str">
        <f>VLOOKUP(D3931,Restaurant_Master!A:B,2,FALSE)</f>
        <v>https://media-cdn.tripadvisor.com/media/photo-s/1c/c7/97/b6/photo6jpg.jpg</v>
      </c>
    </row>
    <row r="3928" spans="1:13" x14ac:dyDescent="0.3">
      <c r="A3928" t="s">
        <v>3958</v>
      </c>
      <c r="B3928" s="1">
        <v>45446</v>
      </c>
      <c r="C3928" t="s">
        <v>36</v>
      </c>
      <c r="D3928" t="s">
        <v>21</v>
      </c>
      <c r="E3928">
        <v>36</v>
      </c>
      <c r="F3928" t="s">
        <v>28</v>
      </c>
      <c r="G3928">
        <v>486.27</v>
      </c>
      <c r="H3928">
        <v>31</v>
      </c>
      <c r="I3928" t="s">
        <v>22</v>
      </c>
      <c r="J3928">
        <v>3</v>
      </c>
      <c r="K3928" t="s">
        <v>26</v>
      </c>
      <c r="L3928" t="s">
        <v>23</v>
      </c>
      <c r="M3928" t="str">
        <f>VLOOKUP(D3932,Restaurant_Master!A:B,2,FALSE)</f>
        <v>https://media-cdn.tripadvisor.com/media/photo-s/1c/c7/97/b6/photo6jpg.jpg</v>
      </c>
    </row>
    <row r="3929" spans="1:13" x14ac:dyDescent="0.3">
      <c r="A3929" t="s">
        <v>3959</v>
      </c>
      <c r="B3929" s="1">
        <v>45648</v>
      </c>
      <c r="C3929" t="s">
        <v>13</v>
      </c>
      <c r="D3929" t="s">
        <v>21</v>
      </c>
      <c r="E3929">
        <v>49</v>
      </c>
      <c r="F3929" t="s">
        <v>28</v>
      </c>
      <c r="G3929">
        <v>561.42999999999995</v>
      </c>
      <c r="H3929">
        <v>56</v>
      </c>
      <c r="I3929" t="s">
        <v>16</v>
      </c>
      <c r="J3929">
        <v>4.3</v>
      </c>
      <c r="K3929" t="s">
        <v>41</v>
      </c>
      <c r="L3929" t="s">
        <v>23</v>
      </c>
      <c r="M3929" t="str">
        <f>VLOOKUP(D3933,Restaurant_Master!A:B,2,FALSE)</f>
        <v>https://dynamic-media-cdn.tripadvisor.com/media/photo-o/1c/e7/04/0d/front-of-the-local-easily.jpg</v>
      </c>
    </row>
    <row r="3930" spans="1:13" x14ac:dyDescent="0.3">
      <c r="A3930" t="s">
        <v>3960</v>
      </c>
      <c r="B3930" s="1">
        <v>45396</v>
      </c>
      <c r="C3930" t="s">
        <v>43</v>
      </c>
      <c r="D3930" t="s">
        <v>38</v>
      </c>
      <c r="E3930">
        <v>56</v>
      </c>
      <c r="F3930" t="s">
        <v>28</v>
      </c>
      <c r="G3930">
        <v>799.97</v>
      </c>
      <c r="H3930">
        <v>50</v>
      </c>
      <c r="I3930" t="s">
        <v>16</v>
      </c>
      <c r="J3930">
        <v>3.2</v>
      </c>
      <c r="K3930" t="s">
        <v>26</v>
      </c>
      <c r="L3930" t="s">
        <v>23</v>
      </c>
      <c r="M3930" t="str">
        <f>VLOOKUP(D3934,Restaurant_Master!A:B,2,FALSE)</f>
        <v>https://media-cdn.tripadvisor.com/media/photo-s/1c/c7/97/b6/photo6jpg.jpg</v>
      </c>
    </row>
    <row r="3931" spans="1:13" x14ac:dyDescent="0.3">
      <c r="A3931" t="s">
        <v>3961</v>
      </c>
      <c r="B3931" s="1">
        <v>45497</v>
      </c>
      <c r="C3931" t="s">
        <v>20</v>
      </c>
      <c r="D3931" t="s">
        <v>25</v>
      </c>
      <c r="E3931">
        <v>46</v>
      </c>
      <c r="F3931" t="s">
        <v>28</v>
      </c>
      <c r="G3931">
        <v>579.48</v>
      </c>
      <c r="H3931">
        <v>44</v>
      </c>
      <c r="I3931" t="s">
        <v>16</v>
      </c>
      <c r="J3931">
        <v>4.5</v>
      </c>
      <c r="K3931" t="s">
        <v>17</v>
      </c>
      <c r="L3931" t="s">
        <v>23</v>
      </c>
      <c r="M3931" t="str">
        <f>VLOOKUP(D3935,Restaurant_Master!A:B,2,FALSE)</f>
        <v>https://dynamic-media-cdn.tripadvisor.com/media/photo-o/1c/e7/04/0d/front-of-the-local-easily.jpg</v>
      </c>
    </row>
    <row r="3932" spans="1:13" x14ac:dyDescent="0.3">
      <c r="A3932" t="s">
        <v>3962</v>
      </c>
      <c r="B3932" s="1">
        <v>45629</v>
      </c>
      <c r="C3932" t="s">
        <v>36</v>
      </c>
      <c r="D3932" t="s">
        <v>25</v>
      </c>
      <c r="E3932">
        <v>44</v>
      </c>
      <c r="F3932" t="s">
        <v>15</v>
      </c>
      <c r="G3932">
        <v>666.54</v>
      </c>
      <c r="H3932">
        <v>29</v>
      </c>
      <c r="I3932" t="s">
        <v>22</v>
      </c>
      <c r="J3932">
        <v>3.7</v>
      </c>
      <c r="K3932" t="s">
        <v>29</v>
      </c>
      <c r="L3932" t="s">
        <v>23</v>
      </c>
      <c r="M3932" t="str">
        <f>VLOOKUP(D3936,Restaurant_Master!A:B,2,FALSE)</f>
        <v>https://media-cdn.tripadvisor.com/media/photo-s/1c/c7/97/b6/photo6jpg.jpg</v>
      </c>
    </row>
    <row r="3933" spans="1:13" x14ac:dyDescent="0.3">
      <c r="A3933" t="s">
        <v>3963</v>
      </c>
      <c r="B3933" s="1">
        <v>45654</v>
      </c>
      <c r="C3933" t="s">
        <v>36</v>
      </c>
      <c r="D3933" t="s">
        <v>21</v>
      </c>
      <c r="E3933">
        <v>25</v>
      </c>
      <c r="F3933" t="s">
        <v>15</v>
      </c>
      <c r="G3933">
        <v>843.73</v>
      </c>
      <c r="H3933">
        <v>36</v>
      </c>
      <c r="I3933" t="s">
        <v>22</v>
      </c>
      <c r="J3933">
        <v>3</v>
      </c>
      <c r="K3933" t="s">
        <v>29</v>
      </c>
      <c r="L3933" t="s">
        <v>18</v>
      </c>
      <c r="M3933" t="str">
        <f>VLOOKUP(D3937,Restaurant_Master!A:B,2,FALSE)</f>
        <v>https://www.chatswoodinterchange.com/storages/2018/08/Sushi-World_666x448.jpg</v>
      </c>
    </row>
    <row r="3934" spans="1:13" x14ac:dyDescent="0.3">
      <c r="A3934" t="s">
        <v>3964</v>
      </c>
      <c r="B3934" s="1">
        <v>45389</v>
      </c>
      <c r="C3934" t="s">
        <v>43</v>
      </c>
      <c r="D3934" t="s">
        <v>25</v>
      </c>
      <c r="E3934">
        <v>55</v>
      </c>
      <c r="F3934" t="s">
        <v>28</v>
      </c>
      <c r="G3934">
        <v>905.45</v>
      </c>
      <c r="H3934">
        <v>46</v>
      </c>
      <c r="I3934" t="s">
        <v>16</v>
      </c>
      <c r="J3934">
        <v>3.7</v>
      </c>
      <c r="K3934" t="s">
        <v>17</v>
      </c>
      <c r="L3934" t="s">
        <v>18</v>
      </c>
      <c r="M3934" t="str">
        <f>VLOOKUP(D3938,Restaurant_Master!A:B,2,FALSE)</f>
        <v>https://dineout-media-assets.swiggy.com/swiggy/image/upload/fl_lossy,f_auto,q_auto/v1660793737/fdqxvxcxg1wtdwvyv45v.jpg</v>
      </c>
    </row>
    <row r="3935" spans="1:13" x14ac:dyDescent="0.3">
      <c r="A3935" t="s">
        <v>3965</v>
      </c>
      <c r="B3935" s="1">
        <v>45548</v>
      </c>
      <c r="C3935" t="s">
        <v>43</v>
      </c>
      <c r="D3935" t="s">
        <v>21</v>
      </c>
      <c r="E3935">
        <v>35</v>
      </c>
      <c r="F3935" t="s">
        <v>15</v>
      </c>
      <c r="G3935">
        <v>611.33000000000004</v>
      </c>
      <c r="H3935">
        <v>56</v>
      </c>
      <c r="I3935" t="s">
        <v>16</v>
      </c>
      <c r="J3935">
        <v>3.4</v>
      </c>
      <c r="K3935" t="s">
        <v>41</v>
      </c>
      <c r="L3935" t="s">
        <v>23</v>
      </c>
      <c r="M3935" t="str">
        <f>VLOOKUP(D3939,Restaurant_Master!A:B,2,FALSE)</f>
        <v>https://www.chatswoodinterchange.com/storages/2018/08/Sushi-World_666x448.jpg</v>
      </c>
    </row>
    <row r="3936" spans="1:13" x14ac:dyDescent="0.3">
      <c r="A3936" t="s">
        <v>3966</v>
      </c>
      <c r="B3936" s="1">
        <v>45441</v>
      </c>
      <c r="C3936" t="s">
        <v>34</v>
      </c>
      <c r="D3936" t="s">
        <v>25</v>
      </c>
      <c r="E3936">
        <v>52</v>
      </c>
      <c r="F3936" t="s">
        <v>28</v>
      </c>
      <c r="G3936">
        <v>520.14</v>
      </c>
      <c r="H3936">
        <v>20</v>
      </c>
      <c r="I3936" t="s">
        <v>22</v>
      </c>
      <c r="J3936">
        <v>4.8</v>
      </c>
      <c r="K3936" t="s">
        <v>29</v>
      </c>
      <c r="L3936" t="s">
        <v>23</v>
      </c>
      <c r="M3936" t="str">
        <f>VLOOKUP(D3940,Restaurant_Master!A:B,2,FALSE)</f>
        <v>https://dynamic-media-cdn.tripadvisor.com/media/photo-o/1c/e7/04/0d/front-of-the-local-easily.jpg</v>
      </c>
    </row>
    <row r="3937" spans="1:13" x14ac:dyDescent="0.3">
      <c r="A3937" t="s">
        <v>3967</v>
      </c>
      <c r="B3937" s="1">
        <v>45503</v>
      </c>
      <c r="C3937" t="s">
        <v>13</v>
      </c>
      <c r="D3937" t="s">
        <v>38</v>
      </c>
      <c r="E3937">
        <v>35</v>
      </c>
      <c r="F3937" t="s">
        <v>28</v>
      </c>
      <c r="G3937">
        <v>981.8</v>
      </c>
      <c r="H3937">
        <v>40</v>
      </c>
      <c r="I3937" t="s">
        <v>22</v>
      </c>
      <c r="J3937">
        <v>3.8</v>
      </c>
      <c r="K3937" t="s">
        <v>29</v>
      </c>
      <c r="L3937" t="s">
        <v>23</v>
      </c>
      <c r="M3937" t="str">
        <f>VLOOKUP(D3941,Restaurant_Master!A:B,2,FALSE)</f>
        <v>https://www.chatswoodinterchange.com/storages/2018/08/Sushi-World_666x448.jpg</v>
      </c>
    </row>
    <row r="3938" spans="1:13" x14ac:dyDescent="0.3">
      <c r="A3938" t="s">
        <v>3968</v>
      </c>
      <c r="B3938" s="1">
        <v>45546</v>
      </c>
      <c r="C3938" t="s">
        <v>36</v>
      </c>
      <c r="D3938" t="s">
        <v>14</v>
      </c>
      <c r="E3938">
        <v>21</v>
      </c>
      <c r="F3938" t="s">
        <v>15</v>
      </c>
      <c r="G3938">
        <v>217.44</v>
      </c>
      <c r="H3938">
        <v>33</v>
      </c>
      <c r="I3938" t="s">
        <v>22</v>
      </c>
      <c r="J3938">
        <v>3.1</v>
      </c>
      <c r="K3938" t="s">
        <v>17</v>
      </c>
      <c r="L3938" t="s">
        <v>23</v>
      </c>
      <c r="M3938" t="str">
        <f>VLOOKUP(D3942,Restaurant_Master!A:B,2,FALSE)</f>
        <v>https://content.jdmagicbox.com/comp/deoria/g6/9999p5568.5568.200119143033.m4g6/catalogue/biryani-house-deoria-ho-deoria-mktc2xph0o.jpg</v>
      </c>
    </row>
    <row r="3939" spans="1:13" x14ac:dyDescent="0.3">
      <c r="A3939" t="s">
        <v>3969</v>
      </c>
      <c r="B3939" s="1">
        <v>45508</v>
      </c>
      <c r="C3939" t="s">
        <v>36</v>
      </c>
      <c r="D3939" t="s">
        <v>38</v>
      </c>
      <c r="E3939">
        <v>24</v>
      </c>
      <c r="F3939" t="s">
        <v>28</v>
      </c>
      <c r="G3939">
        <v>229.8</v>
      </c>
      <c r="H3939">
        <v>39</v>
      </c>
      <c r="I3939" t="s">
        <v>22</v>
      </c>
      <c r="J3939">
        <v>4.5</v>
      </c>
      <c r="K3939" t="s">
        <v>29</v>
      </c>
      <c r="L3939" t="s">
        <v>23</v>
      </c>
      <c r="M3939" t="str">
        <f>VLOOKUP(D3943,Restaurant_Master!A:B,2,FALSE)</f>
        <v>https://dynamic-media-cdn.tripadvisor.com/media/photo-o/1c/e7/04/0d/front-of-the-local-easily.jpg</v>
      </c>
    </row>
    <row r="3940" spans="1:13" x14ac:dyDescent="0.3">
      <c r="A3940" t="s">
        <v>3970</v>
      </c>
      <c r="B3940" s="1">
        <v>45547</v>
      </c>
      <c r="C3940" t="s">
        <v>43</v>
      </c>
      <c r="D3940" t="s">
        <v>21</v>
      </c>
      <c r="E3940">
        <v>28</v>
      </c>
      <c r="F3940" t="s">
        <v>28</v>
      </c>
      <c r="G3940">
        <v>687.18</v>
      </c>
      <c r="H3940">
        <v>59</v>
      </c>
      <c r="I3940" t="s">
        <v>16</v>
      </c>
      <c r="J3940">
        <v>4.5</v>
      </c>
      <c r="K3940" t="s">
        <v>17</v>
      </c>
      <c r="L3940" t="s">
        <v>18</v>
      </c>
      <c r="M3940" t="str">
        <f>VLOOKUP(D3944,Restaurant_Master!A:B,2,FALSE)</f>
        <v>https://content.jdmagicbox.com/comp/deoria/g6/9999p5568.5568.200119143033.m4g6/catalogue/biryani-house-deoria-ho-deoria-mktc2xph0o.jpg</v>
      </c>
    </row>
    <row r="3941" spans="1:13" x14ac:dyDescent="0.3">
      <c r="A3941" t="s">
        <v>3971</v>
      </c>
      <c r="B3941" s="1">
        <v>45637</v>
      </c>
      <c r="C3941" t="s">
        <v>13</v>
      </c>
      <c r="D3941" t="s">
        <v>38</v>
      </c>
      <c r="E3941">
        <v>58</v>
      </c>
      <c r="F3941" t="s">
        <v>15</v>
      </c>
      <c r="G3941">
        <v>322.02</v>
      </c>
      <c r="H3941">
        <v>39</v>
      </c>
      <c r="I3941" t="s">
        <v>22</v>
      </c>
      <c r="J3941">
        <v>3.1</v>
      </c>
      <c r="K3941" t="s">
        <v>29</v>
      </c>
      <c r="L3941" t="s">
        <v>23</v>
      </c>
      <c r="M3941" t="str">
        <f>VLOOKUP(D3945,Restaurant_Master!A:B,2,FALSE)</f>
        <v>https://content.jdmagicbox.com/comp/deoria/g6/9999p5568.5568.200119143033.m4g6/catalogue/biryani-house-deoria-ho-deoria-mktc2xph0o.jpg</v>
      </c>
    </row>
    <row r="3942" spans="1:13" x14ac:dyDescent="0.3">
      <c r="A3942" t="s">
        <v>3972</v>
      </c>
      <c r="B3942" s="1">
        <v>45625</v>
      </c>
      <c r="C3942" t="s">
        <v>20</v>
      </c>
      <c r="D3942" t="s">
        <v>32</v>
      </c>
      <c r="E3942">
        <v>20</v>
      </c>
      <c r="F3942" t="s">
        <v>15</v>
      </c>
      <c r="G3942">
        <v>1170.96</v>
      </c>
      <c r="H3942">
        <v>34</v>
      </c>
      <c r="I3942" t="s">
        <v>22</v>
      </c>
      <c r="J3942">
        <v>4.9000000000000004</v>
      </c>
      <c r="K3942" t="s">
        <v>29</v>
      </c>
      <c r="L3942" t="s">
        <v>18</v>
      </c>
      <c r="M3942" t="str">
        <f>VLOOKUP(D3946,Restaurant_Master!A:B,2,FALSE)</f>
        <v>https://media-cdn.tripadvisor.com/media/photo-s/1c/c7/97/b6/photo6jpg.jpg</v>
      </c>
    </row>
    <row r="3943" spans="1:13" x14ac:dyDescent="0.3">
      <c r="A3943" t="s">
        <v>3973</v>
      </c>
      <c r="B3943" s="1">
        <v>45568</v>
      </c>
      <c r="C3943" t="s">
        <v>43</v>
      </c>
      <c r="D3943" t="s">
        <v>21</v>
      </c>
      <c r="E3943">
        <v>60</v>
      </c>
      <c r="F3943" t="s">
        <v>15</v>
      </c>
      <c r="G3943">
        <v>180.94</v>
      </c>
      <c r="H3943">
        <v>31</v>
      </c>
      <c r="I3943" t="s">
        <v>22</v>
      </c>
      <c r="J3943">
        <v>4.3</v>
      </c>
      <c r="K3943" t="s">
        <v>41</v>
      </c>
      <c r="L3943" t="s">
        <v>23</v>
      </c>
      <c r="M3943" t="str">
        <f>VLOOKUP(D3947,Restaurant_Master!A:B,2,FALSE)</f>
        <v>https://dynamic-media-cdn.tripadvisor.com/media/photo-o/1c/e7/04/0d/front-of-the-local-easily.jpg</v>
      </c>
    </row>
    <row r="3944" spans="1:13" x14ac:dyDescent="0.3">
      <c r="A3944" t="s">
        <v>3974</v>
      </c>
      <c r="B3944" s="1">
        <v>45541</v>
      </c>
      <c r="C3944" t="s">
        <v>36</v>
      </c>
      <c r="D3944" t="s">
        <v>32</v>
      </c>
      <c r="E3944">
        <v>46</v>
      </c>
      <c r="F3944" t="s">
        <v>28</v>
      </c>
      <c r="G3944">
        <v>303.17</v>
      </c>
      <c r="H3944">
        <v>30</v>
      </c>
      <c r="I3944" t="s">
        <v>22</v>
      </c>
      <c r="J3944">
        <v>3.6</v>
      </c>
      <c r="K3944" t="s">
        <v>29</v>
      </c>
      <c r="L3944" t="s">
        <v>18</v>
      </c>
      <c r="M3944" t="str">
        <f>VLOOKUP(D3948,Restaurant_Master!A:B,2,FALSE)</f>
        <v>https://dineout-media-assets.swiggy.com/swiggy/image/upload/fl_lossy,f_auto,q_auto/v1660793737/fdqxvxcxg1wtdwvyv45v.jpg</v>
      </c>
    </row>
    <row r="3945" spans="1:13" x14ac:dyDescent="0.3">
      <c r="A3945" t="s">
        <v>3975</v>
      </c>
      <c r="B3945" s="1">
        <v>45387</v>
      </c>
      <c r="C3945" t="s">
        <v>13</v>
      </c>
      <c r="D3945" t="s">
        <v>32</v>
      </c>
      <c r="E3945">
        <v>47</v>
      </c>
      <c r="F3945" t="s">
        <v>15</v>
      </c>
      <c r="G3945">
        <v>1199.67</v>
      </c>
      <c r="H3945">
        <v>41</v>
      </c>
      <c r="I3945" t="s">
        <v>16</v>
      </c>
      <c r="J3945">
        <v>3.7</v>
      </c>
      <c r="K3945" t="s">
        <v>17</v>
      </c>
      <c r="L3945" t="s">
        <v>18</v>
      </c>
      <c r="M3945" t="str">
        <f>VLOOKUP(D3949,Restaurant_Master!A:B,2,FALSE)</f>
        <v>https://dineout-media-assets.swiggy.com/swiggy/image/upload/fl_lossy,f_auto,q_auto/v1660793737/fdqxvxcxg1wtdwvyv45v.jpg</v>
      </c>
    </row>
    <row r="3946" spans="1:13" x14ac:dyDescent="0.3">
      <c r="A3946" t="s">
        <v>3976</v>
      </c>
      <c r="B3946" s="1">
        <v>45614</v>
      </c>
      <c r="C3946" t="s">
        <v>36</v>
      </c>
      <c r="D3946" t="s">
        <v>25</v>
      </c>
      <c r="E3946">
        <v>24</v>
      </c>
      <c r="F3946" t="s">
        <v>15</v>
      </c>
      <c r="G3946">
        <v>721.23</v>
      </c>
      <c r="H3946">
        <v>21</v>
      </c>
      <c r="I3946" t="s">
        <v>22</v>
      </c>
      <c r="J3946">
        <v>2.8</v>
      </c>
      <c r="K3946" t="s">
        <v>26</v>
      </c>
      <c r="L3946" t="s">
        <v>18</v>
      </c>
      <c r="M3946" t="str">
        <f>VLOOKUP(D3950,Restaurant_Master!A:B,2,FALSE)</f>
        <v>https://media-cdn.tripadvisor.com/media/photo-s/1c/c7/97/b6/photo6jpg.jpg</v>
      </c>
    </row>
    <row r="3947" spans="1:13" x14ac:dyDescent="0.3">
      <c r="A3947" t="s">
        <v>3977</v>
      </c>
      <c r="B3947" s="1">
        <v>45391</v>
      </c>
      <c r="C3947" t="s">
        <v>13</v>
      </c>
      <c r="D3947" t="s">
        <v>21</v>
      </c>
      <c r="E3947">
        <v>33</v>
      </c>
      <c r="F3947" t="s">
        <v>28</v>
      </c>
      <c r="G3947">
        <v>525.82000000000005</v>
      </c>
      <c r="H3947">
        <v>54</v>
      </c>
      <c r="I3947" t="s">
        <v>16</v>
      </c>
      <c r="J3947">
        <v>4.5999999999999996</v>
      </c>
      <c r="K3947" t="s">
        <v>17</v>
      </c>
      <c r="L3947" t="s">
        <v>23</v>
      </c>
      <c r="M3947" t="str">
        <f>VLOOKUP(D3951,Restaurant_Master!A:B,2,FALSE)</f>
        <v>https://www.chatswoodinterchange.com/storages/2018/08/Sushi-World_666x448.jpg</v>
      </c>
    </row>
    <row r="3948" spans="1:13" x14ac:dyDescent="0.3">
      <c r="A3948" t="s">
        <v>3978</v>
      </c>
      <c r="B3948" s="1">
        <v>45568</v>
      </c>
      <c r="C3948" t="s">
        <v>13</v>
      </c>
      <c r="D3948" t="s">
        <v>14</v>
      </c>
      <c r="E3948">
        <v>24</v>
      </c>
      <c r="F3948" t="s">
        <v>28</v>
      </c>
      <c r="G3948">
        <v>1193.78</v>
      </c>
      <c r="H3948">
        <v>35</v>
      </c>
      <c r="I3948" t="s">
        <v>22</v>
      </c>
      <c r="J3948">
        <v>4.5999999999999996</v>
      </c>
      <c r="K3948" t="s">
        <v>17</v>
      </c>
      <c r="L3948" t="s">
        <v>23</v>
      </c>
      <c r="M3948" t="str">
        <f>VLOOKUP(D3952,Restaurant_Master!A:B,2,FALSE)</f>
        <v>https://www.chatswoodinterchange.com/storages/2018/08/Sushi-World_666x448.jpg</v>
      </c>
    </row>
    <row r="3949" spans="1:13" x14ac:dyDescent="0.3">
      <c r="A3949" t="s">
        <v>3979</v>
      </c>
      <c r="B3949" s="1">
        <v>45590</v>
      </c>
      <c r="C3949" t="s">
        <v>34</v>
      </c>
      <c r="D3949" t="s">
        <v>14</v>
      </c>
      <c r="E3949">
        <v>37</v>
      </c>
      <c r="F3949" t="s">
        <v>15</v>
      </c>
      <c r="G3949">
        <v>536.97</v>
      </c>
      <c r="H3949">
        <v>50</v>
      </c>
      <c r="I3949" t="s">
        <v>16</v>
      </c>
      <c r="J3949">
        <v>4.7</v>
      </c>
      <c r="K3949" t="s">
        <v>26</v>
      </c>
      <c r="L3949" t="s">
        <v>18</v>
      </c>
      <c r="M3949" t="str">
        <f>VLOOKUP(D3953,Restaurant_Master!A:B,2,FALSE)</f>
        <v>https://dineout-media-assets.swiggy.com/swiggy/image/upload/fl_lossy,f_auto,q_auto/v1660793737/fdqxvxcxg1wtdwvyv45v.jpg</v>
      </c>
    </row>
    <row r="3950" spans="1:13" x14ac:dyDescent="0.3">
      <c r="A3950" t="s">
        <v>3980</v>
      </c>
      <c r="B3950" s="1">
        <v>45434</v>
      </c>
      <c r="C3950" t="s">
        <v>36</v>
      </c>
      <c r="D3950" t="s">
        <v>25</v>
      </c>
      <c r="E3950">
        <v>21</v>
      </c>
      <c r="F3950" t="s">
        <v>28</v>
      </c>
      <c r="G3950">
        <v>354.33</v>
      </c>
      <c r="H3950">
        <v>42</v>
      </c>
      <c r="I3950" t="s">
        <v>16</v>
      </c>
      <c r="J3950">
        <v>2.5</v>
      </c>
      <c r="K3950" t="s">
        <v>17</v>
      </c>
      <c r="L3950" t="s">
        <v>18</v>
      </c>
      <c r="M3950" t="str">
        <f>VLOOKUP(D3954,Restaurant_Master!A:B,2,FALSE)</f>
        <v>https://dynamic-media-cdn.tripadvisor.com/media/photo-o/1c/e7/04/0d/front-of-the-local-easily.jpg</v>
      </c>
    </row>
    <row r="3951" spans="1:13" x14ac:dyDescent="0.3">
      <c r="A3951" t="s">
        <v>3981</v>
      </c>
      <c r="B3951" s="1">
        <v>45504</v>
      </c>
      <c r="C3951" t="s">
        <v>13</v>
      </c>
      <c r="D3951" t="s">
        <v>38</v>
      </c>
      <c r="E3951">
        <v>27</v>
      </c>
      <c r="F3951" t="s">
        <v>28</v>
      </c>
      <c r="G3951">
        <v>167.65</v>
      </c>
      <c r="H3951">
        <v>59</v>
      </c>
      <c r="I3951" t="s">
        <v>16</v>
      </c>
      <c r="J3951">
        <v>3</v>
      </c>
      <c r="K3951" t="s">
        <v>17</v>
      </c>
      <c r="L3951" t="s">
        <v>18</v>
      </c>
      <c r="M3951" t="str">
        <f>VLOOKUP(D3955,Restaurant_Master!A:B,2,FALSE)</f>
        <v>https://www.chatswoodinterchange.com/storages/2018/08/Sushi-World_666x448.jpg</v>
      </c>
    </row>
    <row r="3952" spans="1:13" x14ac:dyDescent="0.3">
      <c r="A3952" t="s">
        <v>3982</v>
      </c>
      <c r="B3952" s="1">
        <v>45408</v>
      </c>
      <c r="C3952" t="s">
        <v>20</v>
      </c>
      <c r="D3952" t="s">
        <v>38</v>
      </c>
      <c r="E3952">
        <v>57</v>
      </c>
      <c r="F3952" t="s">
        <v>28</v>
      </c>
      <c r="G3952">
        <v>513.17999999999995</v>
      </c>
      <c r="H3952">
        <v>21</v>
      </c>
      <c r="I3952" t="s">
        <v>22</v>
      </c>
      <c r="J3952">
        <v>3.5</v>
      </c>
      <c r="K3952" t="s">
        <v>41</v>
      </c>
      <c r="L3952" t="s">
        <v>18</v>
      </c>
      <c r="M3952" t="str">
        <f>VLOOKUP(D3956,Restaurant_Master!A:B,2,FALSE)</f>
        <v>https://media-cdn.tripadvisor.com/media/photo-s/1c/c7/97/b6/photo6jpg.jpg</v>
      </c>
    </row>
    <row r="3953" spans="1:13" x14ac:dyDescent="0.3">
      <c r="A3953" t="s">
        <v>3983</v>
      </c>
      <c r="B3953" s="1">
        <v>45400</v>
      </c>
      <c r="C3953" t="s">
        <v>43</v>
      </c>
      <c r="D3953" t="s">
        <v>14</v>
      </c>
      <c r="E3953">
        <v>25</v>
      </c>
      <c r="F3953" t="s">
        <v>15</v>
      </c>
      <c r="G3953">
        <v>1160.92</v>
      </c>
      <c r="H3953">
        <v>46</v>
      </c>
      <c r="I3953" t="s">
        <v>16</v>
      </c>
      <c r="J3953">
        <v>3.1</v>
      </c>
      <c r="K3953" t="s">
        <v>26</v>
      </c>
      <c r="L3953" t="s">
        <v>18</v>
      </c>
      <c r="M3953" t="str">
        <f>VLOOKUP(D3957,Restaurant_Master!A:B,2,FALSE)</f>
        <v>https://dineout-media-assets.swiggy.com/swiggy/image/upload/fl_lossy,f_auto,q_auto/v1660793737/fdqxvxcxg1wtdwvyv45v.jpg</v>
      </c>
    </row>
    <row r="3954" spans="1:13" x14ac:dyDescent="0.3">
      <c r="A3954" t="s">
        <v>3984</v>
      </c>
      <c r="B3954" s="1">
        <v>45428</v>
      </c>
      <c r="C3954" t="s">
        <v>34</v>
      </c>
      <c r="D3954" t="s">
        <v>21</v>
      </c>
      <c r="E3954">
        <v>19</v>
      </c>
      <c r="F3954" t="s">
        <v>28</v>
      </c>
      <c r="G3954">
        <v>676.65</v>
      </c>
      <c r="H3954">
        <v>45</v>
      </c>
      <c r="I3954" t="s">
        <v>16</v>
      </c>
      <c r="J3954">
        <v>4.5999999999999996</v>
      </c>
      <c r="K3954" t="s">
        <v>41</v>
      </c>
      <c r="L3954" t="s">
        <v>18</v>
      </c>
      <c r="M3954" t="str">
        <f>VLOOKUP(D3958,Restaurant_Master!A:B,2,FALSE)</f>
        <v>https://www.chatswoodinterchange.com/storages/2018/08/Sushi-World_666x448.jpg</v>
      </c>
    </row>
    <row r="3955" spans="1:13" x14ac:dyDescent="0.3">
      <c r="A3955" t="s">
        <v>3985</v>
      </c>
      <c r="B3955" s="1">
        <v>45422</v>
      </c>
      <c r="C3955" t="s">
        <v>34</v>
      </c>
      <c r="D3955" t="s">
        <v>38</v>
      </c>
      <c r="E3955">
        <v>32</v>
      </c>
      <c r="F3955" t="s">
        <v>15</v>
      </c>
      <c r="G3955">
        <v>383.97</v>
      </c>
      <c r="H3955">
        <v>39</v>
      </c>
      <c r="I3955" t="s">
        <v>22</v>
      </c>
      <c r="J3955">
        <v>3.3</v>
      </c>
      <c r="K3955" t="s">
        <v>41</v>
      </c>
      <c r="L3955" t="s">
        <v>18</v>
      </c>
      <c r="M3955" t="str">
        <f>VLOOKUP(D3959,Restaurant_Master!A:B,2,FALSE)</f>
        <v>https://dineout-media-assets.swiggy.com/swiggy/image/upload/fl_lossy,f_auto,q_auto/v1660793737/fdqxvxcxg1wtdwvyv45v.jpg</v>
      </c>
    </row>
    <row r="3956" spans="1:13" x14ac:dyDescent="0.3">
      <c r="A3956" t="s">
        <v>3986</v>
      </c>
      <c r="B3956" s="1">
        <v>45350</v>
      </c>
      <c r="C3956" t="s">
        <v>34</v>
      </c>
      <c r="D3956" t="s">
        <v>25</v>
      </c>
      <c r="E3956">
        <v>57</v>
      </c>
      <c r="F3956" t="s">
        <v>15</v>
      </c>
      <c r="G3956">
        <v>706.58</v>
      </c>
      <c r="H3956">
        <v>38</v>
      </c>
      <c r="I3956" t="s">
        <v>22</v>
      </c>
      <c r="J3956">
        <v>4.3</v>
      </c>
      <c r="K3956" t="s">
        <v>41</v>
      </c>
      <c r="L3956" t="s">
        <v>23</v>
      </c>
      <c r="M3956" t="str">
        <f>VLOOKUP(D3960,Restaurant_Master!A:B,2,FALSE)</f>
        <v>https://media-cdn.tripadvisor.com/media/photo-s/1c/c7/97/b6/photo6jpg.jpg</v>
      </c>
    </row>
    <row r="3957" spans="1:13" x14ac:dyDescent="0.3">
      <c r="A3957" t="s">
        <v>3987</v>
      </c>
      <c r="B3957" s="1">
        <v>45506</v>
      </c>
      <c r="C3957" t="s">
        <v>43</v>
      </c>
      <c r="D3957" t="s">
        <v>14</v>
      </c>
      <c r="E3957">
        <v>18</v>
      </c>
      <c r="F3957" t="s">
        <v>28</v>
      </c>
      <c r="G3957">
        <v>375.08</v>
      </c>
      <c r="H3957">
        <v>24</v>
      </c>
      <c r="I3957" t="s">
        <v>22</v>
      </c>
      <c r="J3957">
        <v>3.6</v>
      </c>
      <c r="K3957" t="s">
        <v>17</v>
      </c>
      <c r="L3957" t="s">
        <v>23</v>
      </c>
      <c r="M3957" t="str">
        <f>VLOOKUP(D3961,Restaurant_Master!A:B,2,FALSE)</f>
        <v>https://content.jdmagicbox.com/comp/deoria/g6/9999p5568.5568.200119143033.m4g6/catalogue/biryani-house-deoria-ho-deoria-mktc2xph0o.jpg</v>
      </c>
    </row>
    <row r="3958" spans="1:13" x14ac:dyDescent="0.3">
      <c r="A3958" t="s">
        <v>3988</v>
      </c>
      <c r="B3958" s="1">
        <v>45537</v>
      </c>
      <c r="C3958" t="s">
        <v>34</v>
      </c>
      <c r="D3958" t="s">
        <v>38</v>
      </c>
      <c r="E3958">
        <v>48</v>
      </c>
      <c r="F3958" t="s">
        <v>15</v>
      </c>
      <c r="G3958">
        <v>1141.1500000000001</v>
      </c>
      <c r="H3958">
        <v>25</v>
      </c>
      <c r="I3958" t="s">
        <v>22</v>
      </c>
      <c r="J3958">
        <v>3.6</v>
      </c>
      <c r="K3958" t="s">
        <v>29</v>
      </c>
      <c r="L3958" t="s">
        <v>23</v>
      </c>
      <c r="M3958" t="str">
        <f>VLOOKUP(D3962,Restaurant_Master!A:B,2,FALSE)</f>
        <v>https://www.chatswoodinterchange.com/storages/2018/08/Sushi-World_666x448.jpg</v>
      </c>
    </row>
    <row r="3959" spans="1:13" x14ac:dyDescent="0.3">
      <c r="A3959" t="s">
        <v>3989</v>
      </c>
      <c r="B3959" s="1">
        <v>45526</v>
      </c>
      <c r="C3959" t="s">
        <v>43</v>
      </c>
      <c r="D3959" t="s">
        <v>14</v>
      </c>
      <c r="E3959">
        <v>38</v>
      </c>
      <c r="F3959" t="s">
        <v>15</v>
      </c>
      <c r="G3959">
        <v>895.88</v>
      </c>
      <c r="H3959">
        <v>57</v>
      </c>
      <c r="I3959" t="s">
        <v>16</v>
      </c>
      <c r="J3959">
        <v>3.2</v>
      </c>
      <c r="K3959" t="s">
        <v>17</v>
      </c>
      <c r="L3959" t="s">
        <v>18</v>
      </c>
      <c r="M3959" t="str">
        <f>VLOOKUP(D3963,Restaurant_Master!A:B,2,FALSE)</f>
        <v>https://www.chatswoodinterchange.com/storages/2018/08/Sushi-World_666x448.jpg</v>
      </c>
    </row>
    <row r="3960" spans="1:13" x14ac:dyDescent="0.3">
      <c r="A3960" t="s">
        <v>3990</v>
      </c>
      <c r="B3960" s="1">
        <v>45457</v>
      </c>
      <c r="C3960" t="s">
        <v>20</v>
      </c>
      <c r="D3960" t="s">
        <v>25</v>
      </c>
      <c r="E3960">
        <v>20</v>
      </c>
      <c r="F3960" t="s">
        <v>28</v>
      </c>
      <c r="G3960">
        <v>1165.82</v>
      </c>
      <c r="H3960">
        <v>53</v>
      </c>
      <c r="I3960" t="s">
        <v>16</v>
      </c>
      <c r="J3960">
        <v>4.7</v>
      </c>
      <c r="K3960" t="s">
        <v>29</v>
      </c>
      <c r="L3960" t="s">
        <v>18</v>
      </c>
      <c r="M3960" t="str">
        <f>VLOOKUP(D3964,Restaurant_Master!A:B,2,FALSE)</f>
        <v>https://dineout-media-assets.swiggy.com/swiggy/image/upload/fl_lossy,f_auto,q_auto/v1660793737/fdqxvxcxg1wtdwvyv45v.jpg</v>
      </c>
    </row>
    <row r="3961" spans="1:13" x14ac:dyDescent="0.3">
      <c r="A3961" t="s">
        <v>3991</v>
      </c>
      <c r="B3961" s="1">
        <v>45607</v>
      </c>
      <c r="C3961" t="s">
        <v>43</v>
      </c>
      <c r="D3961" t="s">
        <v>32</v>
      </c>
      <c r="E3961">
        <v>52</v>
      </c>
      <c r="F3961" t="s">
        <v>15</v>
      </c>
      <c r="G3961">
        <v>223.03</v>
      </c>
      <c r="H3961">
        <v>20</v>
      </c>
      <c r="I3961" t="s">
        <v>22</v>
      </c>
      <c r="J3961">
        <v>2.8</v>
      </c>
      <c r="K3961" t="s">
        <v>17</v>
      </c>
      <c r="L3961" t="s">
        <v>18</v>
      </c>
      <c r="M3961" t="str">
        <f>VLOOKUP(D3965,Restaurant_Master!A:B,2,FALSE)</f>
        <v>https://content.jdmagicbox.com/comp/deoria/g6/9999p5568.5568.200119143033.m4g6/catalogue/biryani-house-deoria-ho-deoria-mktc2xph0o.jpg</v>
      </c>
    </row>
    <row r="3962" spans="1:13" x14ac:dyDescent="0.3">
      <c r="A3962" t="s">
        <v>3992</v>
      </c>
      <c r="B3962" s="1">
        <v>45390</v>
      </c>
      <c r="C3962" t="s">
        <v>34</v>
      </c>
      <c r="D3962" t="s">
        <v>38</v>
      </c>
      <c r="E3962">
        <v>54</v>
      </c>
      <c r="F3962" t="s">
        <v>28</v>
      </c>
      <c r="G3962">
        <v>770.97</v>
      </c>
      <c r="H3962">
        <v>40</v>
      </c>
      <c r="I3962" t="s">
        <v>22</v>
      </c>
      <c r="J3962">
        <v>4.4000000000000004</v>
      </c>
      <c r="K3962" t="s">
        <v>26</v>
      </c>
      <c r="L3962" t="s">
        <v>23</v>
      </c>
      <c r="M3962" t="str">
        <f>VLOOKUP(D3966,Restaurant_Master!A:B,2,FALSE)</f>
        <v>https://dynamic-media-cdn.tripadvisor.com/media/photo-o/1c/e7/04/0d/front-of-the-local-easily.jpg</v>
      </c>
    </row>
    <row r="3963" spans="1:13" x14ac:dyDescent="0.3">
      <c r="A3963" t="s">
        <v>3993</v>
      </c>
      <c r="B3963" s="1">
        <v>45641</v>
      </c>
      <c r="C3963" t="s">
        <v>20</v>
      </c>
      <c r="D3963" t="s">
        <v>38</v>
      </c>
      <c r="E3963">
        <v>43</v>
      </c>
      <c r="F3963" t="s">
        <v>15</v>
      </c>
      <c r="G3963">
        <v>1026.4100000000001</v>
      </c>
      <c r="H3963">
        <v>50</v>
      </c>
      <c r="I3963" t="s">
        <v>16</v>
      </c>
      <c r="J3963">
        <v>4.4000000000000004</v>
      </c>
      <c r="K3963" t="s">
        <v>29</v>
      </c>
      <c r="L3963" t="s">
        <v>18</v>
      </c>
      <c r="M3963" t="str">
        <f>VLOOKUP(D3967,Restaurant_Master!A:B,2,FALSE)</f>
        <v>https://dynamic-media-cdn.tripadvisor.com/media/photo-o/1c/e7/04/0d/front-of-the-local-easily.jpg</v>
      </c>
    </row>
    <row r="3964" spans="1:13" x14ac:dyDescent="0.3">
      <c r="A3964" t="s">
        <v>3994</v>
      </c>
      <c r="B3964" s="1">
        <v>45577</v>
      </c>
      <c r="C3964" t="s">
        <v>34</v>
      </c>
      <c r="D3964" t="s">
        <v>14</v>
      </c>
      <c r="E3964">
        <v>27</v>
      </c>
      <c r="F3964" t="s">
        <v>28</v>
      </c>
      <c r="G3964">
        <v>297.58999999999997</v>
      </c>
      <c r="H3964">
        <v>46</v>
      </c>
      <c r="I3964" t="s">
        <v>16</v>
      </c>
      <c r="J3964">
        <v>4.5</v>
      </c>
      <c r="K3964" t="s">
        <v>26</v>
      </c>
      <c r="L3964" t="s">
        <v>23</v>
      </c>
      <c r="M3964" t="str">
        <f>VLOOKUP(D3968,Restaurant_Master!A:B,2,FALSE)</f>
        <v>https://dineout-media-assets.swiggy.com/swiggy/image/upload/fl_lossy,f_auto,q_auto/v1660793737/fdqxvxcxg1wtdwvyv45v.jpg</v>
      </c>
    </row>
    <row r="3965" spans="1:13" x14ac:dyDescent="0.3">
      <c r="A3965" t="s">
        <v>3995</v>
      </c>
      <c r="B3965" s="1">
        <v>45608</v>
      </c>
      <c r="C3965" t="s">
        <v>34</v>
      </c>
      <c r="D3965" t="s">
        <v>32</v>
      </c>
      <c r="E3965">
        <v>60</v>
      </c>
      <c r="F3965" t="s">
        <v>28</v>
      </c>
      <c r="G3965">
        <v>209.2</v>
      </c>
      <c r="H3965">
        <v>51</v>
      </c>
      <c r="I3965" t="s">
        <v>16</v>
      </c>
      <c r="J3965">
        <v>3.2</v>
      </c>
      <c r="K3965" t="s">
        <v>26</v>
      </c>
      <c r="L3965" t="s">
        <v>18</v>
      </c>
      <c r="M3965" t="str">
        <f>VLOOKUP(D3969,Restaurant_Master!A:B,2,FALSE)</f>
        <v>https://media-cdn.tripadvisor.com/media/photo-s/1c/c7/97/b6/photo6jpg.jpg</v>
      </c>
    </row>
    <row r="3966" spans="1:13" x14ac:dyDescent="0.3">
      <c r="A3966" t="s">
        <v>3996</v>
      </c>
      <c r="B3966" s="1">
        <v>45300</v>
      </c>
      <c r="C3966" t="s">
        <v>36</v>
      </c>
      <c r="D3966" t="s">
        <v>21</v>
      </c>
      <c r="E3966">
        <v>28</v>
      </c>
      <c r="F3966" t="s">
        <v>28</v>
      </c>
      <c r="G3966">
        <v>244.04</v>
      </c>
      <c r="H3966">
        <v>49</v>
      </c>
      <c r="I3966" t="s">
        <v>16</v>
      </c>
      <c r="J3966">
        <v>4.9000000000000004</v>
      </c>
      <c r="K3966" t="s">
        <v>29</v>
      </c>
      <c r="L3966" t="s">
        <v>18</v>
      </c>
      <c r="M3966" t="str">
        <f>VLOOKUP(D3970,Restaurant_Master!A:B,2,FALSE)</f>
        <v>https://content.jdmagicbox.com/comp/deoria/g6/9999p5568.5568.200119143033.m4g6/catalogue/biryani-house-deoria-ho-deoria-mktc2xph0o.jpg</v>
      </c>
    </row>
    <row r="3967" spans="1:13" x14ac:dyDescent="0.3">
      <c r="A3967" t="s">
        <v>3997</v>
      </c>
      <c r="B3967" s="1">
        <v>45386</v>
      </c>
      <c r="C3967" t="s">
        <v>20</v>
      </c>
      <c r="D3967" t="s">
        <v>21</v>
      </c>
      <c r="E3967">
        <v>30</v>
      </c>
      <c r="F3967" t="s">
        <v>15</v>
      </c>
      <c r="G3967">
        <v>184.8</v>
      </c>
      <c r="H3967">
        <v>27</v>
      </c>
      <c r="I3967" t="s">
        <v>22</v>
      </c>
      <c r="J3967">
        <v>2.9</v>
      </c>
      <c r="K3967" t="s">
        <v>26</v>
      </c>
      <c r="L3967" t="s">
        <v>18</v>
      </c>
      <c r="M3967" t="str">
        <f>VLOOKUP(D3971,Restaurant_Master!A:B,2,FALSE)</f>
        <v>https://www.chatswoodinterchange.com/storages/2018/08/Sushi-World_666x448.jpg</v>
      </c>
    </row>
    <row r="3968" spans="1:13" x14ac:dyDescent="0.3">
      <c r="A3968" t="s">
        <v>3998</v>
      </c>
      <c r="B3968" s="1">
        <v>45550</v>
      </c>
      <c r="C3968" t="s">
        <v>20</v>
      </c>
      <c r="D3968" t="s">
        <v>14</v>
      </c>
      <c r="E3968">
        <v>60</v>
      </c>
      <c r="F3968" t="s">
        <v>28</v>
      </c>
      <c r="G3968">
        <v>420.27</v>
      </c>
      <c r="H3968">
        <v>58</v>
      </c>
      <c r="I3968" t="s">
        <v>16</v>
      </c>
      <c r="J3968">
        <v>4.8</v>
      </c>
      <c r="K3968" t="s">
        <v>41</v>
      </c>
      <c r="L3968" t="s">
        <v>23</v>
      </c>
      <c r="M3968" t="str">
        <f>VLOOKUP(D3972,Restaurant_Master!A:B,2,FALSE)</f>
        <v>https://content.jdmagicbox.com/comp/deoria/g6/9999p5568.5568.200119143033.m4g6/catalogue/biryani-house-deoria-ho-deoria-mktc2xph0o.jpg</v>
      </c>
    </row>
    <row r="3969" spans="1:13" x14ac:dyDescent="0.3">
      <c r="A3969" t="s">
        <v>3999</v>
      </c>
      <c r="B3969" s="1">
        <v>45365</v>
      </c>
      <c r="C3969" t="s">
        <v>36</v>
      </c>
      <c r="D3969" t="s">
        <v>25</v>
      </c>
      <c r="E3969">
        <v>36</v>
      </c>
      <c r="F3969" t="s">
        <v>28</v>
      </c>
      <c r="G3969">
        <v>644.53</v>
      </c>
      <c r="H3969">
        <v>36</v>
      </c>
      <c r="I3969" t="s">
        <v>22</v>
      </c>
      <c r="J3969">
        <v>3.7</v>
      </c>
      <c r="K3969" t="s">
        <v>26</v>
      </c>
      <c r="L3969" t="s">
        <v>23</v>
      </c>
      <c r="M3969" t="str">
        <f>VLOOKUP(D3973,Restaurant_Master!A:B,2,FALSE)</f>
        <v>https://dineout-media-assets.swiggy.com/swiggy/image/upload/fl_lossy,f_auto,q_auto/v1660793737/fdqxvxcxg1wtdwvyv45v.jpg</v>
      </c>
    </row>
    <row r="3970" spans="1:13" x14ac:dyDescent="0.3">
      <c r="A3970" t="s">
        <v>4000</v>
      </c>
      <c r="B3970" s="1">
        <v>45394</v>
      </c>
      <c r="C3970" t="s">
        <v>36</v>
      </c>
      <c r="D3970" t="s">
        <v>32</v>
      </c>
      <c r="E3970">
        <v>46</v>
      </c>
      <c r="F3970" t="s">
        <v>28</v>
      </c>
      <c r="G3970">
        <v>1081.3499999999999</v>
      </c>
      <c r="H3970">
        <v>32</v>
      </c>
      <c r="I3970" t="s">
        <v>22</v>
      </c>
      <c r="J3970">
        <v>3.7</v>
      </c>
      <c r="K3970" t="s">
        <v>26</v>
      </c>
      <c r="L3970" t="s">
        <v>18</v>
      </c>
      <c r="M3970" t="str">
        <f>VLOOKUP(D3974,Restaurant_Master!A:B,2,FALSE)</f>
        <v>https://www.chatswoodinterchange.com/storages/2018/08/Sushi-World_666x448.jpg</v>
      </c>
    </row>
    <row r="3971" spans="1:13" x14ac:dyDescent="0.3">
      <c r="A3971" t="s">
        <v>4001</v>
      </c>
      <c r="B3971" s="1">
        <v>45385</v>
      </c>
      <c r="C3971" t="s">
        <v>34</v>
      </c>
      <c r="D3971" t="s">
        <v>38</v>
      </c>
      <c r="E3971">
        <v>56</v>
      </c>
      <c r="F3971" t="s">
        <v>28</v>
      </c>
      <c r="G3971">
        <v>872.83</v>
      </c>
      <c r="H3971">
        <v>23</v>
      </c>
      <c r="I3971" t="s">
        <v>22</v>
      </c>
      <c r="J3971">
        <v>3.6</v>
      </c>
      <c r="K3971" t="s">
        <v>41</v>
      </c>
      <c r="L3971" t="s">
        <v>23</v>
      </c>
      <c r="M3971" t="str">
        <f>VLOOKUP(D3975,Restaurant_Master!A:B,2,FALSE)</f>
        <v>https://content.jdmagicbox.com/comp/deoria/g6/9999p5568.5568.200119143033.m4g6/catalogue/biryani-house-deoria-ho-deoria-mktc2xph0o.jpg</v>
      </c>
    </row>
    <row r="3972" spans="1:13" x14ac:dyDescent="0.3">
      <c r="A3972" t="s">
        <v>4002</v>
      </c>
      <c r="B3972" s="1">
        <v>45536</v>
      </c>
      <c r="C3972" t="s">
        <v>43</v>
      </c>
      <c r="D3972" t="s">
        <v>32</v>
      </c>
      <c r="E3972">
        <v>32</v>
      </c>
      <c r="F3972" t="s">
        <v>28</v>
      </c>
      <c r="G3972">
        <v>578.45000000000005</v>
      </c>
      <c r="H3972">
        <v>38</v>
      </c>
      <c r="I3972" t="s">
        <v>22</v>
      </c>
      <c r="J3972">
        <v>4</v>
      </c>
      <c r="K3972" t="s">
        <v>17</v>
      </c>
      <c r="L3972" t="s">
        <v>23</v>
      </c>
      <c r="M3972" t="str">
        <f>VLOOKUP(D3976,Restaurant_Master!A:B,2,FALSE)</f>
        <v>https://media-cdn.tripadvisor.com/media/photo-s/1c/c7/97/b6/photo6jpg.jpg</v>
      </c>
    </row>
    <row r="3973" spans="1:13" x14ac:dyDescent="0.3">
      <c r="A3973" t="s">
        <v>4003</v>
      </c>
      <c r="B3973" s="1">
        <v>45344</v>
      </c>
      <c r="C3973" t="s">
        <v>20</v>
      </c>
      <c r="D3973" t="s">
        <v>14</v>
      </c>
      <c r="E3973">
        <v>21</v>
      </c>
      <c r="F3973" t="s">
        <v>15</v>
      </c>
      <c r="G3973">
        <v>937.07</v>
      </c>
      <c r="H3973">
        <v>44</v>
      </c>
      <c r="I3973" t="s">
        <v>16</v>
      </c>
      <c r="J3973">
        <v>2.9</v>
      </c>
      <c r="K3973" t="s">
        <v>17</v>
      </c>
      <c r="L3973" t="s">
        <v>23</v>
      </c>
      <c r="M3973" t="str">
        <f>VLOOKUP(D3977,Restaurant_Master!A:B,2,FALSE)</f>
        <v>https://dynamic-media-cdn.tripadvisor.com/media/photo-o/1c/e7/04/0d/front-of-the-local-easily.jpg</v>
      </c>
    </row>
    <row r="3974" spans="1:13" x14ac:dyDescent="0.3">
      <c r="A3974" t="s">
        <v>4004</v>
      </c>
      <c r="B3974" s="1">
        <v>45531</v>
      </c>
      <c r="C3974" t="s">
        <v>20</v>
      </c>
      <c r="D3974" t="s">
        <v>38</v>
      </c>
      <c r="E3974">
        <v>21</v>
      </c>
      <c r="F3974" t="s">
        <v>15</v>
      </c>
      <c r="G3974">
        <v>692.03</v>
      </c>
      <c r="H3974">
        <v>60</v>
      </c>
      <c r="I3974" t="s">
        <v>16</v>
      </c>
      <c r="J3974">
        <v>3.5</v>
      </c>
      <c r="K3974" t="s">
        <v>29</v>
      </c>
      <c r="L3974" t="s">
        <v>23</v>
      </c>
      <c r="M3974" t="str">
        <f>VLOOKUP(D3978,Restaurant_Master!A:B,2,FALSE)</f>
        <v>https://media-cdn.tripadvisor.com/media/photo-s/1c/c7/97/b6/photo6jpg.jpg</v>
      </c>
    </row>
    <row r="3975" spans="1:13" x14ac:dyDescent="0.3">
      <c r="A3975" t="s">
        <v>4005</v>
      </c>
      <c r="B3975" s="1">
        <v>45458</v>
      </c>
      <c r="C3975" t="s">
        <v>20</v>
      </c>
      <c r="D3975" t="s">
        <v>32</v>
      </c>
      <c r="E3975">
        <v>44</v>
      </c>
      <c r="F3975" t="s">
        <v>15</v>
      </c>
      <c r="G3975">
        <v>713.01</v>
      </c>
      <c r="H3975">
        <v>28</v>
      </c>
      <c r="I3975" t="s">
        <v>22</v>
      </c>
      <c r="J3975">
        <v>4.7</v>
      </c>
      <c r="K3975" t="s">
        <v>26</v>
      </c>
      <c r="L3975" t="s">
        <v>23</v>
      </c>
      <c r="M3975" t="str">
        <f>VLOOKUP(D3979,Restaurant_Master!A:B,2,FALSE)</f>
        <v>https://media-cdn.tripadvisor.com/media/photo-s/1c/c7/97/b6/photo6jpg.jpg</v>
      </c>
    </row>
    <row r="3976" spans="1:13" x14ac:dyDescent="0.3">
      <c r="A3976" t="s">
        <v>4006</v>
      </c>
      <c r="B3976" s="1">
        <v>45311</v>
      </c>
      <c r="C3976" t="s">
        <v>34</v>
      </c>
      <c r="D3976" t="s">
        <v>25</v>
      </c>
      <c r="E3976">
        <v>26</v>
      </c>
      <c r="F3976" t="s">
        <v>28</v>
      </c>
      <c r="G3976">
        <v>879.67</v>
      </c>
      <c r="H3976">
        <v>47</v>
      </c>
      <c r="I3976" t="s">
        <v>16</v>
      </c>
      <c r="J3976">
        <v>4.0999999999999996</v>
      </c>
      <c r="K3976" t="s">
        <v>17</v>
      </c>
      <c r="L3976" t="s">
        <v>23</v>
      </c>
      <c r="M3976" t="str">
        <f>VLOOKUP(D3980,Restaurant_Master!A:B,2,FALSE)</f>
        <v>https://dynamic-media-cdn.tripadvisor.com/media/photo-o/1c/e7/04/0d/front-of-the-local-easily.jpg</v>
      </c>
    </row>
    <row r="3977" spans="1:13" x14ac:dyDescent="0.3">
      <c r="A3977" t="s">
        <v>4007</v>
      </c>
      <c r="B3977" s="1">
        <v>45496</v>
      </c>
      <c r="C3977" t="s">
        <v>36</v>
      </c>
      <c r="D3977" t="s">
        <v>21</v>
      </c>
      <c r="E3977">
        <v>24</v>
      </c>
      <c r="F3977" t="s">
        <v>15</v>
      </c>
      <c r="G3977">
        <v>828.79</v>
      </c>
      <c r="H3977">
        <v>46</v>
      </c>
      <c r="I3977" t="s">
        <v>16</v>
      </c>
      <c r="J3977">
        <v>2.9</v>
      </c>
      <c r="K3977" t="s">
        <v>26</v>
      </c>
      <c r="L3977" t="s">
        <v>23</v>
      </c>
      <c r="M3977" t="str">
        <f>VLOOKUP(D3981,Restaurant_Master!A:B,2,FALSE)</f>
        <v>https://content.jdmagicbox.com/comp/deoria/g6/9999p5568.5568.200119143033.m4g6/catalogue/biryani-house-deoria-ho-deoria-mktc2xph0o.jpg</v>
      </c>
    </row>
    <row r="3978" spans="1:13" x14ac:dyDescent="0.3">
      <c r="A3978" t="s">
        <v>4008</v>
      </c>
      <c r="B3978" s="1">
        <v>45530</v>
      </c>
      <c r="C3978" t="s">
        <v>13</v>
      </c>
      <c r="D3978" t="s">
        <v>25</v>
      </c>
      <c r="E3978">
        <v>50</v>
      </c>
      <c r="F3978" t="s">
        <v>28</v>
      </c>
      <c r="G3978">
        <v>585.72</v>
      </c>
      <c r="H3978">
        <v>49</v>
      </c>
      <c r="I3978" t="s">
        <v>16</v>
      </c>
      <c r="J3978">
        <v>3.4</v>
      </c>
      <c r="K3978" t="s">
        <v>17</v>
      </c>
      <c r="L3978" t="s">
        <v>23</v>
      </c>
      <c r="M3978" t="str">
        <f>VLOOKUP(D3982,Restaurant_Master!A:B,2,FALSE)</f>
        <v>https://dynamic-media-cdn.tripadvisor.com/media/photo-o/1c/e7/04/0d/front-of-the-local-easily.jpg</v>
      </c>
    </row>
    <row r="3979" spans="1:13" x14ac:dyDescent="0.3">
      <c r="A3979" t="s">
        <v>4009</v>
      </c>
      <c r="B3979" s="1">
        <v>45300</v>
      </c>
      <c r="C3979" t="s">
        <v>20</v>
      </c>
      <c r="D3979" t="s">
        <v>25</v>
      </c>
      <c r="E3979">
        <v>57</v>
      </c>
      <c r="F3979" t="s">
        <v>15</v>
      </c>
      <c r="G3979">
        <v>165.72</v>
      </c>
      <c r="H3979">
        <v>47</v>
      </c>
      <c r="I3979" t="s">
        <v>16</v>
      </c>
      <c r="J3979">
        <v>2.9</v>
      </c>
      <c r="K3979" t="s">
        <v>29</v>
      </c>
      <c r="L3979" t="s">
        <v>23</v>
      </c>
      <c r="M3979" t="str">
        <f>VLOOKUP(D3983,Restaurant_Master!A:B,2,FALSE)</f>
        <v>https://media-cdn.tripadvisor.com/media/photo-s/1c/c7/97/b6/photo6jpg.jpg</v>
      </c>
    </row>
    <row r="3980" spans="1:13" x14ac:dyDescent="0.3">
      <c r="A3980" t="s">
        <v>4010</v>
      </c>
      <c r="B3980" s="1">
        <v>45506</v>
      </c>
      <c r="C3980" t="s">
        <v>20</v>
      </c>
      <c r="D3980" t="s">
        <v>21</v>
      </c>
      <c r="E3980">
        <v>53</v>
      </c>
      <c r="F3980" t="s">
        <v>15</v>
      </c>
      <c r="G3980">
        <v>1007.98</v>
      </c>
      <c r="H3980">
        <v>38</v>
      </c>
      <c r="I3980" t="s">
        <v>22</v>
      </c>
      <c r="J3980">
        <v>3</v>
      </c>
      <c r="K3980" t="s">
        <v>17</v>
      </c>
      <c r="L3980" t="s">
        <v>23</v>
      </c>
      <c r="M3980" t="str">
        <f>VLOOKUP(D3984,Restaurant_Master!A:B,2,FALSE)</f>
        <v>https://dynamic-media-cdn.tripadvisor.com/media/photo-o/1c/e7/04/0d/front-of-the-local-easily.jpg</v>
      </c>
    </row>
    <row r="3981" spans="1:13" x14ac:dyDescent="0.3">
      <c r="A3981" t="s">
        <v>4011</v>
      </c>
      <c r="B3981" s="1">
        <v>45490</v>
      </c>
      <c r="C3981" t="s">
        <v>36</v>
      </c>
      <c r="D3981" t="s">
        <v>32</v>
      </c>
      <c r="E3981">
        <v>44</v>
      </c>
      <c r="F3981" t="s">
        <v>28</v>
      </c>
      <c r="G3981">
        <v>1002.28</v>
      </c>
      <c r="H3981">
        <v>20</v>
      </c>
      <c r="I3981" t="s">
        <v>22</v>
      </c>
      <c r="J3981">
        <v>4.8</v>
      </c>
      <c r="K3981" t="s">
        <v>41</v>
      </c>
      <c r="L3981" t="s">
        <v>18</v>
      </c>
      <c r="M3981" t="str">
        <f>VLOOKUP(D3985,Restaurant_Master!A:B,2,FALSE)</f>
        <v>https://dineout-media-assets.swiggy.com/swiggy/image/upload/fl_lossy,f_auto,q_auto/v1660793737/fdqxvxcxg1wtdwvyv45v.jpg</v>
      </c>
    </row>
    <row r="3982" spans="1:13" x14ac:dyDescent="0.3">
      <c r="A3982" t="s">
        <v>4012</v>
      </c>
      <c r="B3982" s="1">
        <v>45309</v>
      </c>
      <c r="C3982" t="s">
        <v>36</v>
      </c>
      <c r="D3982" t="s">
        <v>21</v>
      </c>
      <c r="E3982">
        <v>19</v>
      </c>
      <c r="F3982" t="s">
        <v>28</v>
      </c>
      <c r="G3982">
        <v>377.9</v>
      </c>
      <c r="H3982">
        <v>58</v>
      </c>
      <c r="I3982" t="s">
        <v>16</v>
      </c>
      <c r="J3982">
        <v>2.6</v>
      </c>
      <c r="K3982" t="s">
        <v>41</v>
      </c>
      <c r="L3982" t="s">
        <v>18</v>
      </c>
      <c r="M3982" t="str">
        <f>VLOOKUP(D3986,Restaurant_Master!A:B,2,FALSE)</f>
        <v>https://www.chatswoodinterchange.com/storages/2018/08/Sushi-World_666x448.jpg</v>
      </c>
    </row>
    <row r="3983" spans="1:13" x14ac:dyDescent="0.3">
      <c r="A3983" t="s">
        <v>4013</v>
      </c>
      <c r="B3983" s="1">
        <v>45470</v>
      </c>
      <c r="C3983" t="s">
        <v>34</v>
      </c>
      <c r="D3983" t="s">
        <v>25</v>
      </c>
      <c r="E3983">
        <v>31</v>
      </c>
      <c r="F3983" t="s">
        <v>15</v>
      </c>
      <c r="G3983">
        <v>744.88</v>
      </c>
      <c r="H3983">
        <v>56</v>
      </c>
      <c r="I3983" t="s">
        <v>16</v>
      </c>
      <c r="J3983">
        <v>3.3</v>
      </c>
      <c r="K3983" t="s">
        <v>17</v>
      </c>
      <c r="L3983" t="s">
        <v>18</v>
      </c>
      <c r="M3983" t="str">
        <f>VLOOKUP(D3987,Restaurant_Master!A:B,2,FALSE)</f>
        <v>https://media-cdn.tripadvisor.com/media/photo-s/1c/c7/97/b6/photo6jpg.jpg</v>
      </c>
    </row>
    <row r="3984" spans="1:13" x14ac:dyDescent="0.3">
      <c r="A3984" t="s">
        <v>4014</v>
      </c>
      <c r="B3984" s="1">
        <v>45587</v>
      </c>
      <c r="C3984" t="s">
        <v>13</v>
      </c>
      <c r="D3984" t="s">
        <v>21</v>
      </c>
      <c r="E3984">
        <v>23</v>
      </c>
      <c r="F3984" t="s">
        <v>15</v>
      </c>
      <c r="G3984">
        <v>1196.24</v>
      </c>
      <c r="H3984">
        <v>47</v>
      </c>
      <c r="I3984" t="s">
        <v>16</v>
      </c>
      <c r="J3984">
        <v>4.2</v>
      </c>
      <c r="K3984" t="s">
        <v>41</v>
      </c>
      <c r="L3984" t="s">
        <v>23</v>
      </c>
      <c r="M3984" t="str">
        <f>VLOOKUP(D3988,Restaurant_Master!A:B,2,FALSE)</f>
        <v>https://dynamic-media-cdn.tripadvisor.com/media/photo-o/1c/e7/04/0d/front-of-the-local-easily.jpg</v>
      </c>
    </row>
    <row r="3985" spans="1:13" x14ac:dyDescent="0.3">
      <c r="A3985" t="s">
        <v>4015</v>
      </c>
      <c r="B3985" s="1">
        <v>45342</v>
      </c>
      <c r="C3985" t="s">
        <v>20</v>
      </c>
      <c r="D3985" t="s">
        <v>14</v>
      </c>
      <c r="E3985">
        <v>55</v>
      </c>
      <c r="F3985" t="s">
        <v>15</v>
      </c>
      <c r="G3985">
        <v>451.1</v>
      </c>
      <c r="H3985">
        <v>23</v>
      </c>
      <c r="I3985" t="s">
        <v>22</v>
      </c>
      <c r="J3985">
        <v>4.3</v>
      </c>
      <c r="K3985" t="s">
        <v>41</v>
      </c>
      <c r="L3985" t="s">
        <v>18</v>
      </c>
      <c r="M3985" t="str">
        <f>VLOOKUP(D3989,Restaurant_Master!A:B,2,FALSE)</f>
        <v>https://dynamic-media-cdn.tripadvisor.com/media/photo-o/1c/e7/04/0d/front-of-the-local-easily.jpg</v>
      </c>
    </row>
    <row r="3986" spans="1:13" x14ac:dyDescent="0.3">
      <c r="A3986" t="s">
        <v>4016</v>
      </c>
      <c r="B3986" s="1">
        <v>45595</v>
      </c>
      <c r="C3986" t="s">
        <v>36</v>
      </c>
      <c r="D3986" t="s">
        <v>38</v>
      </c>
      <c r="E3986">
        <v>39</v>
      </c>
      <c r="F3986" t="s">
        <v>28</v>
      </c>
      <c r="G3986">
        <v>712.43</v>
      </c>
      <c r="H3986">
        <v>41</v>
      </c>
      <c r="I3986" t="s">
        <v>16</v>
      </c>
      <c r="J3986">
        <v>3.6</v>
      </c>
      <c r="K3986" t="s">
        <v>17</v>
      </c>
      <c r="L3986" t="s">
        <v>23</v>
      </c>
      <c r="M3986" t="str">
        <f>VLOOKUP(D3990,Restaurant_Master!A:B,2,FALSE)</f>
        <v>https://www.chatswoodinterchange.com/storages/2018/08/Sushi-World_666x448.jpg</v>
      </c>
    </row>
    <row r="3987" spans="1:13" x14ac:dyDescent="0.3">
      <c r="A3987" t="s">
        <v>4017</v>
      </c>
      <c r="B3987" s="1">
        <v>45567</v>
      </c>
      <c r="C3987" t="s">
        <v>34</v>
      </c>
      <c r="D3987" t="s">
        <v>25</v>
      </c>
      <c r="E3987">
        <v>55</v>
      </c>
      <c r="F3987" t="s">
        <v>15</v>
      </c>
      <c r="G3987">
        <v>962.7</v>
      </c>
      <c r="H3987">
        <v>41</v>
      </c>
      <c r="I3987" t="s">
        <v>16</v>
      </c>
      <c r="J3987">
        <v>3.2</v>
      </c>
      <c r="K3987" t="s">
        <v>17</v>
      </c>
      <c r="L3987" t="s">
        <v>18</v>
      </c>
      <c r="M3987" t="str">
        <f>VLOOKUP(D3991,Restaurant_Master!A:B,2,FALSE)</f>
        <v>https://dynamic-media-cdn.tripadvisor.com/media/photo-o/1c/e7/04/0d/front-of-the-local-easily.jpg</v>
      </c>
    </row>
    <row r="3988" spans="1:13" x14ac:dyDescent="0.3">
      <c r="A3988" t="s">
        <v>4018</v>
      </c>
      <c r="B3988" s="1">
        <v>45321</v>
      </c>
      <c r="C3988" t="s">
        <v>43</v>
      </c>
      <c r="D3988" t="s">
        <v>21</v>
      </c>
      <c r="E3988">
        <v>46</v>
      </c>
      <c r="F3988" t="s">
        <v>28</v>
      </c>
      <c r="G3988">
        <v>444.33</v>
      </c>
      <c r="H3988">
        <v>42</v>
      </c>
      <c r="I3988" t="s">
        <v>16</v>
      </c>
      <c r="J3988">
        <v>3.9</v>
      </c>
      <c r="K3988" t="s">
        <v>41</v>
      </c>
      <c r="L3988" t="s">
        <v>23</v>
      </c>
      <c r="M3988" t="str">
        <f>VLOOKUP(D3992,Restaurant_Master!A:B,2,FALSE)</f>
        <v>https://dineout-media-assets.swiggy.com/swiggy/image/upload/fl_lossy,f_auto,q_auto/v1660793737/fdqxvxcxg1wtdwvyv45v.jpg</v>
      </c>
    </row>
    <row r="3989" spans="1:13" x14ac:dyDescent="0.3">
      <c r="A3989" t="s">
        <v>4019</v>
      </c>
      <c r="B3989" s="1">
        <v>45657</v>
      </c>
      <c r="C3989" t="s">
        <v>36</v>
      </c>
      <c r="D3989" t="s">
        <v>21</v>
      </c>
      <c r="E3989">
        <v>55</v>
      </c>
      <c r="F3989" t="s">
        <v>15</v>
      </c>
      <c r="G3989">
        <v>715.8</v>
      </c>
      <c r="H3989">
        <v>33</v>
      </c>
      <c r="I3989" t="s">
        <v>22</v>
      </c>
      <c r="J3989">
        <v>2.7</v>
      </c>
      <c r="K3989" t="s">
        <v>17</v>
      </c>
      <c r="L3989" t="s">
        <v>23</v>
      </c>
      <c r="M3989" t="str">
        <f>VLOOKUP(D3993,Restaurant_Master!A:B,2,FALSE)</f>
        <v>https://dynamic-media-cdn.tripadvisor.com/media/photo-o/1c/e7/04/0d/front-of-the-local-easily.jpg</v>
      </c>
    </row>
    <row r="3990" spans="1:13" x14ac:dyDescent="0.3">
      <c r="A3990" t="s">
        <v>4020</v>
      </c>
      <c r="B3990" s="1">
        <v>45468</v>
      </c>
      <c r="C3990" t="s">
        <v>43</v>
      </c>
      <c r="D3990" t="s">
        <v>38</v>
      </c>
      <c r="E3990">
        <v>30</v>
      </c>
      <c r="F3990" t="s">
        <v>15</v>
      </c>
      <c r="G3990">
        <v>302.92</v>
      </c>
      <c r="H3990">
        <v>25</v>
      </c>
      <c r="I3990" t="s">
        <v>22</v>
      </c>
      <c r="J3990">
        <v>4.7</v>
      </c>
      <c r="K3990" t="s">
        <v>17</v>
      </c>
      <c r="L3990" t="s">
        <v>18</v>
      </c>
      <c r="M3990" t="str">
        <f>VLOOKUP(D3994,Restaurant_Master!A:B,2,FALSE)</f>
        <v>https://content.jdmagicbox.com/comp/deoria/g6/9999p5568.5568.200119143033.m4g6/catalogue/biryani-house-deoria-ho-deoria-mktc2xph0o.jpg</v>
      </c>
    </row>
    <row r="3991" spans="1:13" x14ac:dyDescent="0.3">
      <c r="A3991" t="s">
        <v>4021</v>
      </c>
      <c r="B3991" s="1">
        <v>45598</v>
      </c>
      <c r="C3991" t="s">
        <v>34</v>
      </c>
      <c r="D3991" t="s">
        <v>21</v>
      </c>
      <c r="E3991">
        <v>25</v>
      </c>
      <c r="F3991" t="s">
        <v>15</v>
      </c>
      <c r="G3991">
        <v>1137.33</v>
      </c>
      <c r="H3991">
        <v>42</v>
      </c>
      <c r="I3991" t="s">
        <v>16</v>
      </c>
      <c r="J3991">
        <v>4.9000000000000004</v>
      </c>
      <c r="K3991" t="s">
        <v>26</v>
      </c>
      <c r="L3991" t="s">
        <v>18</v>
      </c>
      <c r="M3991" t="str">
        <f>VLOOKUP(D3995,Restaurant_Master!A:B,2,FALSE)</f>
        <v>https://dynamic-media-cdn.tripadvisor.com/media/photo-o/1c/e7/04/0d/front-of-the-local-easily.jpg</v>
      </c>
    </row>
    <row r="3992" spans="1:13" x14ac:dyDescent="0.3">
      <c r="A3992" t="s">
        <v>4022</v>
      </c>
      <c r="B3992" s="1">
        <v>45340</v>
      </c>
      <c r="C3992" t="s">
        <v>36</v>
      </c>
      <c r="D3992" t="s">
        <v>14</v>
      </c>
      <c r="E3992">
        <v>44</v>
      </c>
      <c r="F3992" t="s">
        <v>28</v>
      </c>
      <c r="G3992">
        <v>161.11000000000001</v>
      </c>
      <c r="H3992">
        <v>36</v>
      </c>
      <c r="I3992" t="s">
        <v>22</v>
      </c>
      <c r="J3992">
        <v>4.9000000000000004</v>
      </c>
      <c r="K3992" t="s">
        <v>41</v>
      </c>
      <c r="L3992" t="s">
        <v>23</v>
      </c>
      <c r="M3992" t="str">
        <f>VLOOKUP(D3996,Restaurant_Master!A:B,2,FALSE)</f>
        <v>https://www.chatswoodinterchange.com/storages/2018/08/Sushi-World_666x448.jpg</v>
      </c>
    </row>
    <row r="3993" spans="1:13" x14ac:dyDescent="0.3">
      <c r="A3993" t="s">
        <v>4023</v>
      </c>
      <c r="B3993" s="1">
        <v>45649</v>
      </c>
      <c r="C3993" t="s">
        <v>13</v>
      </c>
      <c r="D3993" t="s">
        <v>21</v>
      </c>
      <c r="E3993">
        <v>51</v>
      </c>
      <c r="F3993" t="s">
        <v>15</v>
      </c>
      <c r="G3993">
        <v>666.83</v>
      </c>
      <c r="H3993">
        <v>23</v>
      </c>
      <c r="I3993" t="s">
        <v>22</v>
      </c>
      <c r="J3993">
        <v>4.5999999999999996</v>
      </c>
      <c r="K3993" t="s">
        <v>41</v>
      </c>
      <c r="L3993" t="s">
        <v>18</v>
      </c>
      <c r="M3993" t="str">
        <f>VLOOKUP(D3997,Restaurant_Master!A:B,2,FALSE)</f>
        <v>https://content.jdmagicbox.com/comp/deoria/g6/9999p5568.5568.200119143033.m4g6/catalogue/biryani-house-deoria-ho-deoria-mktc2xph0o.jpg</v>
      </c>
    </row>
    <row r="3994" spans="1:13" x14ac:dyDescent="0.3">
      <c r="A3994" t="s">
        <v>4024</v>
      </c>
      <c r="B3994" s="1">
        <v>45609</v>
      </c>
      <c r="C3994" t="s">
        <v>43</v>
      </c>
      <c r="D3994" t="s">
        <v>32</v>
      </c>
      <c r="E3994">
        <v>28</v>
      </c>
      <c r="F3994" t="s">
        <v>28</v>
      </c>
      <c r="G3994">
        <v>1043.04</v>
      </c>
      <c r="H3994">
        <v>22</v>
      </c>
      <c r="I3994" t="s">
        <v>22</v>
      </c>
      <c r="J3994">
        <v>2.8</v>
      </c>
      <c r="K3994" t="s">
        <v>29</v>
      </c>
      <c r="L3994" t="s">
        <v>23</v>
      </c>
      <c r="M3994" t="str">
        <f>VLOOKUP(D3998,Restaurant_Master!A:B,2,FALSE)</f>
        <v>https://www.chatswoodinterchange.com/storages/2018/08/Sushi-World_666x448.jpg</v>
      </c>
    </row>
    <row r="3995" spans="1:13" x14ac:dyDescent="0.3">
      <c r="A3995" t="s">
        <v>4025</v>
      </c>
      <c r="B3995" s="1">
        <v>45490</v>
      </c>
      <c r="C3995" t="s">
        <v>43</v>
      </c>
      <c r="D3995" t="s">
        <v>21</v>
      </c>
      <c r="E3995">
        <v>41</v>
      </c>
      <c r="F3995" t="s">
        <v>15</v>
      </c>
      <c r="G3995">
        <v>388.51</v>
      </c>
      <c r="H3995">
        <v>30</v>
      </c>
      <c r="I3995" t="s">
        <v>22</v>
      </c>
      <c r="J3995">
        <v>4</v>
      </c>
      <c r="K3995" t="s">
        <v>26</v>
      </c>
      <c r="L3995" t="s">
        <v>23</v>
      </c>
      <c r="M3995" t="str">
        <f>VLOOKUP(D3999,Restaurant_Master!A:B,2,FALSE)</f>
        <v>https://dynamic-media-cdn.tripadvisor.com/media/photo-o/1c/e7/04/0d/front-of-the-local-easily.jpg</v>
      </c>
    </row>
    <row r="3996" spans="1:13" x14ac:dyDescent="0.3">
      <c r="A3996" t="s">
        <v>4026</v>
      </c>
      <c r="B3996" s="1">
        <v>45404</v>
      </c>
      <c r="C3996" t="s">
        <v>20</v>
      </c>
      <c r="D3996" t="s">
        <v>38</v>
      </c>
      <c r="E3996">
        <v>34</v>
      </c>
      <c r="F3996" t="s">
        <v>15</v>
      </c>
      <c r="G3996">
        <v>692.06</v>
      </c>
      <c r="H3996">
        <v>57</v>
      </c>
      <c r="I3996" t="s">
        <v>16</v>
      </c>
      <c r="J3996">
        <v>3</v>
      </c>
      <c r="K3996" t="s">
        <v>26</v>
      </c>
      <c r="L3996" t="s">
        <v>23</v>
      </c>
      <c r="M3996" t="str">
        <f>VLOOKUP(D4000,Restaurant_Master!A:B,2,FALSE)</f>
        <v>https://www.chatswoodinterchange.com/storages/2018/08/Sushi-World_666x448.jpg</v>
      </c>
    </row>
    <row r="3997" spans="1:13" x14ac:dyDescent="0.3">
      <c r="A3997" t="s">
        <v>4027</v>
      </c>
      <c r="B3997" s="1">
        <v>45410</v>
      </c>
      <c r="C3997" t="s">
        <v>34</v>
      </c>
      <c r="D3997" t="s">
        <v>32</v>
      </c>
      <c r="E3997">
        <v>31</v>
      </c>
      <c r="F3997" t="s">
        <v>15</v>
      </c>
      <c r="G3997">
        <v>839.51</v>
      </c>
      <c r="H3997">
        <v>21</v>
      </c>
      <c r="I3997" t="s">
        <v>22</v>
      </c>
      <c r="J3997">
        <v>4.5999999999999996</v>
      </c>
      <c r="K3997" t="s">
        <v>41</v>
      </c>
      <c r="L3997" t="s">
        <v>23</v>
      </c>
      <c r="M3997" t="str">
        <f>VLOOKUP(D4001,Restaurant_Master!A:B,2,FALSE)</f>
        <v>https://dineout-media-assets.swiggy.com/swiggy/image/upload/fl_lossy,f_auto,q_auto/v1660793737/fdqxvxcxg1wtdwvyv45v.jpg</v>
      </c>
    </row>
    <row r="3998" spans="1:13" x14ac:dyDescent="0.3">
      <c r="A3998" t="s">
        <v>4028</v>
      </c>
      <c r="B3998" s="1">
        <v>45438</v>
      </c>
      <c r="C3998" t="s">
        <v>13</v>
      </c>
      <c r="D3998" t="s">
        <v>38</v>
      </c>
      <c r="E3998">
        <v>46</v>
      </c>
      <c r="F3998" t="s">
        <v>15</v>
      </c>
      <c r="G3998">
        <v>514.85</v>
      </c>
      <c r="H3998">
        <v>52</v>
      </c>
      <c r="I3998" t="s">
        <v>16</v>
      </c>
      <c r="J3998">
        <v>4</v>
      </c>
      <c r="K3998" t="s">
        <v>41</v>
      </c>
      <c r="L3998" t="s">
        <v>18</v>
      </c>
      <c r="M3998" s="2" t="s">
        <v>4036</v>
      </c>
    </row>
    <row r="3999" spans="1:13" x14ac:dyDescent="0.3">
      <c r="A3999" t="s">
        <v>4029</v>
      </c>
      <c r="B3999" s="1">
        <v>45472</v>
      </c>
      <c r="C3999" t="s">
        <v>36</v>
      </c>
      <c r="D3999" t="s">
        <v>21</v>
      </c>
      <c r="E3999">
        <v>48</v>
      </c>
      <c r="F3999" t="s">
        <v>28</v>
      </c>
      <c r="G3999">
        <v>178.97</v>
      </c>
      <c r="H3999">
        <v>58</v>
      </c>
      <c r="I3999" t="s">
        <v>16</v>
      </c>
      <c r="J3999">
        <v>3.4</v>
      </c>
      <c r="K3999" t="s">
        <v>41</v>
      </c>
      <c r="L3999" t="s">
        <v>18</v>
      </c>
      <c r="M3999" s="2" t="s">
        <v>4033</v>
      </c>
    </row>
    <row r="4000" spans="1:13" x14ac:dyDescent="0.3">
      <c r="A4000" t="s">
        <v>4030</v>
      </c>
      <c r="B4000" s="1">
        <v>45401</v>
      </c>
      <c r="C4000" t="s">
        <v>36</v>
      </c>
      <c r="D4000" t="s">
        <v>38</v>
      </c>
      <c r="E4000">
        <v>40</v>
      </c>
      <c r="F4000" t="s">
        <v>15</v>
      </c>
      <c r="G4000">
        <v>943.75</v>
      </c>
      <c r="H4000">
        <v>56</v>
      </c>
      <c r="I4000" t="s">
        <v>16</v>
      </c>
      <c r="J4000">
        <v>4.3</v>
      </c>
      <c r="K4000" t="s">
        <v>17</v>
      </c>
      <c r="L4000" t="s">
        <v>18</v>
      </c>
      <c r="M4000" s="2" t="s">
        <v>4036</v>
      </c>
    </row>
    <row r="4001" spans="1:13" x14ac:dyDescent="0.3">
      <c r="A4001" t="s">
        <v>4031</v>
      </c>
      <c r="B4001" s="1">
        <v>45447</v>
      </c>
      <c r="C4001" t="s">
        <v>43</v>
      </c>
      <c r="D4001" t="s">
        <v>14</v>
      </c>
      <c r="E4001">
        <v>47</v>
      </c>
      <c r="F4001" t="s">
        <v>15</v>
      </c>
      <c r="G4001">
        <v>892.56</v>
      </c>
      <c r="H4001">
        <v>48</v>
      </c>
      <c r="I4001" t="s">
        <v>16</v>
      </c>
      <c r="J4001">
        <v>3</v>
      </c>
      <c r="K4001" t="s">
        <v>41</v>
      </c>
      <c r="L4001" t="s">
        <v>23</v>
      </c>
      <c r="M4001" s="2" t="s">
        <v>4032</v>
      </c>
    </row>
  </sheetData>
  <hyperlinks>
    <hyperlink ref="M3998" r:id="rId1" xr:uid="{C89C83AE-CD76-4137-8114-B54F668975D3}"/>
    <hyperlink ref="M3999" r:id="rId2" xr:uid="{1D8B7E44-1A8C-41A3-866F-75A7DBFE4D2D}"/>
    <hyperlink ref="M4000" r:id="rId3" xr:uid="{373288DD-5A0B-40F1-9D1F-1D624E2C81F8}"/>
    <hyperlink ref="M4001" r:id="rId4" xr:uid="{FB463B9A-3CDE-4C22-A0A7-CBF3CB12378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E6B8-00FF-4DFA-833F-07C6A57BA255}">
  <dimension ref="A1:B6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3</v>
      </c>
      <c r="B1" t="s">
        <v>4037</v>
      </c>
    </row>
    <row r="2" spans="1:2" x14ac:dyDescent="0.3">
      <c r="A2" t="s">
        <v>14</v>
      </c>
      <c r="B2" s="2" t="s">
        <v>4032</v>
      </c>
    </row>
    <row r="3" spans="1:2" x14ac:dyDescent="0.3">
      <c r="A3" t="s">
        <v>21</v>
      </c>
      <c r="B3" s="2" t="s">
        <v>4033</v>
      </c>
    </row>
    <row r="4" spans="1:2" x14ac:dyDescent="0.3">
      <c r="A4" t="s">
        <v>25</v>
      </c>
      <c r="B4" s="2" t="s">
        <v>4034</v>
      </c>
    </row>
    <row r="5" spans="1:2" x14ac:dyDescent="0.3">
      <c r="A5" t="s">
        <v>32</v>
      </c>
      <c r="B5" s="2" t="s">
        <v>4035</v>
      </c>
    </row>
    <row r="6" spans="1:2" x14ac:dyDescent="0.3">
      <c r="A6" t="s">
        <v>38</v>
      </c>
      <c r="B6" s="2" t="s">
        <v>4036</v>
      </c>
    </row>
  </sheetData>
  <hyperlinks>
    <hyperlink ref="B6" r:id="rId1" xr:uid="{26643BCA-6A39-4ACC-9DAA-E6B75DE32258}"/>
    <hyperlink ref="B2" r:id="rId2" xr:uid="{9CFACF4E-77BD-4CC3-9B0C-433A19B36DF7}"/>
    <hyperlink ref="B3" r:id="rId3" xr:uid="{776792D4-C4C0-45DE-A25B-C577F2D86BE6}"/>
    <hyperlink ref="B4" r:id="rId4" xr:uid="{BB42BFB1-EAB4-4199-AD72-E1BF596583FA}"/>
    <hyperlink ref="B5" r:id="rId5" xr:uid="{BF3B735E-B2D1-459A-AF64-AC2F2B37CE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FoodDash_Data</vt:lpstr>
      <vt:lpstr>Restaurant_Master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Sai Vinith</cp:lastModifiedBy>
  <dcterms:created xsi:type="dcterms:W3CDTF">2026-02-15T18:58:36Z</dcterms:created>
  <dcterms:modified xsi:type="dcterms:W3CDTF">2026-02-17T07:18:02Z</dcterms:modified>
</cp:coreProperties>
</file>